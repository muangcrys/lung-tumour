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oEd\Diss\"/>
    </mc:Choice>
  </mc:AlternateContent>
  <xr:revisionPtr revIDLastSave="0" documentId="13_ncr:1_{5FD2BDE6-A111-4C2B-8AE3-1AB570AE3102}" xr6:coauthVersionLast="47" xr6:coauthVersionMax="47" xr10:uidLastSave="{00000000-0000-0000-0000-000000000000}"/>
  <bookViews>
    <workbookView xWindow="-120" yWindow="-120" windowWidth="38640" windowHeight="21120" tabRatio="829" firstSheet="10" activeTab="13" xr2:uid="{DAFB9E0A-2B7F-4FB6-ACC1-8063791DA33B}"/>
  </bookViews>
  <sheets>
    <sheet name="k_fold_output" sheetId="2" r:id="rId1"/>
    <sheet name="luna16_k_fold_output" sheetId="19" r:id="rId2"/>
    <sheet name="k_fold_2stage_output" sheetId="14" r:id="rId3"/>
    <sheet name="k_fold_luna16db_output" sheetId="22" r:id="rId4"/>
    <sheet name="Main Sheet" sheetId="1" r:id="rId5"/>
    <sheet name="Subsheet" sheetId="9" r:id="rId6"/>
    <sheet name="2stage Sheet" sheetId="13" r:id="rId7"/>
    <sheet name="Luna16-25 Sheet" sheetId="23" r:id="rId8"/>
    <sheet name="Main Compiled" sheetId="10" r:id="rId9"/>
    <sheet name="2stage Compiled" sheetId="15" r:id="rId10"/>
    <sheet name="Generalisation Compiled" sheetId="17" r:id="rId11"/>
    <sheet name="LUNA16-25 Compiled" sheetId="24" r:id="rId12"/>
    <sheet name="Table for t-test" sheetId="3" r:id="rId13"/>
    <sheet name="LUNA16-25 t-test" sheetId="25" r:id="rId14"/>
    <sheet name="Medicalnet t-test" sheetId="4" r:id="rId15"/>
    <sheet name="Resnet1ch t-test" sheetId="5" r:id="rId16"/>
    <sheet name="Resnet3ch t-test" sheetId="6" r:id="rId17"/>
    <sheet name="ViViT t-test" sheetId="7" r:id="rId18"/>
    <sheet name="ViViT-ResNet t-test" sheetId="11" r:id="rId19"/>
    <sheet name="generalisation t-test" sheetId="8" r:id="rId20"/>
    <sheet name="2stage t-test" sheetId="16" r:id="rId21"/>
    <sheet name="LUNA16 Generalisation t-test" sheetId="20" r:id="rId22"/>
    <sheet name="Pearson" sheetId="21" r:id="rId23"/>
    <sheet name="Dumbbell Plot" sheetId="18" r:id="rId24"/>
  </sheets>
  <definedNames>
    <definedName name="ExternalData_1" localSheetId="2" hidden="1">k_fold_2stage_output!$A$1:$W$29</definedName>
    <definedName name="ExternalData_2" localSheetId="3" hidden="1">k_fold_luna16db_output!$A$1:$W$29</definedName>
    <definedName name="ExternalData_2" localSheetId="1" hidden="1">luna16_k_fold_output!$A$1:$L$73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62" i="5" l="1"/>
  <c r="O61" i="5"/>
  <c r="N61" i="5"/>
  <c r="J62" i="5"/>
  <c r="K61" i="5"/>
  <c r="J61" i="5"/>
  <c r="F62" i="5"/>
  <c r="G61" i="5"/>
  <c r="F61" i="5"/>
  <c r="N45" i="5"/>
  <c r="O44" i="5"/>
  <c r="N44" i="5"/>
  <c r="J45" i="5"/>
  <c r="K44" i="5"/>
  <c r="J44" i="5"/>
  <c r="F44" i="5"/>
  <c r="F45" i="5"/>
  <c r="G44" i="5"/>
  <c r="A4" i="4"/>
  <c r="C16" i="5" l="1" a="1"/>
  <c r="C16" i="5" s="1"/>
  <c r="D16" i="5" a="1"/>
  <c r="D16" i="5" s="1"/>
  <c r="E16" i="5" a="1"/>
  <c r="E16" i="5" s="1"/>
  <c r="F16" i="5" a="1"/>
  <c r="F16" i="5" s="1"/>
  <c r="G16" i="5" a="1"/>
  <c r="G16" i="5" s="1"/>
  <c r="H16" i="5" a="1"/>
  <c r="H16" i="5" s="1"/>
  <c r="I16" i="5" a="1"/>
  <c r="I16" i="5" s="1"/>
  <c r="J16" i="5" a="1"/>
  <c r="J16" i="5" s="1"/>
  <c r="K16" i="5" a="1"/>
  <c r="K16" i="5" s="1"/>
  <c r="L16" i="5" a="1"/>
  <c r="L16" i="5" s="1"/>
  <c r="M16" i="5" a="1"/>
  <c r="M16" i="5" s="1"/>
  <c r="N16" i="5" a="1"/>
  <c r="N16" i="5" s="1"/>
  <c r="O16" i="5" a="1"/>
  <c r="O16" i="5" s="1"/>
  <c r="P16" i="5" a="1"/>
  <c r="P16" i="5" s="1"/>
  <c r="Q16" i="5" a="1"/>
  <c r="Q16" i="5" s="1"/>
  <c r="AC64" i="25"/>
  <c r="AD63" i="25"/>
  <c r="AC63" i="25"/>
  <c r="AC80" i="25"/>
  <c r="AD79" i="25"/>
  <c r="AC79" i="25"/>
  <c r="AC96" i="25"/>
  <c r="AD95" i="25"/>
  <c r="AC95" i="25"/>
  <c r="Y112" i="25"/>
  <c r="Z111" i="25"/>
  <c r="Y111" i="25"/>
  <c r="Y96" i="25"/>
  <c r="U96" i="25"/>
  <c r="Q96" i="25"/>
  <c r="Z95" i="25"/>
  <c r="Y95" i="25"/>
  <c r="V95" i="25"/>
  <c r="U95" i="25"/>
  <c r="R95" i="25"/>
  <c r="Q95" i="25"/>
  <c r="Y48" i="25"/>
  <c r="U48" i="25"/>
  <c r="Q48" i="25"/>
  <c r="Z47" i="25"/>
  <c r="Y47" i="25"/>
  <c r="V47" i="25"/>
  <c r="U47" i="25"/>
  <c r="R47" i="25"/>
  <c r="Q47" i="25"/>
  <c r="U112" i="25" l="1"/>
  <c r="Q112" i="25"/>
  <c r="V111" i="25"/>
  <c r="U111" i="25"/>
  <c r="R111" i="25"/>
  <c r="Q111" i="25"/>
  <c r="AC32" i="25" l="1"/>
  <c r="AD31" i="25"/>
  <c r="AC31" i="25"/>
  <c r="AC15" i="25"/>
  <c r="AC16" i="25"/>
  <c r="AD15" i="25"/>
  <c r="Y80" i="25"/>
  <c r="U80" i="25"/>
  <c r="Q80" i="25"/>
  <c r="Z79" i="25"/>
  <c r="Y79" i="25"/>
  <c r="V79" i="25"/>
  <c r="U79" i="25"/>
  <c r="R79" i="25"/>
  <c r="Q79" i="25"/>
  <c r="Y64" i="25"/>
  <c r="U64" i="25"/>
  <c r="Q64" i="25"/>
  <c r="Z63" i="25"/>
  <c r="Y63" i="25"/>
  <c r="V63" i="25"/>
  <c r="U63" i="25"/>
  <c r="R63" i="25"/>
  <c r="Q63" i="25"/>
  <c r="Y32" i="25"/>
  <c r="U32" i="25"/>
  <c r="Q32" i="25"/>
  <c r="Z31" i="25"/>
  <c r="Y31" i="25"/>
  <c r="V31" i="25"/>
  <c r="U31" i="25"/>
  <c r="R31" i="25"/>
  <c r="Q31" i="25"/>
  <c r="Y15" i="25"/>
  <c r="U15" i="25"/>
  <c r="Q15" i="25"/>
  <c r="Y16" i="25"/>
  <c r="Z15" i="25"/>
  <c r="U16" i="25"/>
  <c r="V15" i="25"/>
  <c r="Q16" i="25"/>
  <c r="R15" i="25"/>
  <c r="K29" i="25" l="1"/>
  <c r="L29" i="25"/>
  <c r="M29" i="25"/>
  <c r="K30" i="25"/>
  <c r="L30" i="25"/>
  <c r="M30" i="25"/>
  <c r="K31" i="25"/>
  <c r="L31" i="25"/>
  <c r="M31" i="25"/>
  <c r="L28" i="25"/>
  <c r="M28" i="25"/>
  <c r="K28" i="25"/>
  <c r="H29" i="25"/>
  <c r="I29" i="25"/>
  <c r="J29" i="25"/>
  <c r="H30" i="25"/>
  <c r="I30" i="25"/>
  <c r="J30" i="25"/>
  <c r="H31" i="25"/>
  <c r="I31" i="25"/>
  <c r="J31" i="25"/>
  <c r="I28" i="25"/>
  <c r="J28" i="25"/>
  <c r="H28" i="25"/>
  <c r="E29" i="25"/>
  <c r="F29" i="25"/>
  <c r="G29" i="25"/>
  <c r="E30" i="25"/>
  <c r="F30" i="25"/>
  <c r="G30" i="25"/>
  <c r="E31" i="25"/>
  <c r="F31" i="25"/>
  <c r="G31" i="25"/>
  <c r="F28" i="25"/>
  <c r="G28" i="25"/>
  <c r="E28" i="25"/>
  <c r="K17" i="25"/>
  <c r="L17" i="25"/>
  <c r="M17" i="25"/>
  <c r="K18" i="25"/>
  <c r="L18" i="25"/>
  <c r="M18" i="25"/>
  <c r="K19" i="25"/>
  <c r="L19" i="25"/>
  <c r="M19" i="25"/>
  <c r="K20" i="25"/>
  <c r="L20" i="25"/>
  <c r="M20" i="25"/>
  <c r="K21" i="25"/>
  <c r="L21" i="25"/>
  <c r="M21" i="25"/>
  <c r="K22" i="25"/>
  <c r="L22" i="25"/>
  <c r="M22" i="25"/>
  <c r="K23" i="25"/>
  <c r="L23" i="25"/>
  <c r="M23" i="25"/>
  <c r="K24" i="25"/>
  <c r="L24" i="25"/>
  <c r="M24" i="25"/>
  <c r="K25" i="25"/>
  <c r="L25" i="25"/>
  <c r="M25" i="25"/>
  <c r="K26" i="25"/>
  <c r="L26" i="25"/>
  <c r="M26" i="25"/>
  <c r="K27" i="25"/>
  <c r="L27" i="25"/>
  <c r="M27" i="25"/>
  <c r="L16" i="25"/>
  <c r="M16" i="25"/>
  <c r="K16" i="25"/>
  <c r="H17" i="25"/>
  <c r="I17" i="25"/>
  <c r="J17" i="25"/>
  <c r="H18" i="25"/>
  <c r="I18" i="25"/>
  <c r="J18" i="25"/>
  <c r="H19" i="25"/>
  <c r="I19" i="25"/>
  <c r="J19" i="25"/>
  <c r="H20" i="25"/>
  <c r="I20" i="25"/>
  <c r="J20" i="25"/>
  <c r="H21" i="25"/>
  <c r="I21" i="25"/>
  <c r="J21" i="25"/>
  <c r="H22" i="25"/>
  <c r="I22" i="25"/>
  <c r="J22" i="25"/>
  <c r="H23" i="25"/>
  <c r="I23" i="25"/>
  <c r="J23" i="25"/>
  <c r="H24" i="25"/>
  <c r="I24" i="25"/>
  <c r="J24" i="25"/>
  <c r="H25" i="25"/>
  <c r="I25" i="25"/>
  <c r="J25" i="25"/>
  <c r="H26" i="25"/>
  <c r="I26" i="25"/>
  <c r="J26" i="25"/>
  <c r="H27" i="25"/>
  <c r="I27" i="25"/>
  <c r="J27" i="25"/>
  <c r="I16" i="25"/>
  <c r="J16" i="25"/>
  <c r="H16" i="25"/>
  <c r="E17" i="25"/>
  <c r="F17" i="25"/>
  <c r="G17" i="25"/>
  <c r="E18" i="25"/>
  <c r="F18" i="25"/>
  <c r="G18" i="25"/>
  <c r="E19" i="25"/>
  <c r="F19" i="25"/>
  <c r="G19" i="25"/>
  <c r="E20" i="25"/>
  <c r="F20" i="25"/>
  <c r="G20" i="25"/>
  <c r="E21" i="25"/>
  <c r="F21" i="25"/>
  <c r="G21" i="25"/>
  <c r="E22" i="25"/>
  <c r="F22" i="25"/>
  <c r="G22" i="25"/>
  <c r="E23" i="25"/>
  <c r="F23" i="25"/>
  <c r="G23" i="25"/>
  <c r="E24" i="25"/>
  <c r="F24" i="25"/>
  <c r="G24" i="25"/>
  <c r="E25" i="25"/>
  <c r="F25" i="25"/>
  <c r="G25" i="25"/>
  <c r="E26" i="25"/>
  <c r="F26" i="25"/>
  <c r="G26" i="25"/>
  <c r="E27" i="25"/>
  <c r="F27" i="25"/>
  <c r="G27" i="25"/>
  <c r="F16" i="25"/>
  <c r="G16" i="25"/>
  <c r="E16" i="25"/>
  <c r="K5" i="25"/>
  <c r="L5" i="25"/>
  <c r="M5" i="25"/>
  <c r="K6" i="25"/>
  <c r="L6" i="25"/>
  <c r="M6" i="25"/>
  <c r="K7" i="25"/>
  <c r="L7" i="25"/>
  <c r="M7" i="25"/>
  <c r="K8" i="25"/>
  <c r="L8" i="25"/>
  <c r="M8" i="25"/>
  <c r="K9" i="25"/>
  <c r="L9" i="25"/>
  <c r="M9" i="25"/>
  <c r="K10" i="25"/>
  <c r="L10" i="25"/>
  <c r="M10" i="25"/>
  <c r="K11" i="25"/>
  <c r="L11" i="25"/>
  <c r="M11" i="25"/>
  <c r="K12" i="25"/>
  <c r="L12" i="25"/>
  <c r="M12" i="25"/>
  <c r="K13" i="25"/>
  <c r="L13" i="25"/>
  <c r="M13" i="25"/>
  <c r="K14" i="25"/>
  <c r="L14" i="25"/>
  <c r="M14" i="25"/>
  <c r="K15" i="25"/>
  <c r="L15" i="25"/>
  <c r="M15" i="25"/>
  <c r="L4" i="25"/>
  <c r="M4" i="25"/>
  <c r="K4" i="25"/>
  <c r="H5" i="25"/>
  <c r="I5" i="25"/>
  <c r="J5" i="25"/>
  <c r="H6" i="25"/>
  <c r="I6" i="25"/>
  <c r="J6" i="25"/>
  <c r="H7" i="25"/>
  <c r="I7" i="25"/>
  <c r="J7" i="25"/>
  <c r="H8" i="25"/>
  <c r="I8" i="25"/>
  <c r="J8" i="25"/>
  <c r="H9" i="25"/>
  <c r="I9" i="25"/>
  <c r="J9" i="25"/>
  <c r="H10" i="25"/>
  <c r="I10" i="25"/>
  <c r="J10" i="25"/>
  <c r="H11" i="25"/>
  <c r="I11" i="25"/>
  <c r="J11" i="25"/>
  <c r="H12" i="25"/>
  <c r="I12" i="25"/>
  <c r="J12" i="25"/>
  <c r="H13" i="25"/>
  <c r="I13" i="25"/>
  <c r="J13" i="25"/>
  <c r="H14" i="25"/>
  <c r="I14" i="25"/>
  <c r="J14" i="25"/>
  <c r="H15" i="25"/>
  <c r="I15" i="25"/>
  <c r="J15" i="25"/>
  <c r="I4" i="25"/>
  <c r="J4" i="25"/>
  <c r="H4" i="25"/>
  <c r="E5" i="25"/>
  <c r="F5" i="25"/>
  <c r="G5" i="25"/>
  <c r="E6" i="25"/>
  <c r="F6" i="25"/>
  <c r="G6" i="25"/>
  <c r="E7" i="25"/>
  <c r="F7" i="25"/>
  <c r="G7" i="25"/>
  <c r="E8" i="25"/>
  <c r="F8" i="25"/>
  <c r="G8" i="25"/>
  <c r="E9" i="25"/>
  <c r="F9" i="25"/>
  <c r="G9" i="25"/>
  <c r="E10" i="25"/>
  <c r="F10" i="25"/>
  <c r="G10" i="25"/>
  <c r="E11" i="25"/>
  <c r="F11" i="25"/>
  <c r="G11" i="25"/>
  <c r="E12" i="25"/>
  <c r="F12" i="25"/>
  <c r="G12" i="25"/>
  <c r="E13" i="25"/>
  <c r="F13" i="25"/>
  <c r="G13" i="25"/>
  <c r="E14" i="25"/>
  <c r="F14" i="25"/>
  <c r="G14" i="25"/>
  <c r="E15" i="25"/>
  <c r="F15" i="25"/>
  <c r="G15" i="25"/>
  <c r="F4" i="25"/>
  <c r="G4" i="25"/>
  <c r="E4" i="25"/>
  <c r="D5" i="24"/>
  <c r="E5" i="24"/>
  <c r="F5" i="24"/>
  <c r="G5" i="24"/>
  <c r="H5" i="24"/>
  <c r="I5" i="24"/>
  <c r="J5" i="24"/>
  <c r="K5" i="24"/>
  <c r="L5" i="24"/>
  <c r="M5" i="24"/>
  <c r="N5" i="24"/>
  <c r="O5" i="24"/>
  <c r="D6" i="24"/>
  <c r="E6" i="24"/>
  <c r="F6" i="24"/>
  <c r="G6" i="24"/>
  <c r="H6" i="24"/>
  <c r="I6" i="24"/>
  <c r="J6" i="24"/>
  <c r="K6" i="24"/>
  <c r="L6" i="24"/>
  <c r="M6" i="24"/>
  <c r="N6" i="24"/>
  <c r="O6" i="24"/>
  <c r="D7" i="24"/>
  <c r="E7" i="24"/>
  <c r="F7" i="24"/>
  <c r="G7" i="24"/>
  <c r="H7" i="24"/>
  <c r="I7" i="24"/>
  <c r="J7" i="24"/>
  <c r="K7" i="24"/>
  <c r="L7" i="24"/>
  <c r="M7" i="24"/>
  <c r="N7" i="24"/>
  <c r="O7" i="24"/>
  <c r="D8" i="24"/>
  <c r="E8" i="24"/>
  <c r="F8" i="24"/>
  <c r="G8" i="24"/>
  <c r="H8" i="24"/>
  <c r="I8" i="24"/>
  <c r="J8" i="24"/>
  <c r="K8" i="24"/>
  <c r="L8" i="24"/>
  <c r="M8" i="24"/>
  <c r="N8" i="24"/>
  <c r="O8" i="24"/>
  <c r="D9" i="24"/>
  <c r="E9" i="24"/>
  <c r="F9" i="24"/>
  <c r="G9" i="24"/>
  <c r="H9" i="24"/>
  <c r="I9" i="24"/>
  <c r="J9" i="24"/>
  <c r="K9" i="24"/>
  <c r="L9" i="24"/>
  <c r="M9" i="24"/>
  <c r="N9" i="24"/>
  <c r="O9" i="24"/>
  <c r="G10" i="24"/>
  <c r="E4" i="24"/>
  <c r="F4" i="24"/>
  <c r="G4" i="24"/>
  <c r="H4" i="24"/>
  <c r="I4" i="24"/>
  <c r="J4" i="24"/>
  <c r="K4" i="24"/>
  <c r="L4" i="24"/>
  <c r="M4" i="24"/>
  <c r="N4" i="24"/>
  <c r="O4" i="24"/>
  <c r="D4" i="24"/>
  <c r="D4" i="15"/>
  <c r="K5" i="23"/>
  <c r="L5" i="23"/>
  <c r="M5" i="23"/>
  <c r="N5" i="23"/>
  <c r="O5" i="23"/>
  <c r="P5" i="23"/>
  <c r="K6" i="23"/>
  <c r="L6" i="23"/>
  <c r="M6" i="23"/>
  <c r="N6" i="23"/>
  <c r="O6" i="23"/>
  <c r="P6" i="23"/>
  <c r="K7" i="23"/>
  <c r="L7" i="23"/>
  <c r="M7" i="23"/>
  <c r="N7" i="23"/>
  <c r="O7" i="23"/>
  <c r="P7" i="23"/>
  <c r="K8" i="23"/>
  <c r="L8" i="23"/>
  <c r="M8" i="23"/>
  <c r="N8" i="23"/>
  <c r="O8" i="23"/>
  <c r="P8" i="23"/>
  <c r="K9" i="23"/>
  <c r="L9" i="23"/>
  <c r="M9" i="23"/>
  <c r="N9" i="23"/>
  <c r="O9" i="23"/>
  <c r="P9" i="23"/>
  <c r="K10" i="23"/>
  <c r="L10" i="23"/>
  <c r="M10" i="23"/>
  <c r="N10" i="23"/>
  <c r="O10" i="23"/>
  <c r="P10" i="23"/>
  <c r="K11" i="23"/>
  <c r="L11" i="23"/>
  <c r="M11" i="23"/>
  <c r="N11" i="23"/>
  <c r="O11" i="23"/>
  <c r="P11" i="23"/>
  <c r="K12" i="23"/>
  <c r="L12" i="23"/>
  <c r="M12" i="23"/>
  <c r="N12" i="23"/>
  <c r="O12" i="23"/>
  <c r="P12" i="23"/>
  <c r="K13" i="23"/>
  <c r="L13" i="23"/>
  <c r="M13" i="23"/>
  <c r="N13" i="23"/>
  <c r="O13" i="23"/>
  <c r="P13" i="23"/>
  <c r="K14" i="23"/>
  <c r="L14" i="23"/>
  <c r="M14" i="23"/>
  <c r="N14" i="23"/>
  <c r="O14" i="23"/>
  <c r="P14" i="23"/>
  <c r="K15" i="23"/>
  <c r="L15" i="23"/>
  <c r="M15" i="23"/>
  <c r="N15" i="23"/>
  <c r="O15" i="23"/>
  <c r="P15" i="23"/>
  <c r="K16" i="23"/>
  <c r="L16" i="23"/>
  <c r="M16" i="23"/>
  <c r="N16" i="23"/>
  <c r="O16" i="23"/>
  <c r="P16" i="23"/>
  <c r="K17" i="23"/>
  <c r="L17" i="23"/>
  <c r="M17" i="23"/>
  <c r="N17" i="23"/>
  <c r="O17" i="23"/>
  <c r="P17" i="23"/>
  <c r="K18" i="23"/>
  <c r="L18" i="23"/>
  <c r="M18" i="23"/>
  <c r="N18" i="23"/>
  <c r="O18" i="23"/>
  <c r="P18" i="23"/>
  <c r="K19" i="23"/>
  <c r="L19" i="23"/>
  <c r="M19" i="23"/>
  <c r="N19" i="23"/>
  <c r="O19" i="23"/>
  <c r="P19" i="23"/>
  <c r="K20" i="23"/>
  <c r="L20" i="23"/>
  <c r="M20" i="23"/>
  <c r="N20" i="23"/>
  <c r="O20" i="23"/>
  <c r="P20" i="23"/>
  <c r="K21" i="23"/>
  <c r="L21" i="23"/>
  <c r="M21" i="23"/>
  <c r="N21" i="23"/>
  <c r="O21" i="23"/>
  <c r="P21" i="23"/>
  <c r="K22" i="23"/>
  <c r="L22" i="23"/>
  <c r="M22" i="23"/>
  <c r="N22" i="23"/>
  <c r="O22" i="23"/>
  <c r="P22" i="23"/>
  <c r="K23" i="23"/>
  <c r="L23" i="23"/>
  <c r="M23" i="23"/>
  <c r="N23" i="23"/>
  <c r="O23" i="23"/>
  <c r="P23" i="23"/>
  <c r="K24" i="23"/>
  <c r="L24" i="23"/>
  <c r="M24" i="23"/>
  <c r="N24" i="23"/>
  <c r="O24" i="23"/>
  <c r="P24" i="23"/>
  <c r="K25" i="23"/>
  <c r="L25" i="23"/>
  <c r="M25" i="23"/>
  <c r="N25" i="23"/>
  <c r="O25" i="23"/>
  <c r="P25" i="23"/>
  <c r="K26" i="23"/>
  <c r="L26" i="23"/>
  <c r="M26" i="23"/>
  <c r="N26" i="23"/>
  <c r="O26" i="23"/>
  <c r="P26" i="23"/>
  <c r="K27" i="23"/>
  <c r="L27" i="23"/>
  <c r="M27" i="23"/>
  <c r="N27" i="23"/>
  <c r="O27" i="23"/>
  <c r="P27" i="23"/>
  <c r="K28" i="23"/>
  <c r="J10" i="24" s="1"/>
  <c r="L28" i="23"/>
  <c r="K10" i="24" s="1"/>
  <c r="M28" i="23"/>
  <c r="N28" i="23"/>
  <c r="O28" i="23"/>
  <c r="P28" i="23"/>
  <c r="K29" i="23"/>
  <c r="L29" i="23"/>
  <c r="M29" i="23"/>
  <c r="L10" i="24" s="1"/>
  <c r="N29" i="23"/>
  <c r="M10" i="24" s="1"/>
  <c r="O29" i="23"/>
  <c r="N10" i="24" s="1"/>
  <c r="P29" i="23"/>
  <c r="O10" i="24" s="1"/>
  <c r="K30" i="23"/>
  <c r="L30" i="23"/>
  <c r="M30" i="23"/>
  <c r="N30" i="23"/>
  <c r="O30" i="23"/>
  <c r="P30" i="23"/>
  <c r="K31" i="23"/>
  <c r="L31" i="23"/>
  <c r="M31" i="23"/>
  <c r="N31" i="23"/>
  <c r="O31" i="23"/>
  <c r="P31" i="23"/>
  <c r="L4" i="23"/>
  <c r="M4" i="23"/>
  <c r="N4" i="23"/>
  <c r="O4" i="23"/>
  <c r="P4" i="23"/>
  <c r="K4" i="23"/>
  <c r="E5" i="23"/>
  <c r="F5" i="23"/>
  <c r="G5" i="23"/>
  <c r="H5" i="23"/>
  <c r="I5" i="23"/>
  <c r="J5" i="23"/>
  <c r="E6" i="23"/>
  <c r="F6" i="23"/>
  <c r="G6" i="23"/>
  <c r="H6" i="23"/>
  <c r="I6" i="23"/>
  <c r="J6" i="23"/>
  <c r="E7" i="23"/>
  <c r="F7" i="23"/>
  <c r="G7" i="23"/>
  <c r="H7" i="23"/>
  <c r="I7" i="23"/>
  <c r="J7" i="23"/>
  <c r="E8" i="23"/>
  <c r="F8" i="23"/>
  <c r="G8" i="23"/>
  <c r="H8" i="23"/>
  <c r="I8" i="23"/>
  <c r="J8" i="23"/>
  <c r="E9" i="23"/>
  <c r="F9" i="23"/>
  <c r="G9" i="23"/>
  <c r="H9" i="23"/>
  <c r="I9" i="23"/>
  <c r="J9" i="23"/>
  <c r="E10" i="23"/>
  <c r="F10" i="23"/>
  <c r="G10" i="23"/>
  <c r="H10" i="23"/>
  <c r="I10" i="23"/>
  <c r="J10" i="23"/>
  <c r="E11" i="23"/>
  <c r="F11" i="23"/>
  <c r="G11" i="23"/>
  <c r="H11" i="23"/>
  <c r="I11" i="23"/>
  <c r="J11" i="23"/>
  <c r="E12" i="23"/>
  <c r="F12" i="23"/>
  <c r="G12" i="23"/>
  <c r="H12" i="23"/>
  <c r="I12" i="23"/>
  <c r="J12" i="23"/>
  <c r="E13" i="23"/>
  <c r="F13" i="23"/>
  <c r="G13" i="23"/>
  <c r="H13" i="23"/>
  <c r="I13" i="23"/>
  <c r="J13" i="23"/>
  <c r="E14" i="23"/>
  <c r="F14" i="23"/>
  <c r="G14" i="23"/>
  <c r="H14" i="23"/>
  <c r="I14" i="23"/>
  <c r="J14" i="23"/>
  <c r="E15" i="23"/>
  <c r="F15" i="23"/>
  <c r="G15" i="23"/>
  <c r="H15" i="23"/>
  <c r="I15" i="23"/>
  <c r="J15" i="23"/>
  <c r="E16" i="23"/>
  <c r="F16" i="23"/>
  <c r="G16" i="23"/>
  <c r="H16" i="23"/>
  <c r="I16" i="23"/>
  <c r="J16" i="23"/>
  <c r="E17" i="23"/>
  <c r="F17" i="23"/>
  <c r="G17" i="23"/>
  <c r="H17" i="23"/>
  <c r="I17" i="23"/>
  <c r="J17" i="23"/>
  <c r="E18" i="23"/>
  <c r="F18" i="23"/>
  <c r="G18" i="23"/>
  <c r="H18" i="23"/>
  <c r="I18" i="23"/>
  <c r="J18" i="23"/>
  <c r="E19" i="23"/>
  <c r="F19" i="23"/>
  <c r="G19" i="23"/>
  <c r="H19" i="23"/>
  <c r="I19" i="23"/>
  <c r="J19" i="23"/>
  <c r="E20" i="23"/>
  <c r="F20" i="23"/>
  <c r="G20" i="23"/>
  <c r="H20" i="23"/>
  <c r="I20" i="23"/>
  <c r="J20" i="23"/>
  <c r="E21" i="23"/>
  <c r="F21" i="23"/>
  <c r="G21" i="23"/>
  <c r="H21" i="23"/>
  <c r="I21" i="23"/>
  <c r="J21" i="23"/>
  <c r="E22" i="23"/>
  <c r="F22" i="23"/>
  <c r="G22" i="23"/>
  <c r="H22" i="23"/>
  <c r="I22" i="23"/>
  <c r="J22" i="23"/>
  <c r="E23" i="23"/>
  <c r="F23" i="23"/>
  <c r="G23" i="23"/>
  <c r="H23" i="23"/>
  <c r="I23" i="23"/>
  <c r="J23" i="23"/>
  <c r="E24" i="23"/>
  <c r="F24" i="23"/>
  <c r="G24" i="23"/>
  <c r="H24" i="23"/>
  <c r="I24" i="23"/>
  <c r="J24" i="23"/>
  <c r="E25" i="23"/>
  <c r="F25" i="23"/>
  <c r="G25" i="23"/>
  <c r="H25" i="23"/>
  <c r="I25" i="23"/>
  <c r="J25" i="23"/>
  <c r="E26" i="23"/>
  <c r="F26" i="23"/>
  <c r="G26" i="23"/>
  <c r="H26" i="23"/>
  <c r="I26" i="23"/>
  <c r="J26" i="23"/>
  <c r="E27" i="23"/>
  <c r="F27" i="23"/>
  <c r="G27" i="23"/>
  <c r="H27" i="23"/>
  <c r="I27" i="23"/>
  <c r="J27" i="23"/>
  <c r="E28" i="23"/>
  <c r="F28" i="23"/>
  <c r="G28" i="23"/>
  <c r="H28" i="23"/>
  <c r="I28" i="23"/>
  <c r="H10" i="24" s="1"/>
  <c r="J28" i="23"/>
  <c r="I10" i="24" s="1"/>
  <c r="E29" i="23"/>
  <c r="D10" i="24" s="1"/>
  <c r="F29" i="23"/>
  <c r="E10" i="24" s="1"/>
  <c r="G29" i="23"/>
  <c r="F10" i="24" s="1"/>
  <c r="H29" i="23"/>
  <c r="I29" i="23"/>
  <c r="J29" i="23"/>
  <c r="E30" i="23"/>
  <c r="F30" i="23"/>
  <c r="G30" i="23"/>
  <c r="H30" i="23"/>
  <c r="I30" i="23"/>
  <c r="J30" i="23"/>
  <c r="E31" i="23"/>
  <c r="F31" i="23"/>
  <c r="G31" i="23"/>
  <c r="H31" i="23"/>
  <c r="I31" i="23"/>
  <c r="J31" i="23"/>
  <c r="F4" i="23"/>
  <c r="G4" i="23"/>
  <c r="H4" i="23"/>
  <c r="I4" i="23"/>
  <c r="J4" i="23"/>
  <c r="E4" i="23"/>
  <c r="AD119" i="5"/>
  <c r="AE118" i="5"/>
  <c r="AD118" i="5"/>
  <c r="P36" i="1" l="1"/>
  <c r="Q36" i="1"/>
  <c r="R36" i="1"/>
  <c r="S36" i="1"/>
  <c r="T36" i="1"/>
  <c r="U36" i="1"/>
  <c r="V36" i="1"/>
  <c r="W36" i="1"/>
  <c r="X36" i="1"/>
  <c r="Y36" i="1"/>
  <c r="P37" i="1"/>
  <c r="Q37" i="1"/>
  <c r="R37" i="1"/>
  <c r="S37" i="1"/>
  <c r="T37" i="1"/>
  <c r="U37" i="1"/>
  <c r="V37" i="1"/>
  <c r="W37" i="1"/>
  <c r="X37" i="1"/>
  <c r="Y37" i="1"/>
  <c r="P38" i="1"/>
  <c r="Q38" i="1"/>
  <c r="R38" i="1"/>
  <c r="S38" i="1"/>
  <c r="T38" i="1"/>
  <c r="U38" i="1"/>
  <c r="V38" i="1"/>
  <c r="W38" i="1"/>
  <c r="X38" i="1"/>
  <c r="Y38" i="1"/>
  <c r="P39" i="1"/>
  <c r="Q39" i="1"/>
  <c r="R39" i="1"/>
  <c r="S39" i="1"/>
  <c r="T39" i="1"/>
  <c r="U39" i="1"/>
  <c r="V39" i="1"/>
  <c r="W39" i="1"/>
  <c r="X39" i="1"/>
  <c r="Y39" i="1"/>
  <c r="E37" i="1"/>
  <c r="F37" i="1"/>
  <c r="G37" i="1"/>
  <c r="H37" i="1"/>
  <c r="I37" i="1"/>
  <c r="J37" i="1"/>
  <c r="K37" i="1"/>
  <c r="L37" i="1"/>
  <c r="M37" i="1"/>
  <c r="N37" i="1"/>
  <c r="O37" i="1"/>
  <c r="E38" i="1"/>
  <c r="F38" i="1"/>
  <c r="G38" i="1"/>
  <c r="H38" i="1"/>
  <c r="I38" i="1"/>
  <c r="J38" i="1"/>
  <c r="K38" i="1"/>
  <c r="L38" i="1"/>
  <c r="M38" i="1"/>
  <c r="N38" i="1"/>
  <c r="O38" i="1"/>
  <c r="E39" i="1"/>
  <c r="F39" i="1"/>
  <c r="G39" i="1"/>
  <c r="H39" i="1"/>
  <c r="I39" i="1"/>
  <c r="J39" i="1"/>
  <c r="K39" i="1"/>
  <c r="L39" i="1"/>
  <c r="M39" i="1"/>
  <c r="N39" i="1"/>
  <c r="O39" i="1"/>
  <c r="F36" i="1"/>
  <c r="G36" i="1"/>
  <c r="H36" i="1"/>
  <c r="I36" i="1"/>
  <c r="J36" i="1"/>
  <c r="K36" i="1"/>
  <c r="L36" i="1"/>
  <c r="M36" i="1"/>
  <c r="N36" i="1"/>
  <c r="O36" i="1"/>
  <c r="E36" i="1"/>
  <c r="O10" i="21"/>
  <c r="O9" i="21"/>
  <c r="E52" i="21"/>
  <c r="F52" i="21"/>
  <c r="G52" i="21"/>
  <c r="H52" i="21"/>
  <c r="I52" i="21"/>
  <c r="E53" i="21"/>
  <c r="F53" i="21"/>
  <c r="G53" i="21"/>
  <c r="H53" i="21"/>
  <c r="I53" i="21"/>
  <c r="E54" i="21"/>
  <c r="F54" i="21"/>
  <c r="G54" i="21"/>
  <c r="G61" i="21" s="1"/>
  <c r="H54" i="21"/>
  <c r="H60" i="21" s="1"/>
  <c r="I54" i="21"/>
  <c r="I61" i="21" s="1"/>
  <c r="E55" i="21"/>
  <c r="F55" i="21"/>
  <c r="G55" i="21"/>
  <c r="H55" i="21"/>
  <c r="I55" i="21"/>
  <c r="E56" i="21"/>
  <c r="F56" i="21"/>
  <c r="G56" i="21"/>
  <c r="H56" i="21"/>
  <c r="I56" i="21"/>
  <c r="E57" i="21"/>
  <c r="F57" i="21"/>
  <c r="G57" i="21"/>
  <c r="H57" i="21"/>
  <c r="I57" i="21"/>
  <c r="E58" i="21"/>
  <c r="F58" i="21"/>
  <c r="F61" i="21" s="1"/>
  <c r="G58" i="21"/>
  <c r="H58" i="21"/>
  <c r="I58" i="21"/>
  <c r="E59" i="21"/>
  <c r="F59" i="21"/>
  <c r="G59" i="21"/>
  <c r="H59" i="21"/>
  <c r="I59" i="21"/>
  <c r="O4" i="21"/>
  <c r="H41" i="21"/>
  <c r="I41" i="21"/>
  <c r="H42" i="21"/>
  <c r="I42" i="21"/>
  <c r="H43" i="21"/>
  <c r="I43" i="21"/>
  <c r="H44" i="21"/>
  <c r="I44" i="21"/>
  <c r="H45" i="21"/>
  <c r="I45" i="21"/>
  <c r="H46" i="21"/>
  <c r="I46" i="21"/>
  <c r="H47" i="21"/>
  <c r="I47" i="21"/>
  <c r="H48" i="21"/>
  <c r="I48" i="21"/>
  <c r="H49" i="21"/>
  <c r="I49" i="21"/>
  <c r="H50" i="21"/>
  <c r="I50" i="21"/>
  <c r="H51" i="21"/>
  <c r="I51" i="21"/>
  <c r="I40" i="21"/>
  <c r="H40" i="21"/>
  <c r="H29" i="21"/>
  <c r="I29" i="21"/>
  <c r="H30" i="21"/>
  <c r="I30" i="21"/>
  <c r="H31" i="21"/>
  <c r="I31" i="21"/>
  <c r="H32" i="21"/>
  <c r="I32" i="21"/>
  <c r="H33" i="21"/>
  <c r="I33" i="21"/>
  <c r="H34" i="21"/>
  <c r="I34" i="21"/>
  <c r="H35" i="21"/>
  <c r="I35" i="21"/>
  <c r="H36" i="21"/>
  <c r="I36" i="21"/>
  <c r="H37" i="21"/>
  <c r="I37" i="21"/>
  <c r="H38" i="21"/>
  <c r="I38" i="21"/>
  <c r="H39" i="21"/>
  <c r="I39" i="21"/>
  <c r="I28" i="21"/>
  <c r="H28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I16" i="21"/>
  <c r="H16" i="21"/>
  <c r="W32" i="20"/>
  <c r="S32" i="20"/>
  <c r="O32" i="20"/>
  <c r="X31" i="20"/>
  <c r="W31" i="20"/>
  <c r="T31" i="20"/>
  <c r="S31" i="20"/>
  <c r="P31" i="20"/>
  <c r="O31" i="20"/>
  <c r="H61" i="21" l="1"/>
  <c r="O5" i="21"/>
  <c r="F60" i="21"/>
  <c r="I60" i="21"/>
  <c r="G60" i="21"/>
  <c r="R52" i="9" l="1"/>
  <c r="E40" i="20" s="1"/>
  <c r="S57" i="9"/>
  <c r="F45" i="20" s="1"/>
  <c r="T57" i="9"/>
  <c r="G45" i="20" s="1"/>
  <c r="W59" i="9"/>
  <c r="J47" i="20" s="1"/>
  <c r="R60" i="9"/>
  <c r="E48" i="20" s="1"/>
  <c r="T65" i="9"/>
  <c r="G53" i="20" s="1"/>
  <c r="T67" i="9"/>
  <c r="G55" i="20" s="1"/>
  <c r="U67" i="9"/>
  <c r="H55" i="20" s="1"/>
  <c r="V67" i="9"/>
  <c r="I55" i="20" s="1"/>
  <c r="W67" i="9"/>
  <c r="J55" i="20" s="1"/>
  <c r="R68" i="9"/>
  <c r="U70" i="9"/>
  <c r="V70" i="9"/>
  <c r="V72" i="9"/>
  <c r="I56" i="20" s="1"/>
  <c r="R73" i="9"/>
  <c r="E57" i="20" s="1"/>
  <c r="S73" i="9"/>
  <c r="F57" i="20" s="1"/>
  <c r="T73" i="9"/>
  <c r="G57" i="20" s="1"/>
  <c r="V75" i="9"/>
  <c r="I59" i="20" s="1"/>
  <c r="W75" i="9"/>
  <c r="J59" i="20" s="1"/>
  <c r="R5" i="9"/>
  <c r="E5" i="20" s="1"/>
  <c r="V7" i="9"/>
  <c r="I7" i="20" s="1"/>
  <c r="T10" i="9"/>
  <c r="G10" i="20" s="1"/>
  <c r="R13" i="9"/>
  <c r="E13" i="20" s="1"/>
  <c r="V15" i="9"/>
  <c r="I15" i="20" s="1"/>
  <c r="T18" i="9"/>
  <c r="G18" i="20" s="1"/>
  <c r="R21" i="9"/>
  <c r="E21" i="20" s="1"/>
  <c r="V23" i="9"/>
  <c r="I23" i="20" s="1"/>
  <c r="T26" i="9"/>
  <c r="G26" i="20" s="1"/>
  <c r="R29" i="9"/>
  <c r="E29" i="20" s="1"/>
  <c r="U31" i="9"/>
  <c r="H31" i="20" s="1"/>
  <c r="V31" i="9"/>
  <c r="I31" i="20" s="1"/>
  <c r="S34" i="9"/>
  <c r="F34" i="20" s="1"/>
  <c r="T34" i="9"/>
  <c r="G34" i="20" s="1"/>
  <c r="R37" i="9"/>
  <c r="E37" i="20" s="1"/>
  <c r="U39" i="9"/>
  <c r="H39" i="20" s="1"/>
  <c r="V39" i="9"/>
  <c r="I39" i="20" s="1"/>
  <c r="R42" i="9"/>
  <c r="S42" i="9"/>
  <c r="T42" i="9"/>
  <c r="T44" i="9"/>
  <c r="U44" i="9"/>
  <c r="W44" i="9"/>
  <c r="R45" i="9"/>
  <c r="R47" i="9"/>
  <c r="T47" i="9"/>
  <c r="U47" i="9"/>
  <c r="V47" i="9"/>
  <c r="R50" i="9"/>
  <c r="S50" i="9"/>
  <c r="T50" i="9"/>
  <c r="Z73" i="1"/>
  <c r="AA73" i="1"/>
  <c r="AB73" i="1"/>
  <c r="AC73" i="1"/>
  <c r="U73" i="9" s="1"/>
  <c r="H57" i="20" s="1"/>
  <c r="AD73" i="1"/>
  <c r="V73" i="9" s="1"/>
  <c r="I57" i="20" s="1"/>
  <c r="AE73" i="1"/>
  <c r="W73" i="9" s="1"/>
  <c r="J57" i="20" s="1"/>
  <c r="AF73" i="1"/>
  <c r="AG73" i="1"/>
  <c r="AH73" i="1"/>
  <c r="AI73" i="1"/>
  <c r="Z74" i="1"/>
  <c r="R74" i="9" s="1"/>
  <c r="E58" i="20" s="1"/>
  <c r="AA74" i="1"/>
  <c r="S74" i="9" s="1"/>
  <c r="F58" i="20" s="1"/>
  <c r="AB74" i="1"/>
  <c r="T74" i="9" s="1"/>
  <c r="G58" i="20" s="1"/>
  <c r="AC74" i="1"/>
  <c r="U74" i="9" s="1"/>
  <c r="H58" i="20" s="1"/>
  <c r="AD74" i="1"/>
  <c r="V74" i="9" s="1"/>
  <c r="I58" i="20" s="1"/>
  <c r="AE74" i="1"/>
  <c r="W74" i="9" s="1"/>
  <c r="J58" i="20" s="1"/>
  <c r="AF74" i="1"/>
  <c r="AG74" i="1"/>
  <c r="AH74" i="1"/>
  <c r="AI74" i="1"/>
  <c r="Z75" i="1"/>
  <c r="R75" i="9" s="1"/>
  <c r="E59" i="20" s="1"/>
  <c r="AA75" i="1"/>
  <c r="S75" i="9" s="1"/>
  <c r="F59" i="20" s="1"/>
  <c r="AB75" i="1"/>
  <c r="T75" i="9" s="1"/>
  <c r="G59" i="20" s="1"/>
  <c r="AC75" i="1"/>
  <c r="U75" i="9" s="1"/>
  <c r="H59" i="20" s="1"/>
  <c r="AD75" i="1"/>
  <c r="AE75" i="1"/>
  <c r="AF75" i="1"/>
  <c r="AG75" i="1"/>
  <c r="AH75" i="1"/>
  <c r="AI75" i="1"/>
  <c r="AA72" i="1"/>
  <c r="S72" i="9" s="1"/>
  <c r="F56" i="20" s="1"/>
  <c r="AB72" i="1"/>
  <c r="T72" i="9" s="1"/>
  <c r="G56" i="20" s="1"/>
  <c r="AC72" i="1"/>
  <c r="U72" i="9" s="1"/>
  <c r="H56" i="20" s="1"/>
  <c r="AD72" i="1"/>
  <c r="AE72" i="1"/>
  <c r="W72" i="9" s="1"/>
  <c r="J56" i="20" s="1"/>
  <c r="AF72" i="1"/>
  <c r="AG72" i="1"/>
  <c r="AH72" i="1"/>
  <c r="AI72" i="1"/>
  <c r="Z72" i="1"/>
  <c r="R72" i="9" s="1"/>
  <c r="E56" i="20" s="1"/>
  <c r="Z71" i="1"/>
  <c r="R71" i="9" s="1"/>
  <c r="AA71" i="1"/>
  <c r="S71" i="9" s="1"/>
  <c r="AB71" i="1"/>
  <c r="T71" i="9" s="1"/>
  <c r="AC71" i="1"/>
  <c r="U71" i="9" s="1"/>
  <c r="AD71" i="1"/>
  <c r="V71" i="9" s="1"/>
  <c r="AE71" i="1"/>
  <c r="W71" i="9" s="1"/>
  <c r="AF71" i="1"/>
  <c r="AG71" i="1"/>
  <c r="AH71" i="1"/>
  <c r="AI71" i="1"/>
  <c r="Z65" i="1"/>
  <c r="R65" i="9" s="1"/>
  <c r="E53" i="20" s="1"/>
  <c r="AA65" i="1"/>
  <c r="S65" i="9" s="1"/>
  <c r="F53" i="20" s="1"/>
  <c r="AB65" i="1"/>
  <c r="AC65" i="1"/>
  <c r="U65" i="9" s="1"/>
  <c r="H53" i="20" s="1"/>
  <c r="AD65" i="1"/>
  <c r="V65" i="9" s="1"/>
  <c r="I53" i="20" s="1"/>
  <c r="AE65" i="1"/>
  <c r="W65" i="9" s="1"/>
  <c r="J53" i="20" s="1"/>
  <c r="AF65" i="1"/>
  <c r="AG65" i="1"/>
  <c r="AH65" i="1"/>
  <c r="AI65" i="1"/>
  <c r="Z66" i="1"/>
  <c r="R66" i="9" s="1"/>
  <c r="E54" i="20" s="1"/>
  <c r="AA66" i="1"/>
  <c r="S66" i="9" s="1"/>
  <c r="F54" i="20" s="1"/>
  <c r="AB66" i="1"/>
  <c r="T66" i="9" s="1"/>
  <c r="G54" i="20" s="1"/>
  <c r="AC66" i="1"/>
  <c r="U66" i="9" s="1"/>
  <c r="H54" i="20" s="1"/>
  <c r="AD66" i="1"/>
  <c r="V66" i="9" s="1"/>
  <c r="I54" i="20" s="1"/>
  <c r="AE66" i="1"/>
  <c r="W66" i="9" s="1"/>
  <c r="J54" i="20" s="1"/>
  <c r="AF66" i="1"/>
  <c r="AG66" i="1"/>
  <c r="AH66" i="1"/>
  <c r="AI66" i="1"/>
  <c r="Z67" i="1"/>
  <c r="R67" i="9" s="1"/>
  <c r="E55" i="20" s="1"/>
  <c r="AA67" i="1"/>
  <c r="S67" i="9" s="1"/>
  <c r="F55" i="20" s="1"/>
  <c r="AB67" i="1"/>
  <c r="AC67" i="1"/>
  <c r="AD67" i="1"/>
  <c r="AE67" i="1"/>
  <c r="AF67" i="1"/>
  <c r="AG67" i="1"/>
  <c r="AH67" i="1"/>
  <c r="AI67" i="1"/>
  <c r="Z68" i="1"/>
  <c r="AA68" i="1"/>
  <c r="S68" i="9" s="1"/>
  <c r="AB68" i="1"/>
  <c r="T68" i="9" s="1"/>
  <c r="AC68" i="1"/>
  <c r="U68" i="9" s="1"/>
  <c r="AD68" i="1"/>
  <c r="V68" i="9" s="1"/>
  <c r="AE68" i="1"/>
  <c r="W68" i="9" s="1"/>
  <c r="AF68" i="1"/>
  <c r="AG68" i="1"/>
  <c r="AH68" i="1"/>
  <c r="AI68" i="1"/>
  <c r="Z69" i="1"/>
  <c r="R69" i="9" s="1"/>
  <c r="AA69" i="1"/>
  <c r="S69" i="9" s="1"/>
  <c r="AB69" i="1"/>
  <c r="T69" i="9" s="1"/>
  <c r="AC69" i="1"/>
  <c r="U69" i="9" s="1"/>
  <c r="AD69" i="1"/>
  <c r="V69" i="9" s="1"/>
  <c r="AE69" i="1"/>
  <c r="W69" i="9" s="1"/>
  <c r="AF69" i="1"/>
  <c r="AG69" i="1"/>
  <c r="AH69" i="1"/>
  <c r="AI69" i="1"/>
  <c r="Z70" i="1"/>
  <c r="R70" i="9" s="1"/>
  <c r="AA70" i="1"/>
  <c r="S70" i="9" s="1"/>
  <c r="AB70" i="1"/>
  <c r="T70" i="9" s="1"/>
  <c r="AC70" i="1"/>
  <c r="AD70" i="1"/>
  <c r="AE70" i="1"/>
  <c r="W70" i="9" s="1"/>
  <c r="AF70" i="1"/>
  <c r="AG70" i="1"/>
  <c r="AH70" i="1"/>
  <c r="AI70" i="1"/>
  <c r="AA64" i="1"/>
  <c r="S64" i="9" s="1"/>
  <c r="F52" i="20" s="1"/>
  <c r="AB64" i="1"/>
  <c r="T64" i="9" s="1"/>
  <c r="G52" i="20" s="1"/>
  <c r="AC64" i="1"/>
  <c r="U64" i="9" s="1"/>
  <c r="H52" i="20" s="1"/>
  <c r="AD64" i="1"/>
  <c r="V64" i="9" s="1"/>
  <c r="I52" i="20" s="1"/>
  <c r="AE64" i="1"/>
  <c r="W64" i="9" s="1"/>
  <c r="J52" i="20" s="1"/>
  <c r="AF64" i="1"/>
  <c r="AG64" i="1"/>
  <c r="AH64" i="1"/>
  <c r="AI64" i="1"/>
  <c r="Z64" i="1"/>
  <c r="R64" i="9" s="1"/>
  <c r="E52" i="20" s="1"/>
  <c r="Z53" i="1"/>
  <c r="R53" i="9" s="1"/>
  <c r="E41" i="20" s="1"/>
  <c r="AA53" i="1"/>
  <c r="S53" i="9" s="1"/>
  <c r="F41" i="20" s="1"/>
  <c r="AB53" i="1"/>
  <c r="T53" i="9" s="1"/>
  <c r="G41" i="20" s="1"/>
  <c r="AC53" i="1"/>
  <c r="U53" i="9" s="1"/>
  <c r="H41" i="20" s="1"/>
  <c r="AD53" i="1"/>
  <c r="V53" i="9" s="1"/>
  <c r="I41" i="20" s="1"/>
  <c r="AE53" i="1"/>
  <c r="W53" i="9" s="1"/>
  <c r="J41" i="20" s="1"/>
  <c r="AF53" i="1"/>
  <c r="AG53" i="1"/>
  <c r="AH53" i="1"/>
  <c r="AI53" i="1"/>
  <c r="Z54" i="1"/>
  <c r="R54" i="9" s="1"/>
  <c r="E42" i="20" s="1"/>
  <c r="AA54" i="1"/>
  <c r="S54" i="9" s="1"/>
  <c r="F42" i="20" s="1"/>
  <c r="AB54" i="1"/>
  <c r="T54" i="9" s="1"/>
  <c r="G42" i="20" s="1"/>
  <c r="AC54" i="1"/>
  <c r="U54" i="9" s="1"/>
  <c r="H42" i="20" s="1"/>
  <c r="AD54" i="1"/>
  <c r="V54" i="9" s="1"/>
  <c r="I42" i="20" s="1"/>
  <c r="AE54" i="1"/>
  <c r="W54" i="9" s="1"/>
  <c r="J42" i="20" s="1"/>
  <c r="AF54" i="1"/>
  <c r="AG54" i="1"/>
  <c r="AH54" i="1"/>
  <c r="AI54" i="1"/>
  <c r="Z55" i="1"/>
  <c r="R55" i="9" s="1"/>
  <c r="E43" i="20" s="1"/>
  <c r="AA55" i="1"/>
  <c r="S55" i="9" s="1"/>
  <c r="F43" i="20" s="1"/>
  <c r="AB55" i="1"/>
  <c r="T55" i="9" s="1"/>
  <c r="G43" i="20" s="1"/>
  <c r="AC55" i="1"/>
  <c r="U55" i="9" s="1"/>
  <c r="H43" i="20" s="1"/>
  <c r="AD55" i="1"/>
  <c r="V55" i="9" s="1"/>
  <c r="I43" i="20" s="1"/>
  <c r="AE55" i="1"/>
  <c r="W55" i="9" s="1"/>
  <c r="J43" i="20" s="1"/>
  <c r="AF55" i="1"/>
  <c r="AG55" i="1"/>
  <c r="AH55" i="1"/>
  <c r="AI55" i="1"/>
  <c r="Z56" i="1"/>
  <c r="R56" i="9" s="1"/>
  <c r="E44" i="20" s="1"/>
  <c r="AA56" i="1"/>
  <c r="S56" i="9" s="1"/>
  <c r="F44" i="20" s="1"/>
  <c r="AB56" i="1"/>
  <c r="T56" i="9" s="1"/>
  <c r="G44" i="20" s="1"/>
  <c r="AC56" i="1"/>
  <c r="U56" i="9" s="1"/>
  <c r="H44" i="20" s="1"/>
  <c r="AD56" i="1"/>
  <c r="V56" i="9" s="1"/>
  <c r="I44" i="20" s="1"/>
  <c r="AE56" i="1"/>
  <c r="W56" i="9" s="1"/>
  <c r="J44" i="20" s="1"/>
  <c r="AF56" i="1"/>
  <c r="AG56" i="1"/>
  <c r="AH56" i="1"/>
  <c r="AI56" i="1"/>
  <c r="Z57" i="1"/>
  <c r="R57" i="9" s="1"/>
  <c r="E45" i="20" s="1"/>
  <c r="AA57" i="1"/>
  <c r="AB57" i="1"/>
  <c r="AC57" i="1"/>
  <c r="U57" i="9" s="1"/>
  <c r="H45" i="20" s="1"/>
  <c r="AD57" i="1"/>
  <c r="V57" i="9" s="1"/>
  <c r="I45" i="20" s="1"/>
  <c r="AE57" i="1"/>
  <c r="W57" i="9" s="1"/>
  <c r="J45" i="20" s="1"/>
  <c r="AF57" i="1"/>
  <c r="AG57" i="1"/>
  <c r="AH57" i="1"/>
  <c r="AI57" i="1"/>
  <c r="Z58" i="1"/>
  <c r="R58" i="9" s="1"/>
  <c r="E46" i="20" s="1"/>
  <c r="AA58" i="1"/>
  <c r="S58" i="9" s="1"/>
  <c r="F46" i="20" s="1"/>
  <c r="AB58" i="1"/>
  <c r="T58" i="9" s="1"/>
  <c r="G46" i="20" s="1"/>
  <c r="AC58" i="1"/>
  <c r="U58" i="9" s="1"/>
  <c r="H46" i="20" s="1"/>
  <c r="AD58" i="1"/>
  <c r="V58" i="9" s="1"/>
  <c r="I46" i="20" s="1"/>
  <c r="AE58" i="1"/>
  <c r="W58" i="9" s="1"/>
  <c r="J46" i="20" s="1"/>
  <c r="AF58" i="1"/>
  <c r="AG58" i="1"/>
  <c r="AH58" i="1"/>
  <c r="AI58" i="1"/>
  <c r="Z59" i="1"/>
  <c r="R59" i="9" s="1"/>
  <c r="E47" i="20" s="1"/>
  <c r="AA59" i="1"/>
  <c r="S59" i="9" s="1"/>
  <c r="F47" i="20" s="1"/>
  <c r="AB59" i="1"/>
  <c r="T59" i="9" s="1"/>
  <c r="G47" i="20" s="1"/>
  <c r="AC59" i="1"/>
  <c r="U59" i="9" s="1"/>
  <c r="H47" i="20" s="1"/>
  <c r="AD59" i="1"/>
  <c r="V59" i="9" s="1"/>
  <c r="I47" i="20" s="1"/>
  <c r="AE59" i="1"/>
  <c r="AF59" i="1"/>
  <c r="AG59" i="1"/>
  <c r="AH59" i="1"/>
  <c r="AI59" i="1"/>
  <c r="Z60" i="1"/>
  <c r="AA60" i="1"/>
  <c r="S60" i="9" s="1"/>
  <c r="F48" i="20" s="1"/>
  <c r="AB60" i="1"/>
  <c r="T60" i="9" s="1"/>
  <c r="G48" i="20" s="1"/>
  <c r="AC60" i="1"/>
  <c r="U60" i="9" s="1"/>
  <c r="H48" i="20" s="1"/>
  <c r="AD60" i="1"/>
  <c r="V60" i="9" s="1"/>
  <c r="I48" i="20" s="1"/>
  <c r="AE60" i="1"/>
  <c r="W60" i="9" s="1"/>
  <c r="J48" i="20" s="1"/>
  <c r="AF60" i="1"/>
  <c r="AG60" i="1"/>
  <c r="AH60" i="1"/>
  <c r="AI60" i="1"/>
  <c r="Z61" i="1"/>
  <c r="R61" i="9" s="1"/>
  <c r="E49" i="20" s="1"/>
  <c r="AA61" i="1"/>
  <c r="S61" i="9" s="1"/>
  <c r="F49" i="20" s="1"/>
  <c r="AB61" i="1"/>
  <c r="T61" i="9" s="1"/>
  <c r="G49" i="20" s="1"/>
  <c r="AC61" i="1"/>
  <c r="U61" i="9" s="1"/>
  <c r="H49" i="20" s="1"/>
  <c r="AD61" i="1"/>
  <c r="V61" i="9" s="1"/>
  <c r="I49" i="20" s="1"/>
  <c r="AE61" i="1"/>
  <c r="W61" i="9" s="1"/>
  <c r="J49" i="20" s="1"/>
  <c r="AF61" i="1"/>
  <c r="AG61" i="1"/>
  <c r="AH61" i="1"/>
  <c r="AI61" i="1"/>
  <c r="Z62" i="1"/>
  <c r="R62" i="9" s="1"/>
  <c r="E50" i="20" s="1"/>
  <c r="AA62" i="1"/>
  <c r="S62" i="9" s="1"/>
  <c r="F50" i="20" s="1"/>
  <c r="AB62" i="1"/>
  <c r="T62" i="9" s="1"/>
  <c r="G50" i="20" s="1"/>
  <c r="AC62" i="1"/>
  <c r="U62" i="9" s="1"/>
  <c r="H50" i="20" s="1"/>
  <c r="AD62" i="1"/>
  <c r="V62" i="9" s="1"/>
  <c r="I50" i="20" s="1"/>
  <c r="AE62" i="1"/>
  <c r="W62" i="9" s="1"/>
  <c r="J50" i="20" s="1"/>
  <c r="AF62" i="1"/>
  <c r="AG62" i="1"/>
  <c r="AH62" i="1"/>
  <c r="AI62" i="1"/>
  <c r="Z63" i="1"/>
  <c r="R63" i="9" s="1"/>
  <c r="E51" i="20" s="1"/>
  <c r="AA63" i="1"/>
  <c r="S63" i="9" s="1"/>
  <c r="F51" i="20" s="1"/>
  <c r="AB63" i="1"/>
  <c r="T63" i="9" s="1"/>
  <c r="G51" i="20" s="1"/>
  <c r="AC63" i="1"/>
  <c r="U63" i="9" s="1"/>
  <c r="H51" i="20" s="1"/>
  <c r="AD63" i="1"/>
  <c r="V63" i="9" s="1"/>
  <c r="I51" i="20" s="1"/>
  <c r="AE63" i="1"/>
  <c r="W63" i="9" s="1"/>
  <c r="J51" i="20" s="1"/>
  <c r="AF63" i="1"/>
  <c r="AG63" i="1"/>
  <c r="AH63" i="1"/>
  <c r="AI63" i="1"/>
  <c r="AA52" i="1"/>
  <c r="S52" i="9" s="1"/>
  <c r="F40" i="20" s="1"/>
  <c r="AB52" i="1"/>
  <c r="T52" i="9" s="1"/>
  <c r="G40" i="20" s="1"/>
  <c r="AC52" i="1"/>
  <c r="U52" i="9" s="1"/>
  <c r="H40" i="20" s="1"/>
  <c r="AD52" i="1"/>
  <c r="V52" i="9" s="1"/>
  <c r="I40" i="20" s="1"/>
  <c r="AE52" i="1"/>
  <c r="W52" i="9" s="1"/>
  <c r="J40" i="20" s="1"/>
  <c r="AF52" i="1"/>
  <c r="AG52" i="1"/>
  <c r="AH52" i="1"/>
  <c r="AI52" i="1"/>
  <c r="Z52" i="1"/>
  <c r="Z41" i="1"/>
  <c r="R41" i="9" s="1"/>
  <c r="AA41" i="1"/>
  <c r="S41" i="9" s="1"/>
  <c r="AB41" i="1"/>
  <c r="T41" i="9" s="1"/>
  <c r="AC41" i="1"/>
  <c r="U41" i="9" s="1"/>
  <c r="AD41" i="1"/>
  <c r="V41" i="9" s="1"/>
  <c r="AE41" i="1"/>
  <c r="W41" i="9" s="1"/>
  <c r="AF41" i="1"/>
  <c r="AG41" i="1"/>
  <c r="AH41" i="1"/>
  <c r="AI41" i="1"/>
  <c r="Z42" i="1"/>
  <c r="AA42" i="1"/>
  <c r="AB42" i="1"/>
  <c r="AC42" i="1"/>
  <c r="U42" i="9" s="1"/>
  <c r="AD42" i="1"/>
  <c r="V42" i="9" s="1"/>
  <c r="AE42" i="1"/>
  <c r="W42" i="9" s="1"/>
  <c r="AF42" i="1"/>
  <c r="AG42" i="1"/>
  <c r="AH42" i="1"/>
  <c r="AI42" i="1"/>
  <c r="Z43" i="1"/>
  <c r="R43" i="9" s="1"/>
  <c r="AA43" i="1"/>
  <c r="S43" i="9" s="1"/>
  <c r="AB43" i="1"/>
  <c r="T43" i="9" s="1"/>
  <c r="AC43" i="1"/>
  <c r="U43" i="9" s="1"/>
  <c r="AD43" i="1"/>
  <c r="V43" i="9" s="1"/>
  <c r="AE43" i="1"/>
  <c r="W43" i="9" s="1"/>
  <c r="AF43" i="1"/>
  <c r="AG43" i="1"/>
  <c r="AH43" i="1"/>
  <c r="AI43" i="1"/>
  <c r="Z44" i="1"/>
  <c r="R44" i="9" s="1"/>
  <c r="AA44" i="1"/>
  <c r="S44" i="9" s="1"/>
  <c r="AB44" i="1"/>
  <c r="AC44" i="1"/>
  <c r="AD44" i="1"/>
  <c r="V44" i="9" s="1"/>
  <c r="AE44" i="1"/>
  <c r="AF44" i="1"/>
  <c r="AG44" i="1"/>
  <c r="AH44" i="1"/>
  <c r="AI44" i="1"/>
  <c r="Z45" i="1"/>
  <c r="AA45" i="1"/>
  <c r="S45" i="9" s="1"/>
  <c r="AB45" i="1"/>
  <c r="T45" i="9" s="1"/>
  <c r="AC45" i="1"/>
  <c r="U45" i="9" s="1"/>
  <c r="AD45" i="1"/>
  <c r="V45" i="9" s="1"/>
  <c r="AE45" i="1"/>
  <c r="W45" i="9" s="1"/>
  <c r="AF45" i="1"/>
  <c r="AG45" i="1"/>
  <c r="AH45" i="1"/>
  <c r="AI45" i="1"/>
  <c r="Z46" i="1"/>
  <c r="R46" i="9" s="1"/>
  <c r="AA46" i="1"/>
  <c r="S46" i="9" s="1"/>
  <c r="AB46" i="1"/>
  <c r="T46" i="9" s="1"/>
  <c r="AC46" i="1"/>
  <c r="U46" i="9" s="1"/>
  <c r="AD46" i="1"/>
  <c r="V46" i="9" s="1"/>
  <c r="AE46" i="1"/>
  <c r="W46" i="9" s="1"/>
  <c r="AF46" i="1"/>
  <c r="AG46" i="1"/>
  <c r="AH46" i="1"/>
  <c r="AI46" i="1"/>
  <c r="Z47" i="1"/>
  <c r="AA47" i="1"/>
  <c r="S47" i="9" s="1"/>
  <c r="AB47" i="1"/>
  <c r="AC47" i="1"/>
  <c r="AD47" i="1"/>
  <c r="AE47" i="1"/>
  <c r="W47" i="9" s="1"/>
  <c r="AF47" i="1"/>
  <c r="AG47" i="1"/>
  <c r="AH47" i="1"/>
  <c r="AI47" i="1"/>
  <c r="Z48" i="1"/>
  <c r="R48" i="9" s="1"/>
  <c r="AA48" i="1"/>
  <c r="S48" i="9" s="1"/>
  <c r="AB48" i="1"/>
  <c r="T48" i="9" s="1"/>
  <c r="AC48" i="1"/>
  <c r="U48" i="9" s="1"/>
  <c r="AD48" i="1"/>
  <c r="V48" i="9" s="1"/>
  <c r="AE48" i="1"/>
  <c r="W48" i="9" s="1"/>
  <c r="AF48" i="1"/>
  <c r="AG48" i="1"/>
  <c r="AH48" i="1"/>
  <c r="AI48" i="1"/>
  <c r="Z49" i="1"/>
  <c r="R49" i="9" s="1"/>
  <c r="AA49" i="1"/>
  <c r="S49" i="9" s="1"/>
  <c r="AB49" i="1"/>
  <c r="T49" i="9" s="1"/>
  <c r="AC49" i="1"/>
  <c r="U49" i="9" s="1"/>
  <c r="AD49" i="1"/>
  <c r="V49" i="9" s="1"/>
  <c r="AE49" i="1"/>
  <c r="W49" i="9" s="1"/>
  <c r="AF49" i="1"/>
  <c r="AG49" i="1"/>
  <c r="AH49" i="1"/>
  <c r="AI49" i="1"/>
  <c r="Z50" i="1"/>
  <c r="AA50" i="1"/>
  <c r="AB50" i="1"/>
  <c r="AC50" i="1"/>
  <c r="U50" i="9" s="1"/>
  <c r="AD50" i="1"/>
  <c r="V50" i="9" s="1"/>
  <c r="AE50" i="1"/>
  <c r="W50" i="9" s="1"/>
  <c r="AF50" i="1"/>
  <c r="AG50" i="1"/>
  <c r="AH50" i="1"/>
  <c r="AI50" i="1"/>
  <c r="Z51" i="1"/>
  <c r="R51" i="9" s="1"/>
  <c r="AA51" i="1"/>
  <c r="S51" i="9" s="1"/>
  <c r="AB51" i="1"/>
  <c r="T51" i="9" s="1"/>
  <c r="AC51" i="1"/>
  <c r="U51" i="9" s="1"/>
  <c r="AD51" i="1"/>
  <c r="V51" i="9" s="1"/>
  <c r="AE51" i="1"/>
  <c r="W51" i="9" s="1"/>
  <c r="AF51" i="1"/>
  <c r="AG51" i="1"/>
  <c r="AH51" i="1"/>
  <c r="AI51" i="1"/>
  <c r="AA40" i="1"/>
  <c r="S40" i="9" s="1"/>
  <c r="AB40" i="1"/>
  <c r="T40" i="9" s="1"/>
  <c r="AC40" i="1"/>
  <c r="U40" i="9" s="1"/>
  <c r="AD40" i="1"/>
  <c r="V40" i="9" s="1"/>
  <c r="AE40" i="1"/>
  <c r="W40" i="9" s="1"/>
  <c r="AF40" i="1"/>
  <c r="AG40" i="1"/>
  <c r="AH40" i="1"/>
  <c r="AI40" i="1"/>
  <c r="Z40" i="1"/>
  <c r="R40" i="9" s="1"/>
  <c r="Z29" i="1"/>
  <c r="AA29" i="1"/>
  <c r="S29" i="9" s="1"/>
  <c r="F29" i="20" s="1"/>
  <c r="AB29" i="1"/>
  <c r="T29" i="9" s="1"/>
  <c r="G29" i="20" s="1"/>
  <c r="AC29" i="1"/>
  <c r="U29" i="9" s="1"/>
  <c r="H29" i="20" s="1"/>
  <c r="AD29" i="1"/>
  <c r="V29" i="9" s="1"/>
  <c r="I29" i="20" s="1"/>
  <c r="AE29" i="1"/>
  <c r="W29" i="9" s="1"/>
  <c r="J29" i="20" s="1"/>
  <c r="AF29" i="1"/>
  <c r="AG29" i="1"/>
  <c r="AH29" i="1"/>
  <c r="AI29" i="1"/>
  <c r="Z30" i="1"/>
  <c r="R30" i="9" s="1"/>
  <c r="E30" i="20" s="1"/>
  <c r="AA30" i="1"/>
  <c r="S30" i="9" s="1"/>
  <c r="F30" i="20" s="1"/>
  <c r="AB30" i="1"/>
  <c r="T30" i="9" s="1"/>
  <c r="G30" i="20" s="1"/>
  <c r="AC30" i="1"/>
  <c r="U30" i="9" s="1"/>
  <c r="H30" i="20" s="1"/>
  <c r="AD30" i="1"/>
  <c r="V30" i="9" s="1"/>
  <c r="I30" i="20" s="1"/>
  <c r="AE30" i="1"/>
  <c r="W30" i="9" s="1"/>
  <c r="J30" i="20" s="1"/>
  <c r="AF30" i="1"/>
  <c r="AG30" i="1"/>
  <c r="AH30" i="1"/>
  <c r="AI30" i="1"/>
  <c r="Z31" i="1"/>
  <c r="R31" i="9" s="1"/>
  <c r="E31" i="20" s="1"/>
  <c r="AA31" i="1"/>
  <c r="S31" i="9" s="1"/>
  <c r="F31" i="20" s="1"/>
  <c r="AB31" i="1"/>
  <c r="T31" i="9" s="1"/>
  <c r="G31" i="20" s="1"/>
  <c r="AC31" i="1"/>
  <c r="AD31" i="1"/>
  <c r="AE31" i="1"/>
  <c r="W31" i="9" s="1"/>
  <c r="J31" i="20" s="1"/>
  <c r="AF31" i="1"/>
  <c r="AG31" i="1"/>
  <c r="AH31" i="1"/>
  <c r="AI31" i="1"/>
  <c r="Z32" i="1"/>
  <c r="R32" i="9" s="1"/>
  <c r="E32" i="20" s="1"/>
  <c r="AA32" i="1"/>
  <c r="S32" i="9" s="1"/>
  <c r="F32" i="20" s="1"/>
  <c r="AB32" i="1"/>
  <c r="T32" i="9" s="1"/>
  <c r="G32" i="20" s="1"/>
  <c r="AC32" i="1"/>
  <c r="U32" i="9" s="1"/>
  <c r="H32" i="20" s="1"/>
  <c r="AD32" i="1"/>
  <c r="V32" i="9" s="1"/>
  <c r="I32" i="20" s="1"/>
  <c r="AE32" i="1"/>
  <c r="W32" i="9" s="1"/>
  <c r="J32" i="20" s="1"/>
  <c r="AF32" i="1"/>
  <c r="AG32" i="1"/>
  <c r="AH32" i="1"/>
  <c r="AI32" i="1"/>
  <c r="Z33" i="1"/>
  <c r="R33" i="9" s="1"/>
  <c r="E33" i="20" s="1"/>
  <c r="AA33" i="1"/>
  <c r="S33" i="9" s="1"/>
  <c r="F33" i="20" s="1"/>
  <c r="AB33" i="1"/>
  <c r="T33" i="9" s="1"/>
  <c r="G33" i="20" s="1"/>
  <c r="AC33" i="1"/>
  <c r="U33" i="9" s="1"/>
  <c r="H33" i="20" s="1"/>
  <c r="AD33" i="1"/>
  <c r="V33" i="9" s="1"/>
  <c r="I33" i="20" s="1"/>
  <c r="AE33" i="1"/>
  <c r="W33" i="9" s="1"/>
  <c r="J33" i="20" s="1"/>
  <c r="AF33" i="1"/>
  <c r="AG33" i="1"/>
  <c r="AH33" i="1"/>
  <c r="AI33" i="1"/>
  <c r="Z34" i="1"/>
  <c r="R34" i="9" s="1"/>
  <c r="E34" i="20" s="1"/>
  <c r="AA34" i="1"/>
  <c r="AB34" i="1"/>
  <c r="AC34" i="1"/>
  <c r="U34" i="9" s="1"/>
  <c r="H34" i="20" s="1"/>
  <c r="AD34" i="1"/>
  <c r="V34" i="9" s="1"/>
  <c r="I34" i="20" s="1"/>
  <c r="AE34" i="1"/>
  <c r="W34" i="9" s="1"/>
  <c r="J34" i="20" s="1"/>
  <c r="AF34" i="1"/>
  <c r="AG34" i="1"/>
  <c r="AH34" i="1"/>
  <c r="AI34" i="1"/>
  <c r="Z35" i="1"/>
  <c r="R35" i="9" s="1"/>
  <c r="E35" i="20" s="1"/>
  <c r="AA35" i="1"/>
  <c r="S35" i="9" s="1"/>
  <c r="F35" i="20" s="1"/>
  <c r="AB35" i="1"/>
  <c r="T35" i="9" s="1"/>
  <c r="G35" i="20" s="1"/>
  <c r="AC35" i="1"/>
  <c r="U35" i="9" s="1"/>
  <c r="H35" i="20" s="1"/>
  <c r="AD35" i="1"/>
  <c r="V35" i="9" s="1"/>
  <c r="I35" i="20" s="1"/>
  <c r="AE35" i="1"/>
  <c r="W35" i="9" s="1"/>
  <c r="J35" i="20" s="1"/>
  <c r="AF35" i="1"/>
  <c r="AG35" i="1"/>
  <c r="AH35" i="1"/>
  <c r="AI35" i="1"/>
  <c r="Z36" i="1"/>
  <c r="R36" i="9" s="1"/>
  <c r="E36" i="20" s="1"/>
  <c r="AA36" i="1"/>
  <c r="S36" i="9" s="1"/>
  <c r="F36" i="20" s="1"/>
  <c r="AB36" i="1"/>
  <c r="T36" i="9" s="1"/>
  <c r="G36" i="20" s="1"/>
  <c r="AC36" i="1"/>
  <c r="U36" i="9" s="1"/>
  <c r="H36" i="20" s="1"/>
  <c r="AD36" i="1"/>
  <c r="V36" i="9" s="1"/>
  <c r="I36" i="20" s="1"/>
  <c r="AE36" i="1"/>
  <c r="W36" i="9" s="1"/>
  <c r="J36" i="20" s="1"/>
  <c r="AF36" i="1"/>
  <c r="AG36" i="1"/>
  <c r="AH36" i="1"/>
  <c r="AI36" i="1"/>
  <c r="Z37" i="1"/>
  <c r="AA37" i="1"/>
  <c r="S37" i="9" s="1"/>
  <c r="F37" i="20" s="1"/>
  <c r="AB37" i="1"/>
  <c r="T37" i="9" s="1"/>
  <c r="G37" i="20" s="1"/>
  <c r="AC37" i="1"/>
  <c r="U37" i="9" s="1"/>
  <c r="H37" i="20" s="1"/>
  <c r="AD37" i="1"/>
  <c r="V37" i="9" s="1"/>
  <c r="I37" i="20" s="1"/>
  <c r="AE37" i="1"/>
  <c r="W37" i="9" s="1"/>
  <c r="J37" i="20" s="1"/>
  <c r="AF37" i="1"/>
  <c r="AG37" i="1"/>
  <c r="AH37" i="1"/>
  <c r="AI37" i="1"/>
  <c r="Z38" i="1"/>
  <c r="R38" i="9" s="1"/>
  <c r="E38" i="20" s="1"/>
  <c r="AA38" i="1"/>
  <c r="S38" i="9" s="1"/>
  <c r="F38" i="20" s="1"/>
  <c r="AB38" i="1"/>
  <c r="T38" i="9" s="1"/>
  <c r="G38" i="20" s="1"/>
  <c r="AC38" i="1"/>
  <c r="U38" i="9" s="1"/>
  <c r="H38" i="20" s="1"/>
  <c r="AD38" i="1"/>
  <c r="V38" i="9" s="1"/>
  <c r="I38" i="20" s="1"/>
  <c r="AE38" i="1"/>
  <c r="W38" i="9" s="1"/>
  <c r="J38" i="20" s="1"/>
  <c r="AF38" i="1"/>
  <c r="AG38" i="1"/>
  <c r="AH38" i="1"/>
  <c r="AI38" i="1"/>
  <c r="Z39" i="1"/>
  <c r="R39" i="9" s="1"/>
  <c r="E39" i="20" s="1"/>
  <c r="AA39" i="1"/>
  <c r="S39" i="9" s="1"/>
  <c r="F39" i="20" s="1"/>
  <c r="AB39" i="1"/>
  <c r="T39" i="9" s="1"/>
  <c r="G39" i="20" s="1"/>
  <c r="AC39" i="1"/>
  <c r="AD39" i="1"/>
  <c r="AE39" i="1"/>
  <c r="W39" i="9" s="1"/>
  <c r="J39" i="20" s="1"/>
  <c r="AF39" i="1"/>
  <c r="AG39" i="1"/>
  <c r="AH39" i="1"/>
  <c r="AI39" i="1"/>
  <c r="AA28" i="1"/>
  <c r="S28" i="9" s="1"/>
  <c r="F28" i="20" s="1"/>
  <c r="AB28" i="1"/>
  <c r="T28" i="9" s="1"/>
  <c r="G28" i="20" s="1"/>
  <c r="AC28" i="1"/>
  <c r="U28" i="9" s="1"/>
  <c r="H28" i="20" s="1"/>
  <c r="AD28" i="1"/>
  <c r="V28" i="9" s="1"/>
  <c r="I28" i="20" s="1"/>
  <c r="AE28" i="1"/>
  <c r="W28" i="9" s="1"/>
  <c r="J28" i="20" s="1"/>
  <c r="AF28" i="1"/>
  <c r="AG28" i="1"/>
  <c r="AH28" i="1"/>
  <c r="AI28" i="1"/>
  <c r="Z28" i="1"/>
  <c r="R28" i="9" s="1"/>
  <c r="E28" i="20" s="1"/>
  <c r="Z17" i="1"/>
  <c r="R17" i="9" s="1"/>
  <c r="E17" i="20" s="1"/>
  <c r="AA17" i="1"/>
  <c r="S17" i="9" s="1"/>
  <c r="F17" i="20" s="1"/>
  <c r="AB17" i="1"/>
  <c r="T17" i="9" s="1"/>
  <c r="G17" i="20" s="1"/>
  <c r="AC17" i="1"/>
  <c r="U17" i="9" s="1"/>
  <c r="H17" i="20" s="1"/>
  <c r="AD17" i="1"/>
  <c r="V17" i="9" s="1"/>
  <c r="I17" i="20" s="1"/>
  <c r="AE17" i="1"/>
  <c r="W17" i="9" s="1"/>
  <c r="J17" i="20" s="1"/>
  <c r="AF17" i="1"/>
  <c r="AG17" i="1"/>
  <c r="AH17" i="1"/>
  <c r="AI17" i="1"/>
  <c r="Z18" i="1"/>
  <c r="R18" i="9" s="1"/>
  <c r="E18" i="20" s="1"/>
  <c r="AA18" i="1"/>
  <c r="S18" i="9" s="1"/>
  <c r="F18" i="20" s="1"/>
  <c r="AB18" i="1"/>
  <c r="AC18" i="1"/>
  <c r="U18" i="9" s="1"/>
  <c r="H18" i="20" s="1"/>
  <c r="AD18" i="1"/>
  <c r="V18" i="9" s="1"/>
  <c r="I18" i="20" s="1"/>
  <c r="AE18" i="1"/>
  <c r="W18" i="9" s="1"/>
  <c r="J18" i="20" s="1"/>
  <c r="AF18" i="1"/>
  <c r="AG18" i="1"/>
  <c r="AH18" i="1"/>
  <c r="AI18" i="1"/>
  <c r="Z19" i="1"/>
  <c r="R19" i="9" s="1"/>
  <c r="E19" i="20" s="1"/>
  <c r="AA19" i="1"/>
  <c r="S19" i="9" s="1"/>
  <c r="F19" i="20" s="1"/>
  <c r="AB19" i="1"/>
  <c r="T19" i="9" s="1"/>
  <c r="G19" i="20" s="1"/>
  <c r="AC19" i="1"/>
  <c r="U19" i="9" s="1"/>
  <c r="H19" i="20" s="1"/>
  <c r="AD19" i="1"/>
  <c r="V19" i="9" s="1"/>
  <c r="I19" i="20" s="1"/>
  <c r="AE19" i="1"/>
  <c r="W19" i="9" s="1"/>
  <c r="J19" i="20" s="1"/>
  <c r="AF19" i="1"/>
  <c r="AG19" i="1"/>
  <c r="AH19" i="1"/>
  <c r="AI19" i="1"/>
  <c r="Z20" i="1"/>
  <c r="R20" i="9" s="1"/>
  <c r="E20" i="20" s="1"/>
  <c r="AA20" i="1"/>
  <c r="S20" i="9" s="1"/>
  <c r="F20" i="20" s="1"/>
  <c r="AB20" i="1"/>
  <c r="T20" i="9" s="1"/>
  <c r="G20" i="20" s="1"/>
  <c r="AC20" i="1"/>
  <c r="U20" i="9" s="1"/>
  <c r="H20" i="20" s="1"/>
  <c r="AD20" i="1"/>
  <c r="V20" i="9" s="1"/>
  <c r="I20" i="20" s="1"/>
  <c r="AE20" i="1"/>
  <c r="W20" i="9" s="1"/>
  <c r="J20" i="20" s="1"/>
  <c r="AF20" i="1"/>
  <c r="AG20" i="1"/>
  <c r="AH20" i="1"/>
  <c r="AI20" i="1"/>
  <c r="Z21" i="1"/>
  <c r="AA21" i="1"/>
  <c r="S21" i="9" s="1"/>
  <c r="F21" i="20" s="1"/>
  <c r="AB21" i="1"/>
  <c r="T21" i="9" s="1"/>
  <c r="G21" i="20" s="1"/>
  <c r="AC21" i="1"/>
  <c r="U21" i="9" s="1"/>
  <c r="H21" i="20" s="1"/>
  <c r="AD21" i="1"/>
  <c r="V21" i="9" s="1"/>
  <c r="I21" i="20" s="1"/>
  <c r="AE21" i="1"/>
  <c r="W21" i="9" s="1"/>
  <c r="J21" i="20" s="1"/>
  <c r="AF21" i="1"/>
  <c r="AG21" i="1"/>
  <c r="AH21" i="1"/>
  <c r="AI21" i="1"/>
  <c r="Z22" i="1"/>
  <c r="R22" i="9" s="1"/>
  <c r="E22" i="20" s="1"/>
  <c r="AA22" i="1"/>
  <c r="S22" i="9" s="1"/>
  <c r="F22" i="20" s="1"/>
  <c r="AB22" i="1"/>
  <c r="T22" i="9" s="1"/>
  <c r="G22" i="20" s="1"/>
  <c r="AC22" i="1"/>
  <c r="U22" i="9" s="1"/>
  <c r="H22" i="20" s="1"/>
  <c r="AD22" i="1"/>
  <c r="V22" i="9" s="1"/>
  <c r="I22" i="20" s="1"/>
  <c r="AE22" i="1"/>
  <c r="W22" i="9" s="1"/>
  <c r="J22" i="20" s="1"/>
  <c r="AF22" i="1"/>
  <c r="AG22" i="1"/>
  <c r="AH22" i="1"/>
  <c r="AI22" i="1"/>
  <c r="Z23" i="1"/>
  <c r="R23" i="9" s="1"/>
  <c r="E23" i="20" s="1"/>
  <c r="AA23" i="1"/>
  <c r="S23" i="9" s="1"/>
  <c r="F23" i="20" s="1"/>
  <c r="AB23" i="1"/>
  <c r="T23" i="9" s="1"/>
  <c r="G23" i="20" s="1"/>
  <c r="AC23" i="1"/>
  <c r="U23" i="9" s="1"/>
  <c r="H23" i="20" s="1"/>
  <c r="AD23" i="1"/>
  <c r="AE23" i="1"/>
  <c r="W23" i="9" s="1"/>
  <c r="J23" i="20" s="1"/>
  <c r="AF23" i="1"/>
  <c r="AG23" i="1"/>
  <c r="AH23" i="1"/>
  <c r="AI23" i="1"/>
  <c r="Z24" i="1"/>
  <c r="R24" i="9" s="1"/>
  <c r="E24" i="20" s="1"/>
  <c r="AA24" i="1"/>
  <c r="S24" i="9" s="1"/>
  <c r="F24" i="20" s="1"/>
  <c r="AB24" i="1"/>
  <c r="T24" i="9" s="1"/>
  <c r="G24" i="20" s="1"/>
  <c r="AC24" i="1"/>
  <c r="U24" i="9" s="1"/>
  <c r="H24" i="20" s="1"/>
  <c r="AD24" i="1"/>
  <c r="V24" i="9" s="1"/>
  <c r="I24" i="20" s="1"/>
  <c r="AE24" i="1"/>
  <c r="W24" i="9" s="1"/>
  <c r="J24" i="20" s="1"/>
  <c r="AF24" i="1"/>
  <c r="AG24" i="1"/>
  <c r="AH24" i="1"/>
  <c r="AI24" i="1"/>
  <c r="Z25" i="1"/>
  <c r="R25" i="9" s="1"/>
  <c r="E25" i="20" s="1"/>
  <c r="AA25" i="1"/>
  <c r="S25" i="9" s="1"/>
  <c r="F25" i="20" s="1"/>
  <c r="AB25" i="1"/>
  <c r="T25" i="9" s="1"/>
  <c r="G25" i="20" s="1"/>
  <c r="AC25" i="1"/>
  <c r="U25" i="9" s="1"/>
  <c r="H25" i="20" s="1"/>
  <c r="AD25" i="1"/>
  <c r="V25" i="9" s="1"/>
  <c r="I25" i="20" s="1"/>
  <c r="AE25" i="1"/>
  <c r="W25" i="9" s="1"/>
  <c r="J25" i="20" s="1"/>
  <c r="AF25" i="1"/>
  <c r="AG25" i="1"/>
  <c r="AH25" i="1"/>
  <c r="AI25" i="1"/>
  <c r="Z26" i="1"/>
  <c r="R26" i="9" s="1"/>
  <c r="E26" i="20" s="1"/>
  <c r="AA26" i="1"/>
  <c r="S26" i="9" s="1"/>
  <c r="F26" i="20" s="1"/>
  <c r="AB26" i="1"/>
  <c r="AC26" i="1"/>
  <c r="U26" i="9" s="1"/>
  <c r="H26" i="20" s="1"/>
  <c r="AD26" i="1"/>
  <c r="V26" i="9" s="1"/>
  <c r="I26" i="20" s="1"/>
  <c r="AE26" i="1"/>
  <c r="W26" i="9" s="1"/>
  <c r="J26" i="20" s="1"/>
  <c r="AF26" i="1"/>
  <c r="AG26" i="1"/>
  <c r="AH26" i="1"/>
  <c r="AI26" i="1"/>
  <c r="Z27" i="1"/>
  <c r="R27" i="9" s="1"/>
  <c r="E27" i="20" s="1"/>
  <c r="AA27" i="1"/>
  <c r="S27" i="9" s="1"/>
  <c r="F27" i="20" s="1"/>
  <c r="AB27" i="1"/>
  <c r="T27" i="9" s="1"/>
  <c r="G27" i="20" s="1"/>
  <c r="AC27" i="1"/>
  <c r="U27" i="9" s="1"/>
  <c r="H27" i="20" s="1"/>
  <c r="AD27" i="1"/>
  <c r="V27" i="9" s="1"/>
  <c r="I27" i="20" s="1"/>
  <c r="AE27" i="1"/>
  <c r="W27" i="9" s="1"/>
  <c r="J27" i="20" s="1"/>
  <c r="AF27" i="1"/>
  <c r="AG27" i="1"/>
  <c r="AH27" i="1"/>
  <c r="AI27" i="1"/>
  <c r="AA16" i="1"/>
  <c r="S16" i="9" s="1"/>
  <c r="F16" i="20" s="1"/>
  <c r="AB16" i="1"/>
  <c r="T16" i="9" s="1"/>
  <c r="G16" i="20" s="1"/>
  <c r="AC16" i="1"/>
  <c r="U16" i="9" s="1"/>
  <c r="H16" i="20" s="1"/>
  <c r="AD16" i="1"/>
  <c r="V16" i="9" s="1"/>
  <c r="I16" i="20" s="1"/>
  <c r="AE16" i="1"/>
  <c r="W16" i="9" s="1"/>
  <c r="J16" i="20" s="1"/>
  <c r="AF16" i="1"/>
  <c r="AG16" i="1"/>
  <c r="AH16" i="1"/>
  <c r="AI16" i="1"/>
  <c r="Z16" i="1"/>
  <c r="R16" i="9" s="1"/>
  <c r="E16" i="20" s="1"/>
  <c r="Z5" i="1"/>
  <c r="AA5" i="1"/>
  <c r="S5" i="9" s="1"/>
  <c r="F5" i="20" s="1"/>
  <c r="AB5" i="1"/>
  <c r="T5" i="9" s="1"/>
  <c r="G5" i="20" s="1"/>
  <c r="AC5" i="1"/>
  <c r="U5" i="9" s="1"/>
  <c r="H5" i="20" s="1"/>
  <c r="AD5" i="1"/>
  <c r="V5" i="9" s="1"/>
  <c r="I5" i="20" s="1"/>
  <c r="AE5" i="1"/>
  <c r="W5" i="9" s="1"/>
  <c r="J5" i="20" s="1"/>
  <c r="AF5" i="1"/>
  <c r="AG5" i="1"/>
  <c r="AH5" i="1"/>
  <c r="AI5" i="1"/>
  <c r="Z6" i="1"/>
  <c r="R6" i="9" s="1"/>
  <c r="E6" i="20" s="1"/>
  <c r="AA6" i="1"/>
  <c r="S6" i="9" s="1"/>
  <c r="F6" i="20" s="1"/>
  <c r="AB6" i="1"/>
  <c r="T6" i="9" s="1"/>
  <c r="G6" i="20" s="1"/>
  <c r="AC6" i="1"/>
  <c r="U6" i="9" s="1"/>
  <c r="H6" i="20" s="1"/>
  <c r="AD6" i="1"/>
  <c r="V6" i="9" s="1"/>
  <c r="I6" i="20" s="1"/>
  <c r="AE6" i="1"/>
  <c r="W6" i="9" s="1"/>
  <c r="J6" i="20" s="1"/>
  <c r="AF6" i="1"/>
  <c r="AG6" i="1"/>
  <c r="AH6" i="1"/>
  <c r="AI6" i="1"/>
  <c r="Z7" i="1"/>
  <c r="R7" i="9" s="1"/>
  <c r="E7" i="20" s="1"/>
  <c r="AA7" i="1"/>
  <c r="S7" i="9" s="1"/>
  <c r="F7" i="20" s="1"/>
  <c r="AB7" i="1"/>
  <c r="T7" i="9" s="1"/>
  <c r="G7" i="20" s="1"/>
  <c r="AC7" i="1"/>
  <c r="U7" i="9" s="1"/>
  <c r="H7" i="20" s="1"/>
  <c r="AD7" i="1"/>
  <c r="AE7" i="1"/>
  <c r="W7" i="9" s="1"/>
  <c r="J7" i="20" s="1"/>
  <c r="AF7" i="1"/>
  <c r="AG7" i="1"/>
  <c r="AH7" i="1"/>
  <c r="AI7" i="1"/>
  <c r="Z8" i="1"/>
  <c r="R8" i="9" s="1"/>
  <c r="E8" i="20" s="1"/>
  <c r="AA8" i="1"/>
  <c r="S8" i="9" s="1"/>
  <c r="F8" i="20" s="1"/>
  <c r="AB8" i="1"/>
  <c r="T8" i="9" s="1"/>
  <c r="G8" i="20" s="1"/>
  <c r="AC8" i="1"/>
  <c r="U8" i="9" s="1"/>
  <c r="H8" i="20" s="1"/>
  <c r="AD8" i="1"/>
  <c r="V8" i="9" s="1"/>
  <c r="I8" i="20" s="1"/>
  <c r="AE8" i="1"/>
  <c r="W8" i="9" s="1"/>
  <c r="J8" i="20" s="1"/>
  <c r="AF8" i="1"/>
  <c r="AG8" i="1"/>
  <c r="AH8" i="1"/>
  <c r="AI8" i="1"/>
  <c r="Z9" i="1"/>
  <c r="R9" i="9" s="1"/>
  <c r="E9" i="20" s="1"/>
  <c r="AA9" i="1"/>
  <c r="S9" i="9" s="1"/>
  <c r="F9" i="20" s="1"/>
  <c r="AB9" i="1"/>
  <c r="T9" i="9" s="1"/>
  <c r="G9" i="20" s="1"/>
  <c r="AC9" i="1"/>
  <c r="U9" i="9" s="1"/>
  <c r="H9" i="20" s="1"/>
  <c r="AD9" i="1"/>
  <c r="V9" i="9" s="1"/>
  <c r="I9" i="20" s="1"/>
  <c r="AE9" i="1"/>
  <c r="W9" i="9" s="1"/>
  <c r="J9" i="20" s="1"/>
  <c r="AF9" i="1"/>
  <c r="AG9" i="1"/>
  <c r="AH9" i="1"/>
  <c r="AI9" i="1"/>
  <c r="Z10" i="1"/>
  <c r="R10" i="9" s="1"/>
  <c r="E10" i="20" s="1"/>
  <c r="AA10" i="1"/>
  <c r="S10" i="9" s="1"/>
  <c r="F10" i="20" s="1"/>
  <c r="AB10" i="1"/>
  <c r="AC10" i="1"/>
  <c r="U10" i="9" s="1"/>
  <c r="H10" i="20" s="1"/>
  <c r="AD10" i="1"/>
  <c r="V10" i="9" s="1"/>
  <c r="I10" i="20" s="1"/>
  <c r="AE10" i="1"/>
  <c r="W10" i="9" s="1"/>
  <c r="J10" i="20" s="1"/>
  <c r="AF10" i="1"/>
  <c r="AG10" i="1"/>
  <c r="AH10" i="1"/>
  <c r="AI10" i="1"/>
  <c r="Z11" i="1"/>
  <c r="R11" i="9" s="1"/>
  <c r="E11" i="20" s="1"/>
  <c r="AA11" i="1"/>
  <c r="S11" i="9" s="1"/>
  <c r="F11" i="20" s="1"/>
  <c r="AB11" i="1"/>
  <c r="T11" i="9" s="1"/>
  <c r="G11" i="20" s="1"/>
  <c r="AC11" i="1"/>
  <c r="U11" i="9" s="1"/>
  <c r="H11" i="20" s="1"/>
  <c r="AD11" i="1"/>
  <c r="V11" i="9" s="1"/>
  <c r="I11" i="20" s="1"/>
  <c r="AE11" i="1"/>
  <c r="W11" i="9" s="1"/>
  <c r="J11" i="20" s="1"/>
  <c r="AF11" i="1"/>
  <c r="AG11" i="1"/>
  <c r="AH11" i="1"/>
  <c r="AI11" i="1"/>
  <c r="Z12" i="1"/>
  <c r="R12" i="9" s="1"/>
  <c r="E12" i="20" s="1"/>
  <c r="AA12" i="1"/>
  <c r="S12" i="9" s="1"/>
  <c r="F12" i="20" s="1"/>
  <c r="AB12" i="1"/>
  <c r="T12" i="9" s="1"/>
  <c r="G12" i="20" s="1"/>
  <c r="AC12" i="1"/>
  <c r="U12" i="9" s="1"/>
  <c r="H12" i="20" s="1"/>
  <c r="AD12" i="1"/>
  <c r="V12" i="9" s="1"/>
  <c r="I12" i="20" s="1"/>
  <c r="AE12" i="1"/>
  <c r="W12" i="9" s="1"/>
  <c r="J12" i="20" s="1"/>
  <c r="AF12" i="1"/>
  <c r="AG12" i="1"/>
  <c r="AH12" i="1"/>
  <c r="AI12" i="1"/>
  <c r="Z13" i="1"/>
  <c r="AA13" i="1"/>
  <c r="S13" i="9" s="1"/>
  <c r="F13" i="20" s="1"/>
  <c r="AB13" i="1"/>
  <c r="T13" i="9" s="1"/>
  <c r="G13" i="20" s="1"/>
  <c r="AC13" i="1"/>
  <c r="U13" i="9" s="1"/>
  <c r="H13" i="20" s="1"/>
  <c r="AD13" i="1"/>
  <c r="V13" i="9" s="1"/>
  <c r="I13" i="20" s="1"/>
  <c r="AE13" i="1"/>
  <c r="W13" i="9" s="1"/>
  <c r="J13" i="20" s="1"/>
  <c r="AF13" i="1"/>
  <c r="AG13" i="1"/>
  <c r="AH13" i="1"/>
  <c r="AI13" i="1"/>
  <c r="Z14" i="1"/>
  <c r="R14" i="9" s="1"/>
  <c r="E14" i="20" s="1"/>
  <c r="AA14" i="1"/>
  <c r="S14" i="9" s="1"/>
  <c r="F14" i="20" s="1"/>
  <c r="AB14" i="1"/>
  <c r="T14" i="9" s="1"/>
  <c r="G14" i="20" s="1"/>
  <c r="AC14" i="1"/>
  <c r="U14" i="9" s="1"/>
  <c r="H14" i="20" s="1"/>
  <c r="AD14" i="1"/>
  <c r="V14" i="9" s="1"/>
  <c r="I14" i="20" s="1"/>
  <c r="AE14" i="1"/>
  <c r="W14" i="9" s="1"/>
  <c r="J14" i="20" s="1"/>
  <c r="AF14" i="1"/>
  <c r="AG14" i="1"/>
  <c r="AH14" i="1"/>
  <c r="AI14" i="1"/>
  <c r="Z15" i="1"/>
  <c r="R15" i="9" s="1"/>
  <c r="E15" i="20" s="1"/>
  <c r="AA15" i="1"/>
  <c r="S15" i="9" s="1"/>
  <c r="F15" i="20" s="1"/>
  <c r="AB15" i="1"/>
  <c r="T15" i="9" s="1"/>
  <c r="G15" i="20" s="1"/>
  <c r="AC15" i="1"/>
  <c r="U15" i="9" s="1"/>
  <c r="H15" i="20" s="1"/>
  <c r="AD15" i="1"/>
  <c r="AE15" i="1"/>
  <c r="W15" i="9" s="1"/>
  <c r="J15" i="20" s="1"/>
  <c r="AF15" i="1"/>
  <c r="AG15" i="1"/>
  <c r="AH15" i="1"/>
  <c r="AI15" i="1"/>
  <c r="AA4" i="1"/>
  <c r="S4" i="9" s="1"/>
  <c r="F4" i="20" s="1"/>
  <c r="AB4" i="1"/>
  <c r="T4" i="9" s="1"/>
  <c r="G4" i="20" s="1"/>
  <c r="AC4" i="1"/>
  <c r="U4" i="9" s="1"/>
  <c r="H4" i="20" s="1"/>
  <c r="AD4" i="1"/>
  <c r="V4" i="9" s="1"/>
  <c r="I4" i="20" s="1"/>
  <c r="AE4" i="1"/>
  <c r="W4" i="9" s="1"/>
  <c r="J4" i="20" s="1"/>
  <c r="AF4" i="1"/>
  <c r="AG4" i="1"/>
  <c r="AH4" i="1"/>
  <c r="AI4" i="1"/>
  <c r="Z4" i="1"/>
  <c r="R4" i="9" s="1"/>
  <c r="E4" i="20" s="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I4" i="21"/>
  <c r="H4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G40" i="21"/>
  <c r="F40" i="21"/>
  <c r="F39" i="21"/>
  <c r="G39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G28" i="21"/>
  <c r="F28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G16" i="21"/>
  <c r="F16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G4" i="21"/>
  <c r="F4" i="21"/>
  <c r="E51" i="21"/>
  <c r="E50" i="21"/>
  <c r="E49" i="21"/>
  <c r="E48" i="21"/>
  <c r="E47" i="21"/>
  <c r="E46" i="21"/>
  <c r="E45" i="21"/>
  <c r="E44" i="21"/>
  <c r="E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E5" i="21"/>
  <c r="E4" i="21"/>
  <c r="S80" i="20"/>
  <c r="O80" i="20"/>
  <c r="T79" i="20"/>
  <c r="S79" i="20"/>
  <c r="P79" i="20"/>
  <c r="O79" i="20"/>
  <c r="W64" i="20"/>
  <c r="S64" i="20"/>
  <c r="O64" i="20"/>
  <c r="X63" i="20"/>
  <c r="W63" i="20"/>
  <c r="T63" i="20"/>
  <c r="S63" i="20"/>
  <c r="P63" i="20"/>
  <c r="O63" i="20"/>
  <c r="W48" i="20"/>
  <c r="S48" i="20"/>
  <c r="O48" i="20"/>
  <c r="X47" i="20"/>
  <c r="W47" i="20"/>
  <c r="T47" i="20"/>
  <c r="S47" i="20"/>
  <c r="P47" i="20"/>
  <c r="O47" i="20"/>
  <c r="W16" i="20"/>
  <c r="S16" i="20"/>
  <c r="O16" i="20"/>
  <c r="X15" i="20"/>
  <c r="W15" i="20"/>
  <c r="T15" i="20"/>
  <c r="S15" i="20"/>
  <c r="P15" i="20"/>
  <c r="O15" i="20"/>
  <c r="V5" i="10" l="1"/>
  <c r="Q5" i="10"/>
  <c r="R5" i="10"/>
  <c r="S5" i="10"/>
  <c r="T5" i="10"/>
  <c r="U5" i="10"/>
  <c r="Q6" i="10"/>
  <c r="R6" i="10"/>
  <c r="S6" i="10"/>
  <c r="T6" i="10"/>
  <c r="U6" i="10"/>
  <c r="V6" i="10"/>
  <c r="Q7" i="10"/>
  <c r="R7" i="10"/>
  <c r="S7" i="10"/>
  <c r="T7" i="10"/>
  <c r="U7" i="10"/>
  <c r="V7" i="10"/>
  <c r="Q8" i="10"/>
  <c r="R8" i="10"/>
  <c r="S8" i="10"/>
  <c r="T8" i="10"/>
  <c r="U8" i="10"/>
  <c r="V8" i="10"/>
  <c r="Q9" i="10"/>
  <c r="R9" i="10"/>
  <c r="S9" i="10"/>
  <c r="T9" i="10"/>
  <c r="U9" i="10"/>
  <c r="V9" i="10"/>
  <c r="Q10" i="10"/>
  <c r="R10" i="10"/>
  <c r="S10" i="10"/>
  <c r="T10" i="10"/>
  <c r="U10" i="10"/>
  <c r="V10" i="10"/>
  <c r="Q11" i="10"/>
  <c r="R11" i="10"/>
  <c r="S11" i="10"/>
  <c r="T11" i="10"/>
  <c r="U11" i="10"/>
  <c r="V11" i="10"/>
  <c r="Q12" i="10"/>
  <c r="R12" i="10"/>
  <c r="S12" i="10"/>
  <c r="T12" i="10"/>
  <c r="U12" i="10"/>
  <c r="V12" i="10"/>
  <c r="Q13" i="10"/>
  <c r="R13" i="10"/>
  <c r="S13" i="10"/>
  <c r="T13" i="10"/>
  <c r="U13" i="10"/>
  <c r="V13" i="10"/>
  <c r="Q14" i="10"/>
  <c r="R14" i="10"/>
  <c r="S14" i="10"/>
  <c r="T14" i="10"/>
  <c r="U14" i="10"/>
  <c r="V14" i="10"/>
  <c r="Q15" i="10"/>
  <c r="R15" i="10"/>
  <c r="S15" i="10"/>
  <c r="T15" i="10"/>
  <c r="U15" i="10"/>
  <c r="V15" i="10"/>
  <c r="Q16" i="10"/>
  <c r="R16" i="10"/>
  <c r="S16" i="10"/>
  <c r="T16" i="10"/>
  <c r="U16" i="10"/>
  <c r="V16" i="10"/>
  <c r="Q17" i="10"/>
  <c r="R17" i="10"/>
  <c r="S17" i="10"/>
  <c r="T17" i="10"/>
  <c r="U17" i="10"/>
  <c r="V17" i="10"/>
  <c r="Q18" i="10"/>
  <c r="R18" i="10"/>
  <c r="S18" i="10"/>
  <c r="T18" i="10"/>
  <c r="U18" i="10"/>
  <c r="V18" i="10"/>
  <c r="U20" i="10"/>
  <c r="V20" i="10"/>
  <c r="R4" i="10"/>
  <c r="S4" i="10"/>
  <c r="T4" i="10"/>
  <c r="U4" i="10"/>
  <c r="V4" i="10"/>
  <c r="Q4" i="10"/>
  <c r="Q19" i="10"/>
  <c r="R19" i="10"/>
  <c r="S19" i="10"/>
  <c r="U19" i="10"/>
  <c r="V19" i="10"/>
  <c r="T19" i="10"/>
  <c r="R20" i="10"/>
  <c r="S20" i="10"/>
  <c r="Q20" i="10"/>
  <c r="T20" i="10"/>
  <c r="Q21" i="10"/>
  <c r="R21" i="10"/>
  <c r="T21" i="10"/>
  <c r="V21" i="10"/>
  <c r="S21" i="10"/>
  <c r="U21" i="10"/>
  <c r="AE238" i="16"/>
  <c r="AA238" i="16"/>
  <c r="W238" i="16"/>
  <c r="AF237" i="16"/>
  <c r="AE237" i="16"/>
  <c r="AB237" i="16"/>
  <c r="AA237" i="16"/>
  <c r="X237" i="16"/>
  <c r="W237" i="16"/>
  <c r="AE221" i="16"/>
  <c r="AA221" i="16"/>
  <c r="W221" i="16"/>
  <c r="AF220" i="16"/>
  <c r="AE220" i="16"/>
  <c r="AB220" i="16"/>
  <c r="AA220" i="16"/>
  <c r="X220" i="16"/>
  <c r="W220" i="16"/>
  <c r="AE204" i="16"/>
  <c r="AA204" i="16"/>
  <c r="W204" i="16"/>
  <c r="AF203" i="16"/>
  <c r="AE203" i="16"/>
  <c r="AB203" i="16"/>
  <c r="AA203" i="16"/>
  <c r="X203" i="16"/>
  <c r="W203" i="16"/>
  <c r="AE187" i="16"/>
  <c r="AA187" i="16"/>
  <c r="W187" i="16"/>
  <c r="AF186" i="16"/>
  <c r="AE186" i="16"/>
  <c r="AB186" i="16"/>
  <c r="AA186" i="16"/>
  <c r="X186" i="16"/>
  <c r="W186" i="16"/>
  <c r="AE170" i="16"/>
  <c r="AA170" i="16"/>
  <c r="W170" i="16"/>
  <c r="AF169" i="16"/>
  <c r="AE169" i="16"/>
  <c r="AB169" i="16"/>
  <c r="AA169" i="16"/>
  <c r="X169" i="16"/>
  <c r="W169" i="16"/>
  <c r="AE153" i="16"/>
  <c r="AA153" i="16"/>
  <c r="W153" i="16"/>
  <c r="AF152" i="16"/>
  <c r="AE152" i="16"/>
  <c r="AB152" i="16"/>
  <c r="AA152" i="16"/>
  <c r="X152" i="16"/>
  <c r="W152" i="16"/>
  <c r="AE136" i="16"/>
  <c r="AA136" i="16"/>
  <c r="W136" i="16"/>
  <c r="AF135" i="16"/>
  <c r="AE135" i="16"/>
  <c r="AB135" i="16"/>
  <c r="AA135" i="16"/>
  <c r="X135" i="16"/>
  <c r="W135" i="16"/>
  <c r="AE119" i="16"/>
  <c r="AA119" i="16"/>
  <c r="W119" i="16"/>
  <c r="AF118" i="16"/>
  <c r="AE118" i="16"/>
  <c r="AB118" i="16"/>
  <c r="AA118" i="16"/>
  <c r="X118" i="16"/>
  <c r="W118" i="16"/>
  <c r="AE102" i="16"/>
  <c r="AA102" i="16"/>
  <c r="W102" i="16"/>
  <c r="AF101" i="16"/>
  <c r="AE101" i="16"/>
  <c r="AB101" i="16"/>
  <c r="AA101" i="16"/>
  <c r="X101" i="16"/>
  <c r="W101" i="16"/>
  <c r="AE85" i="16"/>
  <c r="AA85" i="16"/>
  <c r="W85" i="16"/>
  <c r="AF84" i="16"/>
  <c r="AE84" i="16"/>
  <c r="AB84" i="16"/>
  <c r="AA84" i="16"/>
  <c r="X84" i="16"/>
  <c r="W84" i="16"/>
  <c r="AE68" i="16"/>
  <c r="AA68" i="16"/>
  <c r="W68" i="16"/>
  <c r="AF67" i="16"/>
  <c r="AE67" i="16"/>
  <c r="AB67" i="16"/>
  <c r="AA67" i="16"/>
  <c r="X67" i="16"/>
  <c r="W67" i="16"/>
  <c r="AE51" i="16"/>
  <c r="AA51" i="16"/>
  <c r="W51" i="16"/>
  <c r="AF50" i="16"/>
  <c r="AE50" i="16"/>
  <c r="AB50" i="16"/>
  <c r="AA50" i="16"/>
  <c r="X50" i="16"/>
  <c r="W50" i="16"/>
  <c r="AE34" i="16"/>
  <c r="AA34" i="16"/>
  <c r="W34" i="16"/>
  <c r="AF33" i="16"/>
  <c r="AE33" i="16"/>
  <c r="AB33" i="16"/>
  <c r="AA33" i="16"/>
  <c r="X33" i="16"/>
  <c r="W33" i="16"/>
  <c r="AE17" i="16"/>
  <c r="AF16" i="16"/>
  <c r="AE16" i="16"/>
  <c r="AA17" i="16"/>
  <c r="AB16" i="16"/>
  <c r="AA16" i="16"/>
  <c r="W16" i="16"/>
  <c r="W17" i="16"/>
  <c r="X16" i="16"/>
  <c r="E5" i="16" l="1"/>
  <c r="F5" i="16"/>
  <c r="G5" i="16"/>
  <c r="H5" i="16"/>
  <c r="I5" i="16"/>
  <c r="J5" i="16"/>
  <c r="K5" i="16"/>
  <c r="L5" i="16"/>
  <c r="M5" i="16"/>
  <c r="N5" i="16"/>
  <c r="O5" i="16"/>
  <c r="P5" i="16"/>
  <c r="E6" i="16"/>
  <c r="F6" i="16"/>
  <c r="G6" i="16"/>
  <c r="H6" i="16"/>
  <c r="I6" i="16"/>
  <c r="J6" i="16"/>
  <c r="K6" i="16"/>
  <c r="L6" i="16"/>
  <c r="M6" i="16"/>
  <c r="N6" i="16"/>
  <c r="O6" i="16"/>
  <c r="P6" i="16"/>
  <c r="E7" i="16"/>
  <c r="F7" i="16"/>
  <c r="G7" i="16"/>
  <c r="H7" i="16"/>
  <c r="I7" i="16"/>
  <c r="J7" i="16"/>
  <c r="K7" i="16"/>
  <c r="L7" i="16"/>
  <c r="M7" i="16"/>
  <c r="N7" i="16"/>
  <c r="O7" i="16"/>
  <c r="P7" i="16"/>
  <c r="E8" i="16"/>
  <c r="F8" i="16"/>
  <c r="G8" i="16"/>
  <c r="H8" i="16"/>
  <c r="I8" i="16"/>
  <c r="J8" i="16"/>
  <c r="K8" i="16"/>
  <c r="L8" i="16"/>
  <c r="M8" i="16"/>
  <c r="N8" i="16"/>
  <c r="O8" i="16"/>
  <c r="P8" i="16"/>
  <c r="E9" i="16"/>
  <c r="F9" i="16"/>
  <c r="G9" i="16"/>
  <c r="H9" i="16"/>
  <c r="I9" i="16"/>
  <c r="J9" i="16"/>
  <c r="K9" i="16"/>
  <c r="L9" i="16"/>
  <c r="M9" i="16"/>
  <c r="N9" i="16"/>
  <c r="O9" i="16"/>
  <c r="P9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E12" i="16"/>
  <c r="F12" i="16"/>
  <c r="G12" i="16"/>
  <c r="H12" i="16"/>
  <c r="I12" i="16"/>
  <c r="J12" i="16"/>
  <c r="K12" i="16"/>
  <c r="L12" i="16"/>
  <c r="M12" i="16"/>
  <c r="N12" i="16"/>
  <c r="O12" i="16"/>
  <c r="P12" i="16"/>
  <c r="E13" i="16"/>
  <c r="F13" i="16"/>
  <c r="G13" i="16"/>
  <c r="H13" i="16"/>
  <c r="I13" i="16"/>
  <c r="J13" i="16"/>
  <c r="K13" i="16"/>
  <c r="L13" i="16"/>
  <c r="M13" i="16"/>
  <c r="N13" i="16"/>
  <c r="O13" i="16"/>
  <c r="P13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E19" i="16"/>
  <c r="F19" i="16"/>
  <c r="G19" i="16"/>
  <c r="H19" i="16"/>
  <c r="I19" i="16"/>
  <c r="J19" i="16"/>
  <c r="K19" i="16"/>
  <c r="L19" i="16"/>
  <c r="M19" i="16"/>
  <c r="N19" i="16"/>
  <c r="O19" i="16"/>
  <c r="P19" i="16"/>
  <c r="E20" i="16"/>
  <c r="F20" i="16"/>
  <c r="G20" i="16"/>
  <c r="H20" i="16"/>
  <c r="I20" i="16"/>
  <c r="J20" i="16"/>
  <c r="K20" i="16"/>
  <c r="L20" i="16"/>
  <c r="M20" i="16"/>
  <c r="N20" i="16"/>
  <c r="O20" i="16"/>
  <c r="P20" i="16"/>
  <c r="E21" i="16"/>
  <c r="F21" i="16"/>
  <c r="G21" i="16"/>
  <c r="H21" i="16"/>
  <c r="I21" i="16"/>
  <c r="J21" i="16"/>
  <c r="K21" i="16"/>
  <c r="L21" i="16"/>
  <c r="M21" i="16"/>
  <c r="N21" i="16"/>
  <c r="O21" i="16"/>
  <c r="P21" i="16"/>
  <c r="E22" i="16"/>
  <c r="F22" i="16"/>
  <c r="G22" i="16"/>
  <c r="H22" i="16"/>
  <c r="I22" i="16"/>
  <c r="J22" i="16"/>
  <c r="K22" i="16"/>
  <c r="L22" i="16"/>
  <c r="M22" i="16"/>
  <c r="N22" i="16"/>
  <c r="O22" i="16"/>
  <c r="P22" i="16"/>
  <c r="E23" i="16"/>
  <c r="F23" i="16"/>
  <c r="G23" i="16"/>
  <c r="H23" i="16"/>
  <c r="I23" i="16"/>
  <c r="J23" i="16"/>
  <c r="K23" i="16"/>
  <c r="L23" i="16"/>
  <c r="M23" i="16"/>
  <c r="N23" i="16"/>
  <c r="O23" i="16"/>
  <c r="P23" i="16"/>
  <c r="E24" i="16"/>
  <c r="F24" i="16"/>
  <c r="G24" i="16"/>
  <c r="H24" i="16"/>
  <c r="I24" i="16"/>
  <c r="J24" i="16"/>
  <c r="K24" i="16"/>
  <c r="L24" i="16"/>
  <c r="M24" i="16"/>
  <c r="N24" i="16"/>
  <c r="O24" i="16"/>
  <c r="P24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E26" i="16"/>
  <c r="F26" i="16"/>
  <c r="G26" i="16"/>
  <c r="H26" i="16"/>
  <c r="I26" i="16"/>
  <c r="J26" i="16"/>
  <c r="K26" i="16"/>
  <c r="L26" i="16"/>
  <c r="M26" i="16"/>
  <c r="N26" i="16"/>
  <c r="O26" i="16"/>
  <c r="P26" i="16"/>
  <c r="E27" i="16"/>
  <c r="F27" i="16"/>
  <c r="G27" i="16"/>
  <c r="H27" i="16"/>
  <c r="I27" i="16"/>
  <c r="J27" i="16"/>
  <c r="K27" i="16"/>
  <c r="L27" i="16"/>
  <c r="M27" i="16"/>
  <c r="N27" i="16"/>
  <c r="O27" i="16"/>
  <c r="P27" i="16"/>
  <c r="E28" i="16"/>
  <c r="F28" i="16"/>
  <c r="G28" i="16"/>
  <c r="H28" i="16"/>
  <c r="I28" i="16"/>
  <c r="J28" i="16"/>
  <c r="K28" i="16"/>
  <c r="L28" i="16"/>
  <c r="M28" i="16"/>
  <c r="N28" i="16"/>
  <c r="O28" i="16"/>
  <c r="P28" i="16"/>
  <c r="E29" i="16"/>
  <c r="F29" i="16"/>
  <c r="G29" i="16"/>
  <c r="H29" i="16"/>
  <c r="I29" i="16"/>
  <c r="J29" i="16"/>
  <c r="K29" i="16"/>
  <c r="L29" i="16"/>
  <c r="M29" i="16"/>
  <c r="N29" i="16"/>
  <c r="O29" i="16"/>
  <c r="P29" i="16"/>
  <c r="E30" i="16"/>
  <c r="F30" i="16"/>
  <c r="G30" i="16"/>
  <c r="H30" i="16"/>
  <c r="I30" i="16"/>
  <c r="J30" i="16"/>
  <c r="K30" i="16"/>
  <c r="L30" i="16"/>
  <c r="M30" i="16"/>
  <c r="N30" i="16"/>
  <c r="O30" i="16"/>
  <c r="P30" i="16"/>
  <c r="E31" i="16"/>
  <c r="F31" i="16"/>
  <c r="G31" i="16"/>
  <c r="H31" i="16"/>
  <c r="I31" i="16"/>
  <c r="J31" i="16"/>
  <c r="K31" i="16"/>
  <c r="L31" i="16"/>
  <c r="M31" i="16"/>
  <c r="N31" i="16"/>
  <c r="O31" i="16"/>
  <c r="P31" i="16"/>
  <c r="F4" i="16"/>
  <c r="G4" i="16"/>
  <c r="H4" i="16"/>
  <c r="I4" i="16"/>
  <c r="J4" i="16"/>
  <c r="K4" i="16"/>
  <c r="L4" i="16"/>
  <c r="M4" i="16"/>
  <c r="N4" i="16"/>
  <c r="O4" i="16"/>
  <c r="P4" i="16"/>
  <c r="E4" i="16"/>
  <c r="D5" i="15"/>
  <c r="E5" i="15"/>
  <c r="F5" i="15"/>
  <c r="G5" i="15"/>
  <c r="H5" i="15"/>
  <c r="I5" i="15"/>
  <c r="J5" i="15"/>
  <c r="K5" i="15"/>
  <c r="L5" i="15"/>
  <c r="M5" i="15"/>
  <c r="N5" i="15"/>
  <c r="O5" i="15"/>
  <c r="D6" i="15"/>
  <c r="E6" i="15"/>
  <c r="F6" i="15"/>
  <c r="G6" i="15"/>
  <c r="H6" i="15"/>
  <c r="I6" i="15"/>
  <c r="J6" i="15"/>
  <c r="K6" i="15"/>
  <c r="L6" i="15"/>
  <c r="M6" i="15"/>
  <c r="N6" i="15"/>
  <c r="O6" i="15"/>
  <c r="D7" i="15"/>
  <c r="E7" i="15"/>
  <c r="F7" i="15"/>
  <c r="G7" i="15"/>
  <c r="H7" i="15"/>
  <c r="I7" i="15"/>
  <c r="J7" i="15"/>
  <c r="K7" i="15"/>
  <c r="L7" i="15"/>
  <c r="M7" i="15"/>
  <c r="N7" i="15"/>
  <c r="O7" i="15"/>
  <c r="D8" i="15"/>
  <c r="E8" i="15"/>
  <c r="F8" i="15"/>
  <c r="G8" i="15"/>
  <c r="H8" i="15"/>
  <c r="I8" i="15"/>
  <c r="J8" i="15"/>
  <c r="K8" i="15"/>
  <c r="L8" i="15"/>
  <c r="M8" i="15"/>
  <c r="N8" i="15"/>
  <c r="O8" i="15"/>
  <c r="D9" i="15"/>
  <c r="E9" i="15"/>
  <c r="F9" i="15"/>
  <c r="G9" i="15"/>
  <c r="H9" i="15"/>
  <c r="I9" i="15"/>
  <c r="J9" i="15"/>
  <c r="K9" i="15"/>
  <c r="L9" i="15"/>
  <c r="M9" i="15"/>
  <c r="N9" i="15"/>
  <c r="O9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E4" i="15"/>
  <c r="F4" i="15"/>
  <c r="G4" i="15"/>
  <c r="H4" i="15"/>
  <c r="I4" i="15"/>
  <c r="J4" i="15"/>
  <c r="K4" i="15"/>
  <c r="L4" i="15"/>
  <c r="M4" i="15"/>
  <c r="N4" i="15"/>
  <c r="O4" i="15"/>
  <c r="K5" i="13"/>
  <c r="L5" i="13"/>
  <c r="M5" i="13"/>
  <c r="N5" i="13"/>
  <c r="O5" i="13"/>
  <c r="P5" i="13"/>
  <c r="K6" i="13"/>
  <c r="L6" i="13"/>
  <c r="M6" i="13"/>
  <c r="N6" i="13"/>
  <c r="O6" i="13"/>
  <c r="P6" i="13"/>
  <c r="K7" i="13"/>
  <c r="L7" i="13"/>
  <c r="M7" i="13"/>
  <c r="N7" i="13"/>
  <c r="O7" i="13"/>
  <c r="P7" i="13"/>
  <c r="K8" i="13"/>
  <c r="L8" i="13"/>
  <c r="M8" i="13"/>
  <c r="N8" i="13"/>
  <c r="O8" i="13"/>
  <c r="P8" i="13"/>
  <c r="K9" i="13"/>
  <c r="L9" i="13"/>
  <c r="M9" i="13"/>
  <c r="N9" i="13"/>
  <c r="O9" i="13"/>
  <c r="P9" i="13"/>
  <c r="K10" i="13"/>
  <c r="L10" i="13"/>
  <c r="M10" i="13"/>
  <c r="N10" i="13"/>
  <c r="O10" i="13"/>
  <c r="P10" i="13"/>
  <c r="K11" i="13"/>
  <c r="L11" i="13"/>
  <c r="M11" i="13"/>
  <c r="N11" i="13"/>
  <c r="O11" i="13"/>
  <c r="P11" i="13"/>
  <c r="K12" i="13"/>
  <c r="L12" i="13"/>
  <c r="M12" i="13"/>
  <c r="N12" i="13"/>
  <c r="O12" i="13"/>
  <c r="P12" i="13"/>
  <c r="K13" i="13"/>
  <c r="L13" i="13"/>
  <c r="M13" i="13"/>
  <c r="N13" i="13"/>
  <c r="O13" i="13"/>
  <c r="P13" i="13"/>
  <c r="K14" i="13"/>
  <c r="L14" i="13"/>
  <c r="M14" i="13"/>
  <c r="N14" i="13"/>
  <c r="O14" i="13"/>
  <c r="P14" i="13"/>
  <c r="K15" i="13"/>
  <c r="L15" i="13"/>
  <c r="M15" i="13"/>
  <c r="N15" i="13"/>
  <c r="O15" i="13"/>
  <c r="P15" i="13"/>
  <c r="K16" i="13"/>
  <c r="L16" i="13"/>
  <c r="M16" i="13"/>
  <c r="N16" i="13"/>
  <c r="O16" i="13"/>
  <c r="P16" i="13"/>
  <c r="K17" i="13"/>
  <c r="L17" i="13"/>
  <c r="M17" i="13"/>
  <c r="N17" i="13"/>
  <c r="O17" i="13"/>
  <c r="P17" i="13"/>
  <c r="K18" i="13"/>
  <c r="L18" i="13"/>
  <c r="M18" i="13"/>
  <c r="N18" i="13"/>
  <c r="O18" i="13"/>
  <c r="P18" i="13"/>
  <c r="K19" i="13"/>
  <c r="L19" i="13"/>
  <c r="M19" i="13"/>
  <c r="N19" i="13"/>
  <c r="O19" i="13"/>
  <c r="P19" i="13"/>
  <c r="K20" i="13"/>
  <c r="L20" i="13"/>
  <c r="M20" i="13"/>
  <c r="N20" i="13"/>
  <c r="O20" i="13"/>
  <c r="P20" i="13"/>
  <c r="K21" i="13"/>
  <c r="L21" i="13"/>
  <c r="M21" i="13"/>
  <c r="N21" i="13"/>
  <c r="O21" i="13"/>
  <c r="P21" i="13"/>
  <c r="K22" i="13"/>
  <c r="L22" i="13"/>
  <c r="M22" i="13"/>
  <c r="N22" i="13"/>
  <c r="O22" i="13"/>
  <c r="P22" i="13"/>
  <c r="K23" i="13"/>
  <c r="L23" i="13"/>
  <c r="M23" i="13"/>
  <c r="N23" i="13"/>
  <c r="O23" i="13"/>
  <c r="P23" i="13"/>
  <c r="K24" i="13"/>
  <c r="L24" i="13"/>
  <c r="M24" i="13"/>
  <c r="N24" i="13"/>
  <c r="O24" i="13"/>
  <c r="P24" i="13"/>
  <c r="K25" i="13"/>
  <c r="L25" i="13"/>
  <c r="M25" i="13"/>
  <c r="N25" i="13"/>
  <c r="O25" i="13"/>
  <c r="P25" i="13"/>
  <c r="K26" i="13"/>
  <c r="L26" i="13"/>
  <c r="M26" i="13"/>
  <c r="N26" i="13"/>
  <c r="O26" i="13"/>
  <c r="P26" i="13"/>
  <c r="K27" i="13"/>
  <c r="L27" i="13"/>
  <c r="M27" i="13"/>
  <c r="N27" i="13"/>
  <c r="O27" i="13"/>
  <c r="P27" i="13"/>
  <c r="K28" i="13"/>
  <c r="L28" i="13"/>
  <c r="M28" i="13"/>
  <c r="N28" i="13"/>
  <c r="O28" i="13"/>
  <c r="P28" i="13"/>
  <c r="K29" i="13"/>
  <c r="L29" i="13"/>
  <c r="M29" i="13"/>
  <c r="N29" i="13"/>
  <c r="O29" i="13"/>
  <c r="P29" i="13"/>
  <c r="K30" i="13"/>
  <c r="L30" i="13"/>
  <c r="M30" i="13"/>
  <c r="N30" i="13"/>
  <c r="O30" i="13"/>
  <c r="P30" i="13"/>
  <c r="K31" i="13"/>
  <c r="L31" i="13"/>
  <c r="M31" i="13"/>
  <c r="N31" i="13"/>
  <c r="O31" i="13"/>
  <c r="P31" i="13"/>
  <c r="L4" i="13"/>
  <c r="M4" i="13"/>
  <c r="N4" i="13"/>
  <c r="O4" i="13"/>
  <c r="P4" i="13"/>
  <c r="K4" i="13"/>
  <c r="E16" i="13"/>
  <c r="F16" i="13"/>
  <c r="G16" i="13"/>
  <c r="H16" i="13"/>
  <c r="I16" i="13"/>
  <c r="J16" i="13"/>
  <c r="E17" i="13"/>
  <c r="F17" i="13"/>
  <c r="G17" i="13"/>
  <c r="H17" i="13"/>
  <c r="I17" i="13"/>
  <c r="J17" i="13"/>
  <c r="E18" i="13"/>
  <c r="F18" i="13"/>
  <c r="G18" i="13"/>
  <c r="H18" i="13"/>
  <c r="I18" i="13"/>
  <c r="J18" i="13"/>
  <c r="E19" i="13"/>
  <c r="F19" i="13"/>
  <c r="G19" i="13"/>
  <c r="H19" i="13"/>
  <c r="I19" i="13"/>
  <c r="J19" i="13"/>
  <c r="E20" i="13"/>
  <c r="F20" i="13"/>
  <c r="G20" i="13"/>
  <c r="H20" i="13"/>
  <c r="I20" i="13"/>
  <c r="J20" i="13"/>
  <c r="E21" i="13"/>
  <c r="F21" i="13"/>
  <c r="G21" i="13"/>
  <c r="H21" i="13"/>
  <c r="I21" i="13"/>
  <c r="J21" i="13"/>
  <c r="E22" i="13"/>
  <c r="F22" i="13"/>
  <c r="G22" i="13"/>
  <c r="H22" i="13"/>
  <c r="I22" i="13"/>
  <c r="J22" i="13"/>
  <c r="E23" i="13"/>
  <c r="F23" i="13"/>
  <c r="G23" i="13"/>
  <c r="H23" i="13"/>
  <c r="I23" i="13"/>
  <c r="J23" i="13"/>
  <c r="E24" i="13"/>
  <c r="F24" i="13"/>
  <c r="G24" i="13"/>
  <c r="H24" i="13"/>
  <c r="I24" i="13"/>
  <c r="J24" i="13"/>
  <c r="E25" i="13"/>
  <c r="F25" i="13"/>
  <c r="G25" i="13"/>
  <c r="H25" i="13"/>
  <c r="I25" i="13"/>
  <c r="J25" i="13"/>
  <c r="E26" i="13"/>
  <c r="F26" i="13"/>
  <c r="G26" i="13"/>
  <c r="H26" i="13"/>
  <c r="I26" i="13"/>
  <c r="J26" i="13"/>
  <c r="E27" i="13"/>
  <c r="F27" i="13"/>
  <c r="G27" i="13"/>
  <c r="H27" i="13"/>
  <c r="I27" i="13"/>
  <c r="J27" i="13"/>
  <c r="E28" i="13"/>
  <c r="F28" i="13"/>
  <c r="G28" i="13"/>
  <c r="H28" i="13"/>
  <c r="I28" i="13"/>
  <c r="J28" i="13"/>
  <c r="E29" i="13"/>
  <c r="F29" i="13"/>
  <c r="G29" i="13"/>
  <c r="H29" i="13"/>
  <c r="I29" i="13"/>
  <c r="J29" i="13"/>
  <c r="E30" i="13"/>
  <c r="F30" i="13"/>
  <c r="G30" i="13"/>
  <c r="H30" i="13"/>
  <c r="I30" i="13"/>
  <c r="J30" i="13"/>
  <c r="E31" i="13"/>
  <c r="F31" i="13"/>
  <c r="G31" i="13"/>
  <c r="H31" i="13"/>
  <c r="I31" i="13"/>
  <c r="J31" i="13"/>
  <c r="E8" i="13"/>
  <c r="F8" i="13"/>
  <c r="G8" i="13"/>
  <c r="H8" i="13"/>
  <c r="I8" i="13"/>
  <c r="J8" i="13"/>
  <c r="E9" i="13"/>
  <c r="F9" i="13"/>
  <c r="G9" i="13"/>
  <c r="H9" i="13"/>
  <c r="I9" i="13"/>
  <c r="J9" i="13"/>
  <c r="E10" i="13"/>
  <c r="F10" i="13"/>
  <c r="G10" i="13"/>
  <c r="H10" i="13"/>
  <c r="I10" i="13"/>
  <c r="J10" i="13"/>
  <c r="E11" i="13"/>
  <c r="F11" i="13"/>
  <c r="G11" i="13"/>
  <c r="H11" i="13"/>
  <c r="I11" i="13"/>
  <c r="J11" i="13"/>
  <c r="E12" i="13"/>
  <c r="F12" i="13"/>
  <c r="G12" i="13"/>
  <c r="H12" i="13"/>
  <c r="I12" i="13"/>
  <c r="J12" i="13"/>
  <c r="E13" i="13"/>
  <c r="F13" i="13"/>
  <c r="G13" i="13"/>
  <c r="H13" i="13"/>
  <c r="I13" i="13"/>
  <c r="J13" i="13"/>
  <c r="E14" i="13"/>
  <c r="F14" i="13"/>
  <c r="G14" i="13"/>
  <c r="H14" i="13"/>
  <c r="I14" i="13"/>
  <c r="J14" i="13"/>
  <c r="E15" i="13"/>
  <c r="F15" i="13"/>
  <c r="G15" i="13"/>
  <c r="H15" i="13"/>
  <c r="I15" i="13"/>
  <c r="J15" i="13"/>
  <c r="E5" i="13"/>
  <c r="F5" i="13"/>
  <c r="G5" i="13"/>
  <c r="H5" i="13"/>
  <c r="I5" i="13"/>
  <c r="J5" i="13"/>
  <c r="E6" i="13"/>
  <c r="F6" i="13"/>
  <c r="G6" i="13"/>
  <c r="H6" i="13"/>
  <c r="I6" i="13"/>
  <c r="J6" i="13"/>
  <c r="E7" i="13"/>
  <c r="F7" i="13"/>
  <c r="G7" i="13"/>
  <c r="H7" i="13"/>
  <c r="I7" i="13"/>
  <c r="J7" i="13"/>
  <c r="F4" i="13"/>
  <c r="G4" i="13"/>
  <c r="H4" i="13"/>
  <c r="I4" i="13"/>
  <c r="J4" i="13"/>
  <c r="E4" i="13"/>
  <c r="AB16" i="11"/>
  <c r="AC15" i="11"/>
  <c r="AB15" i="11"/>
  <c r="X16" i="11"/>
  <c r="Y15" i="11"/>
  <c r="X15" i="11"/>
  <c r="T15" i="11"/>
  <c r="T16" i="11"/>
  <c r="U15" i="11"/>
  <c r="C13" i="11" l="1"/>
  <c r="C14" i="11"/>
  <c r="C15" i="11"/>
  <c r="C16" i="11"/>
  <c r="C17" i="11"/>
  <c r="C18" i="11"/>
  <c r="C19" i="11"/>
  <c r="C20" i="11"/>
  <c r="C21" i="11"/>
  <c r="C22" i="11"/>
  <c r="C23" i="11"/>
  <c r="C12" i="11"/>
  <c r="C11" i="11"/>
  <c r="C10" i="11"/>
  <c r="C9" i="11"/>
  <c r="C8" i="11"/>
  <c r="C7" i="11"/>
  <c r="C6" i="11"/>
  <c r="C5" i="11"/>
  <c r="C4" i="11"/>
  <c r="Z152" i="8"/>
  <c r="V152" i="8"/>
  <c r="R152" i="8"/>
  <c r="AA151" i="8"/>
  <c r="Z151" i="8"/>
  <c r="W151" i="8"/>
  <c r="V151" i="8"/>
  <c r="S151" i="8"/>
  <c r="R151" i="8"/>
  <c r="Z186" i="8"/>
  <c r="V186" i="8"/>
  <c r="R186" i="8"/>
  <c r="AA185" i="8"/>
  <c r="Z185" i="8"/>
  <c r="W185" i="8"/>
  <c r="V185" i="8"/>
  <c r="S185" i="8"/>
  <c r="R185" i="8"/>
  <c r="Z169" i="8"/>
  <c r="V169" i="8"/>
  <c r="R169" i="8"/>
  <c r="AA168" i="8"/>
  <c r="Z168" i="8"/>
  <c r="W168" i="8"/>
  <c r="V168" i="8"/>
  <c r="S168" i="8"/>
  <c r="R168" i="8"/>
  <c r="Z135" i="8" l="1"/>
  <c r="V135" i="8"/>
  <c r="R135" i="8"/>
  <c r="AA134" i="8"/>
  <c r="Z134" i="8"/>
  <c r="W134" i="8"/>
  <c r="V134" i="8"/>
  <c r="S134" i="8"/>
  <c r="R134" i="8"/>
  <c r="Z118" i="8"/>
  <c r="V118" i="8"/>
  <c r="R118" i="8"/>
  <c r="AA117" i="8"/>
  <c r="Z117" i="8"/>
  <c r="W117" i="8"/>
  <c r="V117" i="8"/>
  <c r="S117" i="8"/>
  <c r="R117" i="8"/>
  <c r="Z101" i="8"/>
  <c r="V101" i="8"/>
  <c r="R101" i="8"/>
  <c r="AA100" i="8"/>
  <c r="Z100" i="8"/>
  <c r="W100" i="8"/>
  <c r="V100" i="8"/>
  <c r="S100" i="8"/>
  <c r="R100" i="8"/>
  <c r="Z84" i="8"/>
  <c r="V84" i="8"/>
  <c r="R84" i="8"/>
  <c r="AA83" i="8"/>
  <c r="Z83" i="8"/>
  <c r="W83" i="8"/>
  <c r="V83" i="8"/>
  <c r="S83" i="8"/>
  <c r="R83" i="8"/>
  <c r="Z67" i="8"/>
  <c r="V67" i="8"/>
  <c r="R67" i="8"/>
  <c r="AA66" i="8"/>
  <c r="Z66" i="8"/>
  <c r="W66" i="8"/>
  <c r="V66" i="8"/>
  <c r="S66" i="8"/>
  <c r="R66" i="8"/>
  <c r="Z50" i="8"/>
  <c r="V50" i="8"/>
  <c r="R50" i="8"/>
  <c r="AA49" i="8"/>
  <c r="Z49" i="8"/>
  <c r="W49" i="8"/>
  <c r="V49" i="8"/>
  <c r="S49" i="8"/>
  <c r="R49" i="8"/>
  <c r="Z33" i="8"/>
  <c r="V33" i="8"/>
  <c r="R33" i="8"/>
  <c r="AA32" i="8"/>
  <c r="Z32" i="8"/>
  <c r="W32" i="8"/>
  <c r="V32" i="8"/>
  <c r="S32" i="8"/>
  <c r="R32" i="8"/>
  <c r="Z16" i="8"/>
  <c r="AA15" i="8"/>
  <c r="Z15" i="8"/>
  <c r="V16" i="8"/>
  <c r="W15" i="8"/>
  <c r="V15" i="8"/>
  <c r="R16" i="8"/>
  <c r="S15" i="8"/>
  <c r="R15" i="8"/>
  <c r="Z85" i="7" l="1"/>
  <c r="V85" i="7"/>
  <c r="AA84" i="7"/>
  <c r="Z84" i="7"/>
  <c r="W84" i="7"/>
  <c r="V84" i="7"/>
  <c r="AD68" i="7"/>
  <c r="Z68" i="7"/>
  <c r="V68" i="7"/>
  <c r="AE67" i="7"/>
  <c r="AD67" i="7"/>
  <c r="AA67" i="7"/>
  <c r="Z67" i="7"/>
  <c r="W67" i="7"/>
  <c r="V67" i="7"/>
  <c r="AD51" i="7"/>
  <c r="Z51" i="7"/>
  <c r="V51" i="7"/>
  <c r="AE50" i="7"/>
  <c r="AD50" i="7"/>
  <c r="AA50" i="7"/>
  <c r="Z50" i="7"/>
  <c r="W50" i="7"/>
  <c r="V50" i="7"/>
  <c r="AD34" i="7"/>
  <c r="Z34" i="7"/>
  <c r="V34" i="7"/>
  <c r="AE33" i="7"/>
  <c r="AD33" i="7"/>
  <c r="AA33" i="7"/>
  <c r="Z33" i="7"/>
  <c r="W33" i="7"/>
  <c r="V33" i="7"/>
  <c r="AD17" i="7"/>
  <c r="Z17" i="7"/>
  <c r="V17" i="7"/>
  <c r="AE16" i="7"/>
  <c r="AD16" i="7"/>
  <c r="AA16" i="7"/>
  <c r="Z16" i="7"/>
  <c r="W16" i="7"/>
  <c r="V16" i="7"/>
  <c r="AD119" i="6"/>
  <c r="Z119" i="6"/>
  <c r="V119" i="6"/>
  <c r="AE118" i="6"/>
  <c r="AD118" i="6"/>
  <c r="AA118" i="6"/>
  <c r="Z118" i="6"/>
  <c r="W118" i="6"/>
  <c r="V118" i="6"/>
  <c r="Z119" i="5"/>
  <c r="V119" i="5"/>
  <c r="AA118" i="5"/>
  <c r="Z118" i="5"/>
  <c r="W118" i="5"/>
  <c r="V118" i="5"/>
  <c r="AD102" i="6"/>
  <c r="Z102" i="6"/>
  <c r="V102" i="6"/>
  <c r="AE101" i="6"/>
  <c r="AD101" i="6"/>
  <c r="AA101" i="6"/>
  <c r="Z101" i="6"/>
  <c r="W101" i="6"/>
  <c r="V101" i="6"/>
  <c r="AD85" i="6"/>
  <c r="Z85" i="6"/>
  <c r="V85" i="6"/>
  <c r="AE84" i="6"/>
  <c r="AD84" i="6"/>
  <c r="AA84" i="6"/>
  <c r="Z84" i="6"/>
  <c r="W84" i="6"/>
  <c r="V84" i="6"/>
  <c r="AD68" i="6"/>
  <c r="Z68" i="6"/>
  <c r="V68" i="6"/>
  <c r="AE67" i="6"/>
  <c r="AD67" i="6"/>
  <c r="AA67" i="6"/>
  <c r="Z67" i="6"/>
  <c r="W67" i="6"/>
  <c r="V67" i="6"/>
  <c r="AD51" i="6"/>
  <c r="Z51" i="6"/>
  <c r="V51" i="6"/>
  <c r="AE50" i="6"/>
  <c r="AD50" i="6"/>
  <c r="AA50" i="6"/>
  <c r="Z50" i="6"/>
  <c r="W50" i="6"/>
  <c r="V50" i="6"/>
  <c r="AD34" i="6"/>
  <c r="Z34" i="6"/>
  <c r="V34" i="6"/>
  <c r="AE33" i="6"/>
  <c r="AD33" i="6"/>
  <c r="AA33" i="6"/>
  <c r="Z33" i="6"/>
  <c r="W33" i="6"/>
  <c r="V33" i="6"/>
  <c r="AD17" i="6"/>
  <c r="Z17" i="6"/>
  <c r="V17" i="6"/>
  <c r="AE16" i="6"/>
  <c r="AD16" i="6"/>
  <c r="AA16" i="6"/>
  <c r="Z16" i="6"/>
  <c r="W16" i="6"/>
  <c r="V16" i="6"/>
  <c r="AD102" i="5"/>
  <c r="Z102" i="5"/>
  <c r="V102" i="5"/>
  <c r="AE101" i="5"/>
  <c r="AD101" i="5"/>
  <c r="AA101" i="5"/>
  <c r="Z101" i="5"/>
  <c r="W101" i="5"/>
  <c r="V101" i="5"/>
  <c r="AD85" i="5"/>
  <c r="Z85" i="5"/>
  <c r="V85" i="5"/>
  <c r="AE84" i="5"/>
  <c r="AD84" i="5"/>
  <c r="AA84" i="5"/>
  <c r="Z84" i="5"/>
  <c r="W84" i="5"/>
  <c r="V84" i="5"/>
  <c r="AD68" i="5"/>
  <c r="Z68" i="5"/>
  <c r="V68" i="5"/>
  <c r="AE67" i="5"/>
  <c r="AD67" i="5"/>
  <c r="AA67" i="5"/>
  <c r="Z67" i="5"/>
  <c r="W67" i="5"/>
  <c r="V67" i="5"/>
  <c r="AD51" i="5"/>
  <c r="Z51" i="5"/>
  <c r="V51" i="5"/>
  <c r="AE50" i="5"/>
  <c r="AD50" i="5"/>
  <c r="AA50" i="5"/>
  <c r="Z50" i="5"/>
  <c r="W50" i="5"/>
  <c r="V50" i="5"/>
  <c r="AD34" i="5"/>
  <c r="Z34" i="5"/>
  <c r="V34" i="5"/>
  <c r="AE33" i="5"/>
  <c r="AD33" i="5"/>
  <c r="AA33" i="5"/>
  <c r="Z33" i="5"/>
  <c r="W33" i="5"/>
  <c r="V33" i="5"/>
  <c r="AD17" i="5"/>
  <c r="Z17" i="5"/>
  <c r="V17" i="5"/>
  <c r="AE16" i="5"/>
  <c r="AD16" i="5"/>
  <c r="AA16" i="5"/>
  <c r="Z16" i="5"/>
  <c r="W16" i="5"/>
  <c r="V16" i="5"/>
  <c r="AD119" i="4"/>
  <c r="Z119" i="4"/>
  <c r="V119" i="4"/>
  <c r="AE118" i="4"/>
  <c r="AD118" i="4"/>
  <c r="AA118" i="4"/>
  <c r="Z118" i="4"/>
  <c r="W118" i="4"/>
  <c r="V118" i="4"/>
  <c r="AD102" i="4"/>
  <c r="Z102" i="4"/>
  <c r="V102" i="4"/>
  <c r="AE101" i="4"/>
  <c r="AD101" i="4"/>
  <c r="AA101" i="4"/>
  <c r="Z101" i="4"/>
  <c r="W101" i="4"/>
  <c r="V101" i="4"/>
  <c r="AD85" i="4"/>
  <c r="Z85" i="4"/>
  <c r="V85" i="4"/>
  <c r="AE84" i="4"/>
  <c r="AD84" i="4"/>
  <c r="AA84" i="4"/>
  <c r="Z84" i="4"/>
  <c r="W84" i="4"/>
  <c r="V84" i="4"/>
  <c r="AD68" i="4"/>
  <c r="Z68" i="4"/>
  <c r="V68" i="4"/>
  <c r="AE67" i="4"/>
  <c r="AD67" i="4"/>
  <c r="AA67" i="4"/>
  <c r="Z67" i="4"/>
  <c r="W67" i="4"/>
  <c r="V67" i="4"/>
  <c r="AD51" i="4"/>
  <c r="Z51" i="4"/>
  <c r="V51" i="4"/>
  <c r="AE50" i="4"/>
  <c r="AD50" i="4"/>
  <c r="AA50" i="4"/>
  <c r="Z50" i="4"/>
  <c r="W50" i="4"/>
  <c r="V50" i="4"/>
  <c r="AD34" i="4"/>
  <c r="Z34" i="4"/>
  <c r="V34" i="4"/>
  <c r="AE33" i="4"/>
  <c r="AD33" i="4"/>
  <c r="AA33" i="4"/>
  <c r="Z33" i="4"/>
  <c r="W33" i="4"/>
  <c r="V33" i="4"/>
  <c r="AD17" i="4"/>
  <c r="AE16" i="4"/>
  <c r="AD16" i="4"/>
  <c r="Z17" i="4"/>
  <c r="AA16" i="4"/>
  <c r="Z16" i="4"/>
  <c r="V17" i="4"/>
  <c r="V16" i="4"/>
  <c r="W16" i="4"/>
  <c r="C5" i="7"/>
  <c r="C6" i="7"/>
  <c r="C7" i="7"/>
  <c r="C8" i="7"/>
  <c r="C9" i="7"/>
  <c r="C10" i="7"/>
  <c r="C11" i="7"/>
  <c r="C4" i="7"/>
  <c r="C5" i="6"/>
  <c r="C25" i="11" s="1"/>
  <c r="C6" i="6"/>
  <c r="C26" i="11" s="1"/>
  <c r="C7" i="6"/>
  <c r="C27" i="11" s="1"/>
  <c r="C8" i="6"/>
  <c r="C28" i="11" s="1"/>
  <c r="C9" i="6"/>
  <c r="C29" i="11" s="1"/>
  <c r="C10" i="6"/>
  <c r="C30" i="11" s="1"/>
  <c r="C11" i="6"/>
  <c r="C31" i="11" s="1"/>
  <c r="C12" i="6"/>
  <c r="C32" i="11" s="1"/>
  <c r="C13" i="6"/>
  <c r="C33" i="11" s="1"/>
  <c r="C14" i="6"/>
  <c r="C34" i="11" s="1"/>
  <c r="C15" i="6"/>
  <c r="C35" i="11" s="1"/>
  <c r="C4" i="6"/>
  <c r="C24" i="11" s="1"/>
  <c r="C5" i="5"/>
  <c r="C6" i="5"/>
  <c r="C7" i="5"/>
  <c r="C8" i="5"/>
  <c r="C9" i="5"/>
  <c r="C10" i="5"/>
  <c r="C11" i="5"/>
  <c r="C12" i="5"/>
  <c r="C13" i="5"/>
  <c r="C14" i="5"/>
  <c r="C15" i="5"/>
  <c r="C4" i="5"/>
  <c r="E73" i="1" l="1"/>
  <c r="F73" i="1"/>
  <c r="F73" i="9" s="1"/>
  <c r="E57" i="16" s="1"/>
  <c r="G73" i="1"/>
  <c r="G73" i="9" s="1"/>
  <c r="F57" i="16" s="1"/>
  <c r="H73" i="1"/>
  <c r="H73" i="9" s="1"/>
  <c r="G57" i="16" s="1"/>
  <c r="I73" i="1"/>
  <c r="I73" i="9" s="1"/>
  <c r="H57" i="16" s="1"/>
  <c r="J73" i="1"/>
  <c r="J73" i="9" s="1"/>
  <c r="I57" i="16" s="1"/>
  <c r="K73" i="1"/>
  <c r="K73" i="9" s="1"/>
  <c r="J57" i="16" s="1"/>
  <c r="L73" i="1"/>
  <c r="M73" i="1"/>
  <c r="N73" i="1"/>
  <c r="O73" i="1"/>
  <c r="P73" i="1"/>
  <c r="L73" i="9" s="1"/>
  <c r="K57" i="16" s="1"/>
  <c r="Q73" i="1"/>
  <c r="M73" i="9" s="1"/>
  <c r="L57" i="16" s="1"/>
  <c r="R73" i="1"/>
  <c r="N73" i="9" s="1"/>
  <c r="M57" i="16" s="1"/>
  <c r="S73" i="1"/>
  <c r="O73" i="9" s="1"/>
  <c r="N57" i="16" s="1"/>
  <c r="T73" i="1"/>
  <c r="P73" i="9" s="1"/>
  <c r="O57" i="16" s="1"/>
  <c r="U73" i="1"/>
  <c r="Q73" i="9" s="1"/>
  <c r="P57" i="16" s="1"/>
  <c r="V73" i="1"/>
  <c r="W73" i="1"/>
  <c r="X73" i="1"/>
  <c r="Y73" i="1"/>
  <c r="E74" i="1"/>
  <c r="F74" i="1"/>
  <c r="F74" i="9" s="1"/>
  <c r="E58" i="16" s="1"/>
  <c r="G74" i="1"/>
  <c r="G74" i="9" s="1"/>
  <c r="F58" i="16" s="1"/>
  <c r="H74" i="1"/>
  <c r="H74" i="9" s="1"/>
  <c r="G58" i="16" s="1"/>
  <c r="I74" i="1"/>
  <c r="J74" i="1"/>
  <c r="J74" i="9" s="1"/>
  <c r="I58" i="16" s="1"/>
  <c r="K74" i="1"/>
  <c r="K74" i="9" s="1"/>
  <c r="J58" i="16" s="1"/>
  <c r="L74" i="1"/>
  <c r="M74" i="1"/>
  <c r="N74" i="1"/>
  <c r="O74" i="1"/>
  <c r="P74" i="1"/>
  <c r="L74" i="9" s="1"/>
  <c r="K58" i="16" s="1"/>
  <c r="Q74" i="1"/>
  <c r="M74" i="9" s="1"/>
  <c r="L58" i="16" s="1"/>
  <c r="R74" i="1"/>
  <c r="N74" i="9" s="1"/>
  <c r="M58" i="16" s="1"/>
  <c r="S74" i="1"/>
  <c r="O74" i="9" s="1"/>
  <c r="N58" i="16" s="1"/>
  <c r="T74" i="1"/>
  <c r="P74" i="9" s="1"/>
  <c r="O58" i="16" s="1"/>
  <c r="U74" i="1"/>
  <c r="Q74" i="9" s="1"/>
  <c r="P58" i="16" s="1"/>
  <c r="V74" i="1"/>
  <c r="W74" i="1"/>
  <c r="X74" i="1"/>
  <c r="Y74" i="1"/>
  <c r="E75" i="1"/>
  <c r="F75" i="1"/>
  <c r="F75" i="9" s="1"/>
  <c r="E59" i="16" s="1"/>
  <c r="G75" i="1"/>
  <c r="G75" i="9" s="1"/>
  <c r="F59" i="16" s="1"/>
  <c r="H75" i="1"/>
  <c r="H75" i="9" s="1"/>
  <c r="G59" i="16" s="1"/>
  <c r="I75" i="1"/>
  <c r="I75" i="9" s="1"/>
  <c r="H59" i="16" s="1"/>
  <c r="J75" i="1"/>
  <c r="J75" i="9" s="1"/>
  <c r="I59" i="16" s="1"/>
  <c r="K75" i="1"/>
  <c r="K75" i="9" s="1"/>
  <c r="J59" i="16" s="1"/>
  <c r="L75" i="1"/>
  <c r="M75" i="1"/>
  <c r="N75" i="1"/>
  <c r="O75" i="1"/>
  <c r="P75" i="1"/>
  <c r="L75" i="9" s="1"/>
  <c r="K59" i="16" s="1"/>
  <c r="Q75" i="1"/>
  <c r="M75" i="9" s="1"/>
  <c r="L59" i="16" s="1"/>
  <c r="R75" i="1"/>
  <c r="N75" i="9" s="1"/>
  <c r="M59" i="16" s="1"/>
  <c r="S75" i="1"/>
  <c r="O75" i="9" s="1"/>
  <c r="N59" i="16" s="1"/>
  <c r="T75" i="1"/>
  <c r="P75" i="9" s="1"/>
  <c r="O59" i="16" s="1"/>
  <c r="U75" i="1"/>
  <c r="Q75" i="9" s="1"/>
  <c r="P59" i="16" s="1"/>
  <c r="V75" i="1"/>
  <c r="W75" i="1"/>
  <c r="X75" i="1"/>
  <c r="Y75" i="1"/>
  <c r="F72" i="1"/>
  <c r="F72" i="9" s="1"/>
  <c r="G72" i="1"/>
  <c r="G72" i="9" s="1"/>
  <c r="H72" i="1"/>
  <c r="H72" i="9" s="1"/>
  <c r="I72" i="1"/>
  <c r="I72" i="9" s="1"/>
  <c r="J72" i="1"/>
  <c r="J72" i="9" s="1"/>
  <c r="K72" i="1"/>
  <c r="K72" i="9" s="1"/>
  <c r="L72" i="1"/>
  <c r="M72" i="1"/>
  <c r="N72" i="1"/>
  <c r="O72" i="1"/>
  <c r="P72" i="1"/>
  <c r="L72" i="9" s="1"/>
  <c r="Q72" i="1"/>
  <c r="M72" i="9" s="1"/>
  <c r="R72" i="1"/>
  <c r="N72" i="9" s="1"/>
  <c r="S72" i="1"/>
  <c r="O72" i="9" s="1"/>
  <c r="T72" i="1"/>
  <c r="P72" i="9" s="1"/>
  <c r="U72" i="1"/>
  <c r="Q72" i="9" s="1"/>
  <c r="V72" i="1"/>
  <c r="W72" i="1"/>
  <c r="X72" i="1"/>
  <c r="Y72" i="1"/>
  <c r="E72" i="1"/>
  <c r="E65" i="1"/>
  <c r="F65" i="1"/>
  <c r="F65" i="9" s="1"/>
  <c r="G65" i="1"/>
  <c r="G65" i="9" s="1"/>
  <c r="H65" i="1"/>
  <c r="H65" i="9" s="1"/>
  <c r="I65" i="1"/>
  <c r="J65" i="1"/>
  <c r="K65" i="1"/>
  <c r="L65" i="1"/>
  <c r="M65" i="1"/>
  <c r="N65" i="1"/>
  <c r="O65" i="1"/>
  <c r="P65" i="1"/>
  <c r="L65" i="9" s="1"/>
  <c r="Q65" i="1"/>
  <c r="M65" i="9" s="1"/>
  <c r="R65" i="1"/>
  <c r="N65" i="9" s="1"/>
  <c r="S65" i="1"/>
  <c r="T65" i="1"/>
  <c r="U65" i="1"/>
  <c r="V65" i="1"/>
  <c r="W65" i="1"/>
  <c r="X65" i="1"/>
  <c r="Y65" i="1"/>
  <c r="E66" i="1"/>
  <c r="F66" i="1"/>
  <c r="F66" i="9" s="1"/>
  <c r="G66" i="1"/>
  <c r="G66" i="9" s="1"/>
  <c r="H66" i="1"/>
  <c r="H66" i="9" s="1"/>
  <c r="I66" i="1"/>
  <c r="J66" i="1"/>
  <c r="K66" i="1"/>
  <c r="L66" i="1"/>
  <c r="M66" i="1"/>
  <c r="N66" i="1"/>
  <c r="O66" i="1"/>
  <c r="P66" i="1"/>
  <c r="L66" i="9" s="1"/>
  <c r="Q66" i="1"/>
  <c r="M66" i="9" s="1"/>
  <c r="R66" i="1"/>
  <c r="N66" i="9" s="1"/>
  <c r="S66" i="1"/>
  <c r="T66" i="1"/>
  <c r="U66" i="1"/>
  <c r="V66" i="1"/>
  <c r="W66" i="1"/>
  <c r="X66" i="1"/>
  <c r="Y66" i="1"/>
  <c r="E67" i="1"/>
  <c r="F67" i="1"/>
  <c r="F67" i="9" s="1"/>
  <c r="G67" i="1"/>
  <c r="G67" i="9" s="1"/>
  <c r="H67" i="1"/>
  <c r="H67" i="9" s="1"/>
  <c r="I67" i="1"/>
  <c r="J67" i="1"/>
  <c r="K67" i="1"/>
  <c r="L67" i="1"/>
  <c r="M67" i="1"/>
  <c r="N67" i="1"/>
  <c r="O67" i="1"/>
  <c r="P67" i="1"/>
  <c r="L67" i="9" s="1"/>
  <c r="Q67" i="1"/>
  <c r="M67" i="9" s="1"/>
  <c r="R67" i="1"/>
  <c r="N67" i="9" s="1"/>
  <c r="S67" i="1"/>
  <c r="T67" i="1"/>
  <c r="U67" i="1"/>
  <c r="V67" i="1"/>
  <c r="W67" i="1"/>
  <c r="X67" i="1"/>
  <c r="Y67" i="1"/>
  <c r="E68" i="1"/>
  <c r="F68" i="1"/>
  <c r="F68" i="9" s="1"/>
  <c r="G68" i="1"/>
  <c r="G68" i="9" s="1"/>
  <c r="H68" i="1"/>
  <c r="H68" i="9" s="1"/>
  <c r="I68" i="1"/>
  <c r="J68" i="1"/>
  <c r="K68" i="1"/>
  <c r="L68" i="1"/>
  <c r="M68" i="1"/>
  <c r="N68" i="1"/>
  <c r="O68" i="1"/>
  <c r="P68" i="1"/>
  <c r="L68" i="9" s="1"/>
  <c r="Q68" i="1"/>
  <c r="M68" i="9" s="1"/>
  <c r="R68" i="1"/>
  <c r="N68" i="9" s="1"/>
  <c r="S68" i="1"/>
  <c r="T68" i="1"/>
  <c r="U68" i="1"/>
  <c r="V68" i="1"/>
  <c r="W68" i="1"/>
  <c r="X68" i="1"/>
  <c r="Y68" i="1"/>
  <c r="E69" i="1"/>
  <c r="F69" i="1"/>
  <c r="F69" i="9" s="1"/>
  <c r="G69" i="1"/>
  <c r="G69" i="9" s="1"/>
  <c r="H69" i="1"/>
  <c r="H69" i="9" s="1"/>
  <c r="I69" i="1"/>
  <c r="J69" i="1"/>
  <c r="K69" i="1"/>
  <c r="L69" i="1"/>
  <c r="M69" i="1"/>
  <c r="N69" i="1"/>
  <c r="O69" i="1"/>
  <c r="P69" i="1"/>
  <c r="L69" i="9" s="1"/>
  <c r="Q69" i="1"/>
  <c r="M69" i="9" s="1"/>
  <c r="R69" i="1"/>
  <c r="N69" i="9" s="1"/>
  <c r="S69" i="1"/>
  <c r="T69" i="1"/>
  <c r="U69" i="1"/>
  <c r="V69" i="1"/>
  <c r="W69" i="1"/>
  <c r="X69" i="1"/>
  <c r="Y69" i="1"/>
  <c r="E70" i="1"/>
  <c r="F70" i="1"/>
  <c r="F70" i="9" s="1"/>
  <c r="G70" i="1"/>
  <c r="G70" i="9" s="1"/>
  <c r="H70" i="1"/>
  <c r="H70" i="9" s="1"/>
  <c r="I70" i="1"/>
  <c r="J70" i="1"/>
  <c r="K70" i="1"/>
  <c r="L70" i="1"/>
  <c r="M70" i="1"/>
  <c r="N70" i="1"/>
  <c r="O70" i="1"/>
  <c r="P70" i="1"/>
  <c r="L70" i="9" s="1"/>
  <c r="Q70" i="1"/>
  <c r="M70" i="9" s="1"/>
  <c r="R70" i="1"/>
  <c r="N70" i="9" s="1"/>
  <c r="S70" i="1"/>
  <c r="T70" i="1"/>
  <c r="U70" i="1"/>
  <c r="V70" i="1"/>
  <c r="W70" i="1"/>
  <c r="X70" i="1"/>
  <c r="Y70" i="1"/>
  <c r="E71" i="1"/>
  <c r="F71" i="1"/>
  <c r="F71" i="9" s="1"/>
  <c r="G71" i="1"/>
  <c r="G71" i="9" s="1"/>
  <c r="H71" i="1"/>
  <c r="H71" i="9" s="1"/>
  <c r="I71" i="1"/>
  <c r="J71" i="1"/>
  <c r="K71" i="1"/>
  <c r="L71" i="1"/>
  <c r="M71" i="1"/>
  <c r="N71" i="1"/>
  <c r="O71" i="1"/>
  <c r="P71" i="1"/>
  <c r="L71" i="9" s="1"/>
  <c r="Q71" i="1"/>
  <c r="M71" i="9" s="1"/>
  <c r="R71" i="1"/>
  <c r="N71" i="9" s="1"/>
  <c r="S71" i="1"/>
  <c r="T71" i="1"/>
  <c r="U71" i="1"/>
  <c r="V71" i="1"/>
  <c r="W71" i="1"/>
  <c r="X71" i="1"/>
  <c r="Y71" i="1"/>
  <c r="F64" i="1"/>
  <c r="F64" i="9" s="1"/>
  <c r="G64" i="1"/>
  <c r="G64" i="9" s="1"/>
  <c r="H64" i="1"/>
  <c r="H64" i="9" s="1"/>
  <c r="I64" i="1"/>
  <c r="J64" i="1"/>
  <c r="K64" i="1"/>
  <c r="L64" i="1"/>
  <c r="M64" i="1"/>
  <c r="N64" i="1"/>
  <c r="O64" i="1"/>
  <c r="P64" i="1"/>
  <c r="L64" i="9" s="1"/>
  <c r="Q64" i="1"/>
  <c r="M64" i="9" s="1"/>
  <c r="R64" i="1"/>
  <c r="N64" i="9" s="1"/>
  <c r="S64" i="1"/>
  <c r="T64" i="1"/>
  <c r="U64" i="1"/>
  <c r="V64" i="1"/>
  <c r="W64" i="1"/>
  <c r="X64" i="1"/>
  <c r="Y64" i="1"/>
  <c r="E64" i="1"/>
  <c r="E53" i="1"/>
  <c r="F53" i="1"/>
  <c r="F53" i="9" s="1"/>
  <c r="E45" i="16" s="1"/>
  <c r="G53" i="1"/>
  <c r="G53" i="9" s="1"/>
  <c r="F45" i="16" s="1"/>
  <c r="H53" i="1"/>
  <c r="H53" i="9" s="1"/>
  <c r="G45" i="16" s="1"/>
  <c r="I53" i="1"/>
  <c r="I53" i="9" s="1"/>
  <c r="H45" i="16" s="1"/>
  <c r="J53" i="1"/>
  <c r="J53" i="9" s="1"/>
  <c r="I45" i="16" s="1"/>
  <c r="K53" i="1"/>
  <c r="K53" i="9" s="1"/>
  <c r="J45" i="16" s="1"/>
  <c r="L53" i="1"/>
  <c r="M53" i="1"/>
  <c r="N53" i="1"/>
  <c r="O53" i="1"/>
  <c r="P53" i="1"/>
  <c r="L53" i="9" s="1"/>
  <c r="K45" i="16" s="1"/>
  <c r="Q53" i="1"/>
  <c r="M53" i="9" s="1"/>
  <c r="L45" i="16" s="1"/>
  <c r="R53" i="1"/>
  <c r="N53" i="9" s="1"/>
  <c r="M45" i="16" s="1"/>
  <c r="S53" i="1"/>
  <c r="O53" i="9" s="1"/>
  <c r="N45" i="16" s="1"/>
  <c r="T53" i="1"/>
  <c r="P53" i="9" s="1"/>
  <c r="O45" i="16" s="1"/>
  <c r="U53" i="1"/>
  <c r="Q53" i="9" s="1"/>
  <c r="P45" i="16" s="1"/>
  <c r="V53" i="1"/>
  <c r="W53" i="1"/>
  <c r="X53" i="1"/>
  <c r="Y53" i="1"/>
  <c r="E54" i="1"/>
  <c r="F54" i="1"/>
  <c r="F54" i="9" s="1"/>
  <c r="E46" i="16" s="1"/>
  <c r="G54" i="1"/>
  <c r="G54" i="9" s="1"/>
  <c r="F46" i="16" s="1"/>
  <c r="H54" i="1"/>
  <c r="H54" i="9" s="1"/>
  <c r="G46" i="16" s="1"/>
  <c r="I54" i="1"/>
  <c r="I54" i="9" s="1"/>
  <c r="H46" i="16" s="1"/>
  <c r="J54" i="1"/>
  <c r="J54" i="9" s="1"/>
  <c r="I46" i="16" s="1"/>
  <c r="K54" i="1"/>
  <c r="K54" i="9" s="1"/>
  <c r="J46" i="16" s="1"/>
  <c r="L54" i="1"/>
  <c r="M54" i="1"/>
  <c r="N54" i="1"/>
  <c r="O54" i="1"/>
  <c r="P54" i="1"/>
  <c r="L54" i="9" s="1"/>
  <c r="K46" i="16" s="1"/>
  <c r="Q54" i="1"/>
  <c r="M54" i="9" s="1"/>
  <c r="L46" i="16" s="1"/>
  <c r="R54" i="1"/>
  <c r="N54" i="9" s="1"/>
  <c r="M46" i="16" s="1"/>
  <c r="S54" i="1"/>
  <c r="O54" i="9" s="1"/>
  <c r="N46" i="16" s="1"/>
  <c r="T54" i="1"/>
  <c r="P54" i="9" s="1"/>
  <c r="O46" i="16" s="1"/>
  <c r="U54" i="1"/>
  <c r="Q54" i="9" s="1"/>
  <c r="P46" i="16" s="1"/>
  <c r="V54" i="1"/>
  <c r="W54" i="1"/>
  <c r="X54" i="1"/>
  <c r="Y54" i="1"/>
  <c r="E55" i="1"/>
  <c r="F55" i="1"/>
  <c r="F55" i="9" s="1"/>
  <c r="E47" i="16" s="1"/>
  <c r="G55" i="1"/>
  <c r="G55" i="9" s="1"/>
  <c r="F47" i="16" s="1"/>
  <c r="H55" i="1"/>
  <c r="H55" i="9" s="1"/>
  <c r="G47" i="16" s="1"/>
  <c r="I55" i="1"/>
  <c r="I55" i="9" s="1"/>
  <c r="H47" i="16" s="1"/>
  <c r="J55" i="1"/>
  <c r="J55" i="9" s="1"/>
  <c r="I47" i="16" s="1"/>
  <c r="K55" i="1"/>
  <c r="K55" i="9" s="1"/>
  <c r="J47" i="16" s="1"/>
  <c r="L55" i="1"/>
  <c r="M55" i="1"/>
  <c r="N55" i="1"/>
  <c r="O55" i="1"/>
  <c r="P55" i="1"/>
  <c r="L55" i="9" s="1"/>
  <c r="K47" i="16" s="1"/>
  <c r="Q55" i="1"/>
  <c r="M55" i="9" s="1"/>
  <c r="L47" i="16" s="1"/>
  <c r="R55" i="1"/>
  <c r="N55" i="9" s="1"/>
  <c r="M47" i="16" s="1"/>
  <c r="S55" i="1"/>
  <c r="O55" i="9" s="1"/>
  <c r="N47" i="16" s="1"/>
  <c r="T55" i="1"/>
  <c r="P55" i="9" s="1"/>
  <c r="O47" i="16" s="1"/>
  <c r="U55" i="1"/>
  <c r="Q55" i="9" s="1"/>
  <c r="P47" i="16" s="1"/>
  <c r="V55" i="1"/>
  <c r="W55" i="1"/>
  <c r="X55" i="1"/>
  <c r="Y55" i="1"/>
  <c r="E56" i="1"/>
  <c r="F56" i="1"/>
  <c r="F56" i="9" s="1"/>
  <c r="G56" i="1"/>
  <c r="G56" i="9" s="1"/>
  <c r="H56" i="1"/>
  <c r="H56" i="9" s="1"/>
  <c r="I56" i="1"/>
  <c r="I56" i="9" s="1"/>
  <c r="J56" i="1"/>
  <c r="J56" i="9" s="1"/>
  <c r="K56" i="1"/>
  <c r="K56" i="9" s="1"/>
  <c r="L56" i="1"/>
  <c r="M56" i="1"/>
  <c r="N56" i="1"/>
  <c r="O56" i="1"/>
  <c r="P56" i="1"/>
  <c r="L56" i="9" s="1"/>
  <c r="Q56" i="1"/>
  <c r="M56" i="9" s="1"/>
  <c r="R56" i="1"/>
  <c r="N56" i="9" s="1"/>
  <c r="S56" i="1"/>
  <c r="O56" i="9" s="1"/>
  <c r="T56" i="1"/>
  <c r="P56" i="9" s="1"/>
  <c r="U56" i="1"/>
  <c r="Q56" i="9" s="1"/>
  <c r="V56" i="1"/>
  <c r="W56" i="1"/>
  <c r="X56" i="1"/>
  <c r="Y56" i="1"/>
  <c r="E57" i="1"/>
  <c r="F57" i="1"/>
  <c r="F57" i="9" s="1"/>
  <c r="E49" i="16" s="1"/>
  <c r="G57" i="1"/>
  <c r="G57" i="9" s="1"/>
  <c r="F49" i="16" s="1"/>
  <c r="H57" i="1"/>
  <c r="H57" i="9" s="1"/>
  <c r="G49" i="16" s="1"/>
  <c r="I57" i="1"/>
  <c r="I57" i="9" s="1"/>
  <c r="H49" i="16" s="1"/>
  <c r="J57" i="1"/>
  <c r="J57" i="9" s="1"/>
  <c r="I49" i="16" s="1"/>
  <c r="K57" i="1"/>
  <c r="K57" i="9" s="1"/>
  <c r="J49" i="16" s="1"/>
  <c r="L57" i="1"/>
  <c r="M57" i="1"/>
  <c r="N57" i="1"/>
  <c r="O57" i="1"/>
  <c r="P57" i="1"/>
  <c r="L57" i="9" s="1"/>
  <c r="K49" i="16" s="1"/>
  <c r="Q57" i="1"/>
  <c r="M57" i="9" s="1"/>
  <c r="L49" i="16" s="1"/>
  <c r="R57" i="1"/>
  <c r="N57" i="9" s="1"/>
  <c r="M49" i="16" s="1"/>
  <c r="S57" i="1"/>
  <c r="T57" i="1"/>
  <c r="P57" i="9" s="1"/>
  <c r="O49" i="16" s="1"/>
  <c r="U57" i="1"/>
  <c r="Q57" i="9" s="1"/>
  <c r="P49" i="16" s="1"/>
  <c r="V57" i="1"/>
  <c r="W57" i="1"/>
  <c r="X57" i="1"/>
  <c r="Y57" i="1"/>
  <c r="E58" i="1"/>
  <c r="F58" i="1"/>
  <c r="F58" i="9" s="1"/>
  <c r="E50" i="16" s="1"/>
  <c r="G58" i="1"/>
  <c r="G58" i="9" s="1"/>
  <c r="F50" i="16" s="1"/>
  <c r="H58" i="1"/>
  <c r="H58" i="9" s="1"/>
  <c r="G50" i="16" s="1"/>
  <c r="I58" i="1"/>
  <c r="I58" i="9" s="1"/>
  <c r="H50" i="16" s="1"/>
  <c r="J58" i="1"/>
  <c r="K58" i="1"/>
  <c r="K58" i="9" s="1"/>
  <c r="J50" i="16" s="1"/>
  <c r="L58" i="1"/>
  <c r="M58" i="1"/>
  <c r="N58" i="1"/>
  <c r="O58" i="1"/>
  <c r="P58" i="1"/>
  <c r="L58" i="9" s="1"/>
  <c r="K50" i="16" s="1"/>
  <c r="Q58" i="1"/>
  <c r="M58" i="9" s="1"/>
  <c r="L50" i="16" s="1"/>
  <c r="R58" i="1"/>
  <c r="N58" i="9" s="1"/>
  <c r="M50" i="16" s="1"/>
  <c r="S58" i="1"/>
  <c r="O58" i="9" s="1"/>
  <c r="N50" i="16" s="1"/>
  <c r="T58" i="1"/>
  <c r="P58" i="9" s="1"/>
  <c r="O50" i="16" s="1"/>
  <c r="U58" i="1"/>
  <c r="Q58" i="9" s="1"/>
  <c r="P50" i="16" s="1"/>
  <c r="V58" i="1"/>
  <c r="W58" i="1"/>
  <c r="X58" i="1"/>
  <c r="Y58" i="1"/>
  <c r="E59" i="1"/>
  <c r="F59" i="1"/>
  <c r="F59" i="9" s="1"/>
  <c r="E51" i="16" s="1"/>
  <c r="G59" i="1"/>
  <c r="G59" i="9" s="1"/>
  <c r="F51" i="16" s="1"/>
  <c r="H59" i="1"/>
  <c r="H59" i="9" s="1"/>
  <c r="G51" i="16" s="1"/>
  <c r="I59" i="1"/>
  <c r="J59" i="1"/>
  <c r="J59" i="9" s="1"/>
  <c r="I51" i="16" s="1"/>
  <c r="K59" i="1"/>
  <c r="K59" i="9" s="1"/>
  <c r="J51" i="16" s="1"/>
  <c r="L59" i="1"/>
  <c r="M59" i="1"/>
  <c r="N59" i="1"/>
  <c r="O59" i="1"/>
  <c r="P59" i="1"/>
  <c r="L59" i="9" s="1"/>
  <c r="K51" i="16" s="1"/>
  <c r="Q59" i="1"/>
  <c r="M59" i="9" s="1"/>
  <c r="L51" i="16" s="1"/>
  <c r="R59" i="1"/>
  <c r="N59" i="9" s="1"/>
  <c r="M51" i="16" s="1"/>
  <c r="S59" i="1"/>
  <c r="O59" i="9" s="1"/>
  <c r="N51" i="16" s="1"/>
  <c r="T59" i="1"/>
  <c r="P59" i="9" s="1"/>
  <c r="O51" i="16" s="1"/>
  <c r="U59" i="1"/>
  <c r="Q59" i="9" s="1"/>
  <c r="P51" i="16" s="1"/>
  <c r="V59" i="1"/>
  <c r="W59" i="1"/>
  <c r="X59" i="1"/>
  <c r="Y59" i="1"/>
  <c r="E60" i="1"/>
  <c r="F60" i="1"/>
  <c r="F60" i="9" s="1"/>
  <c r="G60" i="1"/>
  <c r="G60" i="9" s="1"/>
  <c r="H60" i="1"/>
  <c r="H60" i="9" s="1"/>
  <c r="I60" i="1"/>
  <c r="I60" i="9" s="1"/>
  <c r="J60" i="1"/>
  <c r="J60" i="9" s="1"/>
  <c r="K60" i="1"/>
  <c r="K60" i="9" s="1"/>
  <c r="L60" i="1"/>
  <c r="M60" i="1"/>
  <c r="N60" i="1"/>
  <c r="O60" i="1"/>
  <c r="P60" i="1"/>
  <c r="L60" i="9" s="1"/>
  <c r="Q60" i="1"/>
  <c r="M60" i="9" s="1"/>
  <c r="R60" i="1"/>
  <c r="N60" i="9" s="1"/>
  <c r="S60" i="1"/>
  <c r="O60" i="9" s="1"/>
  <c r="T60" i="1"/>
  <c r="P60" i="9" s="1"/>
  <c r="U60" i="1"/>
  <c r="Q60" i="9" s="1"/>
  <c r="V60" i="1"/>
  <c r="W60" i="1"/>
  <c r="X60" i="1"/>
  <c r="Y60" i="1"/>
  <c r="E61" i="1"/>
  <c r="F61" i="1"/>
  <c r="F61" i="9" s="1"/>
  <c r="E53" i="16" s="1"/>
  <c r="G61" i="1"/>
  <c r="G61" i="9" s="1"/>
  <c r="F53" i="16" s="1"/>
  <c r="H61" i="1"/>
  <c r="H61" i="9" s="1"/>
  <c r="G53" i="16" s="1"/>
  <c r="I61" i="1"/>
  <c r="I61" i="9" s="1"/>
  <c r="H53" i="16" s="1"/>
  <c r="J61" i="1"/>
  <c r="K61" i="1"/>
  <c r="K61" i="9" s="1"/>
  <c r="J53" i="16" s="1"/>
  <c r="L61" i="1"/>
  <c r="M61" i="1"/>
  <c r="N61" i="1"/>
  <c r="O61" i="1"/>
  <c r="P61" i="1"/>
  <c r="L61" i="9" s="1"/>
  <c r="K53" i="16" s="1"/>
  <c r="Q61" i="1"/>
  <c r="M61" i="9" s="1"/>
  <c r="L53" i="16" s="1"/>
  <c r="R61" i="1"/>
  <c r="N61" i="9" s="1"/>
  <c r="M53" i="16" s="1"/>
  <c r="S61" i="1"/>
  <c r="O61" i="9" s="1"/>
  <c r="N53" i="16" s="1"/>
  <c r="T61" i="1"/>
  <c r="U61" i="1"/>
  <c r="Q61" i="9" s="1"/>
  <c r="P53" i="16" s="1"/>
  <c r="V61" i="1"/>
  <c r="W61" i="1"/>
  <c r="X61" i="1"/>
  <c r="Y61" i="1"/>
  <c r="E62" i="1"/>
  <c r="F62" i="1"/>
  <c r="F62" i="9" s="1"/>
  <c r="E54" i="16" s="1"/>
  <c r="G62" i="1"/>
  <c r="G62" i="9" s="1"/>
  <c r="F54" i="16" s="1"/>
  <c r="H62" i="1"/>
  <c r="H62" i="9" s="1"/>
  <c r="G54" i="16" s="1"/>
  <c r="I62" i="1"/>
  <c r="I62" i="9" s="1"/>
  <c r="H54" i="16" s="1"/>
  <c r="J62" i="1"/>
  <c r="J62" i="9" s="1"/>
  <c r="I54" i="16" s="1"/>
  <c r="K62" i="1"/>
  <c r="K62" i="9" s="1"/>
  <c r="J54" i="16" s="1"/>
  <c r="L62" i="1"/>
  <c r="M62" i="1"/>
  <c r="N62" i="1"/>
  <c r="O62" i="1"/>
  <c r="P62" i="1"/>
  <c r="L62" i="9" s="1"/>
  <c r="K54" i="16" s="1"/>
  <c r="Q62" i="1"/>
  <c r="M62" i="9" s="1"/>
  <c r="L54" i="16" s="1"/>
  <c r="R62" i="1"/>
  <c r="N62" i="9" s="1"/>
  <c r="M54" i="16" s="1"/>
  <c r="S62" i="1"/>
  <c r="O62" i="9" s="1"/>
  <c r="N54" i="16" s="1"/>
  <c r="T62" i="1"/>
  <c r="P62" i="9" s="1"/>
  <c r="O54" i="16" s="1"/>
  <c r="U62" i="1"/>
  <c r="Q62" i="9" s="1"/>
  <c r="P54" i="16" s="1"/>
  <c r="V62" i="1"/>
  <c r="W62" i="1"/>
  <c r="X62" i="1"/>
  <c r="Y62" i="1"/>
  <c r="E63" i="1"/>
  <c r="F63" i="1"/>
  <c r="F63" i="9" s="1"/>
  <c r="E55" i="16" s="1"/>
  <c r="G63" i="1"/>
  <c r="G63" i="9" s="1"/>
  <c r="F55" i="16" s="1"/>
  <c r="H63" i="1"/>
  <c r="H63" i="9" s="1"/>
  <c r="G55" i="16" s="1"/>
  <c r="I63" i="1"/>
  <c r="J63" i="1"/>
  <c r="J63" i="9" s="1"/>
  <c r="I55" i="16" s="1"/>
  <c r="K63" i="1"/>
  <c r="K63" i="9" s="1"/>
  <c r="J55" i="16" s="1"/>
  <c r="L63" i="1"/>
  <c r="M63" i="1"/>
  <c r="N63" i="1"/>
  <c r="O63" i="1"/>
  <c r="P63" i="1"/>
  <c r="L63" i="9" s="1"/>
  <c r="K55" i="16" s="1"/>
  <c r="Q63" i="1"/>
  <c r="M63" i="9" s="1"/>
  <c r="L55" i="16" s="1"/>
  <c r="R63" i="1"/>
  <c r="N63" i="9" s="1"/>
  <c r="M55" i="16" s="1"/>
  <c r="S63" i="1"/>
  <c r="O63" i="9" s="1"/>
  <c r="N55" i="16" s="1"/>
  <c r="T63" i="1"/>
  <c r="P63" i="9" s="1"/>
  <c r="O55" i="16" s="1"/>
  <c r="U63" i="1"/>
  <c r="Q63" i="9" s="1"/>
  <c r="P55" i="16" s="1"/>
  <c r="V63" i="1"/>
  <c r="W63" i="1"/>
  <c r="X63" i="1"/>
  <c r="Y63" i="1"/>
  <c r="F52" i="1"/>
  <c r="F52" i="9" s="1"/>
  <c r="G52" i="1"/>
  <c r="G52" i="9" s="1"/>
  <c r="H52" i="1"/>
  <c r="H52" i="9" s="1"/>
  <c r="I52" i="1"/>
  <c r="J52" i="1"/>
  <c r="J52" i="9" s="1"/>
  <c r="K52" i="1"/>
  <c r="K52" i="9" s="1"/>
  <c r="L52" i="1"/>
  <c r="M52" i="1"/>
  <c r="N52" i="1"/>
  <c r="O52" i="1"/>
  <c r="P52" i="1"/>
  <c r="L52" i="9" s="1"/>
  <c r="Q52" i="1"/>
  <c r="M52" i="9" s="1"/>
  <c r="R52" i="1"/>
  <c r="N52" i="9" s="1"/>
  <c r="S52" i="1"/>
  <c r="T52" i="1"/>
  <c r="P52" i="9" s="1"/>
  <c r="U52" i="1"/>
  <c r="V52" i="1"/>
  <c r="W52" i="1"/>
  <c r="X52" i="1"/>
  <c r="Y52" i="1"/>
  <c r="E52" i="1"/>
  <c r="E49" i="1"/>
  <c r="F49" i="1"/>
  <c r="F49" i="9" s="1"/>
  <c r="G49" i="1"/>
  <c r="G49" i="9" s="1"/>
  <c r="H49" i="1"/>
  <c r="H49" i="9" s="1"/>
  <c r="I49" i="1"/>
  <c r="J49" i="1"/>
  <c r="K49" i="1"/>
  <c r="L49" i="1"/>
  <c r="M49" i="1"/>
  <c r="N49" i="1"/>
  <c r="O49" i="1"/>
  <c r="P49" i="1"/>
  <c r="L49" i="9" s="1"/>
  <c r="Q49" i="1"/>
  <c r="M49" i="9" s="1"/>
  <c r="R49" i="1"/>
  <c r="N49" i="9" s="1"/>
  <c r="S49" i="1"/>
  <c r="T49" i="1"/>
  <c r="U49" i="1"/>
  <c r="V49" i="1"/>
  <c r="W49" i="1"/>
  <c r="X49" i="1"/>
  <c r="Y49" i="1"/>
  <c r="E50" i="1"/>
  <c r="F50" i="1"/>
  <c r="F50" i="9" s="1"/>
  <c r="G50" i="1"/>
  <c r="G50" i="9" s="1"/>
  <c r="H50" i="1"/>
  <c r="H50" i="9" s="1"/>
  <c r="I50" i="1"/>
  <c r="J50" i="1"/>
  <c r="K50" i="1"/>
  <c r="L50" i="1"/>
  <c r="M50" i="1"/>
  <c r="N50" i="1"/>
  <c r="O50" i="1"/>
  <c r="P50" i="1"/>
  <c r="L50" i="9" s="1"/>
  <c r="Q50" i="1"/>
  <c r="M50" i="9" s="1"/>
  <c r="R50" i="1"/>
  <c r="N50" i="9" s="1"/>
  <c r="S50" i="1"/>
  <c r="T50" i="1"/>
  <c r="U50" i="1"/>
  <c r="V50" i="1"/>
  <c r="W50" i="1"/>
  <c r="X50" i="1"/>
  <c r="Y50" i="1"/>
  <c r="E51" i="1"/>
  <c r="F51" i="1"/>
  <c r="F51" i="9" s="1"/>
  <c r="G51" i="1"/>
  <c r="G51" i="9" s="1"/>
  <c r="H51" i="1"/>
  <c r="H51" i="9" s="1"/>
  <c r="I51" i="1"/>
  <c r="J51" i="1"/>
  <c r="K51" i="1"/>
  <c r="L51" i="1"/>
  <c r="M51" i="1"/>
  <c r="N51" i="1"/>
  <c r="O51" i="1"/>
  <c r="P51" i="1"/>
  <c r="L51" i="9" s="1"/>
  <c r="Q51" i="1"/>
  <c r="M51" i="9" s="1"/>
  <c r="R51" i="1"/>
  <c r="N51" i="9" s="1"/>
  <c r="S51" i="1"/>
  <c r="T51" i="1"/>
  <c r="U51" i="1"/>
  <c r="V51" i="1"/>
  <c r="W51" i="1"/>
  <c r="X51" i="1"/>
  <c r="Y51" i="1"/>
  <c r="G48" i="1"/>
  <c r="G48" i="9" s="1"/>
  <c r="H48" i="1"/>
  <c r="H48" i="9" s="1"/>
  <c r="I48" i="1"/>
  <c r="J48" i="1"/>
  <c r="K48" i="1"/>
  <c r="L48" i="1"/>
  <c r="M48" i="1"/>
  <c r="N48" i="1"/>
  <c r="O48" i="1"/>
  <c r="P48" i="1"/>
  <c r="L48" i="9" s="1"/>
  <c r="Q48" i="1"/>
  <c r="M48" i="9" s="1"/>
  <c r="R48" i="1"/>
  <c r="N48" i="9" s="1"/>
  <c r="S48" i="1"/>
  <c r="T48" i="1"/>
  <c r="U48" i="1"/>
  <c r="V48" i="1"/>
  <c r="W48" i="1"/>
  <c r="X48" i="1"/>
  <c r="Y48" i="1"/>
  <c r="F48" i="1"/>
  <c r="F48" i="9" s="1"/>
  <c r="E48" i="1"/>
  <c r="E45" i="1"/>
  <c r="F45" i="1"/>
  <c r="F45" i="9" s="1"/>
  <c r="G45" i="1"/>
  <c r="G45" i="9" s="1"/>
  <c r="H45" i="1"/>
  <c r="H45" i="9" s="1"/>
  <c r="I45" i="1"/>
  <c r="J45" i="1"/>
  <c r="K45" i="1"/>
  <c r="L45" i="1"/>
  <c r="M45" i="1"/>
  <c r="N45" i="1"/>
  <c r="O45" i="1"/>
  <c r="P45" i="1"/>
  <c r="L45" i="9" s="1"/>
  <c r="Q45" i="1"/>
  <c r="M45" i="9" s="1"/>
  <c r="R45" i="1"/>
  <c r="N45" i="9" s="1"/>
  <c r="S45" i="1"/>
  <c r="T45" i="1"/>
  <c r="U45" i="1"/>
  <c r="V45" i="1"/>
  <c r="W45" i="1"/>
  <c r="X45" i="1"/>
  <c r="Y45" i="1"/>
  <c r="E46" i="1"/>
  <c r="F46" i="1"/>
  <c r="F46" i="9" s="1"/>
  <c r="G46" i="1"/>
  <c r="G46" i="9" s="1"/>
  <c r="H46" i="1"/>
  <c r="H46" i="9" s="1"/>
  <c r="I46" i="1"/>
  <c r="J46" i="1"/>
  <c r="K46" i="1"/>
  <c r="L46" i="1"/>
  <c r="M46" i="1"/>
  <c r="N46" i="1"/>
  <c r="O46" i="1"/>
  <c r="P46" i="1"/>
  <c r="L46" i="9" s="1"/>
  <c r="Q46" i="1"/>
  <c r="M46" i="9" s="1"/>
  <c r="R46" i="1"/>
  <c r="N46" i="9" s="1"/>
  <c r="S46" i="1"/>
  <c r="T46" i="1"/>
  <c r="U46" i="1"/>
  <c r="V46" i="1"/>
  <c r="W46" i="1"/>
  <c r="X46" i="1"/>
  <c r="Y46" i="1"/>
  <c r="E47" i="1"/>
  <c r="F47" i="1"/>
  <c r="F47" i="9" s="1"/>
  <c r="G47" i="1"/>
  <c r="G47" i="9" s="1"/>
  <c r="H47" i="1"/>
  <c r="H47" i="9" s="1"/>
  <c r="I47" i="1"/>
  <c r="J47" i="1"/>
  <c r="K47" i="1"/>
  <c r="L47" i="1"/>
  <c r="M47" i="1"/>
  <c r="N47" i="1"/>
  <c r="O47" i="1"/>
  <c r="P47" i="1"/>
  <c r="L47" i="9" s="1"/>
  <c r="Q47" i="1"/>
  <c r="M47" i="9" s="1"/>
  <c r="R47" i="1"/>
  <c r="N47" i="9" s="1"/>
  <c r="S47" i="1"/>
  <c r="T47" i="1"/>
  <c r="U47" i="1"/>
  <c r="V47" i="1"/>
  <c r="W47" i="1"/>
  <c r="X47" i="1"/>
  <c r="Y47" i="1"/>
  <c r="F44" i="1"/>
  <c r="F44" i="9" s="1"/>
  <c r="G44" i="1"/>
  <c r="G44" i="9" s="1"/>
  <c r="H44" i="1"/>
  <c r="H44" i="9" s="1"/>
  <c r="I44" i="1"/>
  <c r="J44" i="1"/>
  <c r="K44" i="1"/>
  <c r="L44" i="1"/>
  <c r="M44" i="1"/>
  <c r="N44" i="1"/>
  <c r="O44" i="1"/>
  <c r="P44" i="1"/>
  <c r="L44" i="9" s="1"/>
  <c r="Q44" i="1"/>
  <c r="M44" i="9" s="1"/>
  <c r="R44" i="1"/>
  <c r="N44" i="9" s="1"/>
  <c r="S44" i="1"/>
  <c r="T44" i="1"/>
  <c r="U44" i="1"/>
  <c r="V44" i="1"/>
  <c r="W44" i="1"/>
  <c r="X44" i="1"/>
  <c r="Y44" i="1"/>
  <c r="E44" i="1"/>
  <c r="E41" i="1"/>
  <c r="F41" i="1"/>
  <c r="F41" i="9" s="1"/>
  <c r="G41" i="1"/>
  <c r="G41" i="9" s="1"/>
  <c r="H41" i="1"/>
  <c r="H41" i="9" s="1"/>
  <c r="I41" i="1"/>
  <c r="J41" i="1"/>
  <c r="K41" i="1"/>
  <c r="L41" i="1"/>
  <c r="M41" i="1"/>
  <c r="N41" i="1"/>
  <c r="O41" i="1"/>
  <c r="P41" i="1"/>
  <c r="L41" i="9" s="1"/>
  <c r="Q41" i="1"/>
  <c r="M41" i="9" s="1"/>
  <c r="R41" i="1"/>
  <c r="N41" i="9" s="1"/>
  <c r="S41" i="1"/>
  <c r="T41" i="1"/>
  <c r="U41" i="1"/>
  <c r="V41" i="1"/>
  <c r="W41" i="1"/>
  <c r="X41" i="1"/>
  <c r="Y41" i="1"/>
  <c r="E42" i="1"/>
  <c r="F42" i="1"/>
  <c r="F42" i="9" s="1"/>
  <c r="G42" i="1"/>
  <c r="G42" i="9" s="1"/>
  <c r="H42" i="1"/>
  <c r="H42" i="9" s="1"/>
  <c r="I42" i="1"/>
  <c r="J42" i="1"/>
  <c r="K42" i="1"/>
  <c r="L42" i="1"/>
  <c r="M42" i="1"/>
  <c r="N42" i="1"/>
  <c r="O42" i="1"/>
  <c r="P42" i="1"/>
  <c r="L42" i="9" s="1"/>
  <c r="Q42" i="1"/>
  <c r="M42" i="9" s="1"/>
  <c r="R42" i="1"/>
  <c r="N42" i="9" s="1"/>
  <c r="S42" i="1"/>
  <c r="T42" i="1"/>
  <c r="U42" i="1"/>
  <c r="V42" i="1"/>
  <c r="W42" i="1"/>
  <c r="X42" i="1"/>
  <c r="Y42" i="1"/>
  <c r="E43" i="1"/>
  <c r="F43" i="1"/>
  <c r="F43" i="9" s="1"/>
  <c r="G43" i="1"/>
  <c r="G43" i="9" s="1"/>
  <c r="H43" i="1"/>
  <c r="H43" i="9" s="1"/>
  <c r="I43" i="1"/>
  <c r="J43" i="1"/>
  <c r="K43" i="1"/>
  <c r="L43" i="1"/>
  <c r="M43" i="1"/>
  <c r="N43" i="1"/>
  <c r="O43" i="1"/>
  <c r="P43" i="1"/>
  <c r="L43" i="9" s="1"/>
  <c r="Q43" i="1"/>
  <c r="M43" i="9" s="1"/>
  <c r="R43" i="1"/>
  <c r="N43" i="9" s="1"/>
  <c r="S43" i="1"/>
  <c r="T43" i="1"/>
  <c r="U43" i="1"/>
  <c r="V43" i="1"/>
  <c r="W43" i="1"/>
  <c r="X43" i="1"/>
  <c r="Y43" i="1"/>
  <c r="F40" i="1"/>
  <c r="F40" i="9" s="1"/>
  <c r="G40" i="1"/>
  <c r="G40" i="9" s="1"/>
  <c r="H40" i="1"/>
  <c r="H40" i="9" s="1"/>
  <c r="I40" i="1"/>
  <c r="J40" i="1"/>
  <c r="K40" i="1"/>
  <c r="L40" i="1"/>
  <c r="M40" i="1"/>
  <c r="N40" i="1"/>
  <c r="O40" i="1"/>
  <c r="P40" i="1"/>
  <c r="L40" i="9" s="1"/>
  <c r="Q40" i="1"/>
  <c r="M40" i="9" s="1"/>
  <c r="R40" i="1"/>
  <c r="N40" i="9" s="1"/>
  <c r="S40" i="1"/>
  <c r="T40" i="1"/>
  <c r="U40" i="1"/>
  <c r="V40" i="1"/>
  <c r="W40" i="1"/>
  <c r="X40" i="1"/>
  <c r="Y40" i="1"/>
  <c r="E40" i="1"/>
  <c r="F37" i="9"/>
  <c r="G37" i="9"/>
  <c r="H37" i="9"/>
  <c r="L37" i="9"/>
  <c r="M37" i="9"/>
  <c r="N37" i="9"/>
  <c r="F38" i="9"/>
  <c r="G38" i="9"/>
  <c r="H38" i="9"/>
  <c r="L38" i="9"/>
  <c r="M38" i="9"/>
  <c r="N38" i="9"/>
  <c r="F39" i="9"/>
  <c r="G39" i="9"/>
  <c r="H39" i="9"/>
  <c r="L39" i="9"/>
  <c r="M39" i="9"/>
  <c r="N39" i="9"/>
  <c r="F36" i="9"/>
  <c r="G36" i="9"/>
  <c r="H36" i="9"/>
  <c r="L36" i="9"/>
  <c r="M36" i="9"/>
  <c r="N36" i="9"/>
  <c r="E33" i="1"/>
  <c r="F33" i="1"/>
  <c r="F33" i="9" s="1"/>
  <c r="G33" i="1"/>
  <c r="G33" i="9" s="1"/>
  <c r="H33" i="1"/>
  <c r="H33" i="9" s="1"/>
  <c r="I33" i="1"/>
  <c r="J33" i="1"/>
  <c r="K33" i="1"/>
  <c r="L33" i="1"/>
  <c r="M33" i="1"/>
  <c r="N33" i="1"/>
  <c r="O33" i="1"/>
  <c r="P33" i="1"/>
  <c r="L33" i="9" s="1"/>
  <c r="Q33" i="1"/>
  <c r="M33" i="9" s="1"/>
  <c r="R33" i="1"/>
  <c r="N33" i="9" s="1"/>
  <c r="S33" i="1"/>
  <c r="T33" i="1"/>
  <c r="U33" i="1"/>
  <c r="V33" i="1"/>
  <c r="W33" i="1"/>
  <c r="X33" i="1"/>
  <c r="Y33" i="1"/>
  <c r="E34" i="1"/>
  <c r="F34" i="1"/>
  <c r="F34" i="9" s="1"/>
  <c r="G34" i="1"/>
  <c r="G34" i="9" s="1"/>
  <c r="H34" i="1"/>
  <c r="H34" i="9" s="1"/>
  <c r="I34" i="1"/>
  <c r="J34" i="1"/>
  <c r="K34" i="1"/>
  <c r="L34" i="1"/>
  <c r="M34" i="1"/>
  <c r="N34" i="1"/>
  <c r="O34" i="1"/>
  <c r="P34" i="1"/>
  <c r="L34" i="9" s="1"/>
  <c r="Q34" i="1"/>
  <c r="M34" i="9" s="1"/>
  <c r="R34" i="1"/>
  <c r="N34" i="9" s="1"/>
  <c r="S34" i="1"/>
  <c r="T34" i="1"/>
  <c r="U34" i="1"/>
  <c r="V34" i="1"/>
  <c r="W34" i="1"/>
  <c r="X34" i="1"/>
  <c r="Y34" i="1"/>
  <c r="E35" i="1"/>
  <c r="F35" i="1"/>
  <c r="F35" i="9" s="1"/>
  <c r="G35" i="1"/>
  <c r="G35" i="9" s="1"/>
  <c r="H35" i="1"/>
  <c r="H35" i="9" s="1"/>
  <c r="I35" i="1"/>
  <c r="J35" i="1"/>
  <c r="K35" i="1"/>
  <c r="L35" i="1"/>
  <c r="M35" i="1"/>
  <c r="N35" i="1"/>
  <c r="O35" i="1"/>
  <c r="P35" i="1"/>
  <c r="L35" i="9" s="1"/>
  <c r="Q35" i="1"/>
  <c r="M35" i="9" s="1"/>
  <c r="R35" i="1"/>
  <c r="N35" i="9" s="1"/>
  <c r="S35" i="1"/>
  <c r="T35" i="1"/>
  <c r="U35" i="1"/>
  <c r="V35" i="1"/>
  <c r="W35" i="1"/>
  <c r="X35" i="1"/>
  <c r="Y35" i="1"/>
  <c r="F32" i="1"/>
  <c r="F32" i="9" s="1"/>
  <c r="G32" i="1"/>
  <c r="G32" i="9" s="1"/>
  <c r="H32" i="1"/>
  <c r="H32" i="9" s="1"/>
  <c r="I32" i="1"/>
  <c r="J32" i="1"/>
  <c r="K32" i="1"/>
  <c r="L32" i="1"/>
  <c r="M32" i="1"/>
  <c r="N32" i="1"/>
  <c r="O32" i="1"/>
  <c r="P32" i="1"/>
  <c r="L32" i="9" s="1"/>
  <c r="Q32" i="1"/>
  <c r="M32" i="9" s="1"/>
  <c r="R32" i="1"/>
  <c r="N32" i="9" s="1"/>
  <c r="S32" i="1"/>
  <c r="T32" i="1"/>
  <c r="U32" i="1"/>
  <c r="V32" i="1"/>
  <c r="W32" i="1"/>
  <c r="X32" i="1"/>
  <c r="Y32" i="1"/>
  <c r="E32" i="1"/>
  <c r="E29" i="1"/>
  <c r="F29" i="1"/>
  <c r="F29" i="9" s="1"/>
  <c r="G29" i="1"/>
  <c r="G29" i="9" s="1"/>
  <c r="H29" i="1"/>
  <c r="H29" i="9" s="1"/>
  <c r="I29" i="1"/>
  <c r="J29" i="1"/>
  <c r="K29" i="1"/>
  <c r="L29" i="1"/>
  <c r="M29" i="1"/>
  <c r="N29" i="1"/>
  <c r="O29" i="1"/>
  <c r="P29" i="1"/>
  <c r="L29" i="9" s="1"/>
  <c r="Q29" i="1"/>
  <c r="M29" i="9" s="1"/>
  <c r="R29" i="1"/>
  <c r="N29" i="9" s="1"/>
  <c r="S29" i="1"/>
  <c r="T29" i="1"/>
  <c r="U29" i="1"/>
  <c r="V29" i="1"/>
  <c r="W29" i="1"/>
  <c r="X29" i="1"/>
  <c r="Y29" i="1"/>
  <c r="E30" i="1"/>
  <c r="F30" i="1"/>
  <c r="F30" i="9" s="1"/>
  <c r="G30" i="1"/>
  <c r="G30" i="9" s="1"/>
  <c r="H30" i="1"/>
  <c r="H30" i="9" s="1"/>
  <c r="I30" i="1"/>
  <c r="J30" i="1"/>
  <c r="K30" i="1"/>
  <c r="L30" i="1"/>
  <c r="M30" i="1"/>
  <c r="N30" i="1"/>
  <c r="O30" i="1"/>
  <c r="P30" i="1"/>
  <c r="L30" i="9" s="1"/>
  <c r="Q30" i="1"/>
  <c r="M30" i="9" s="1"/>
  <c r="R30" i="1"/>
  <c r="N30" i="9" s="1"/>
  <c r="S30" i="1"/>
  <c r="T30" i="1"/>
  <c r="U30" i="1"/>
  <c r="V30" i="1"/>
  <c r="W30" i="1"/>
  <c r="X30" i="1"/>
  <c r="Y30" i="1"/>
  <c r="E31" i="1"/>
  <c r="F31" i="1"/>
  <c r="F31" i="9" s="1"/>
  <c r="G31" i="1"/>
  <c r="G31" i="9" s="1"/>
  <c r="H31" i="1"/>
  <c r="H31" i="9" s="1"/>
  <c r="I31" i="1"/>
  <c r="J31" i="1"/>
  <c r="K31" i="1"/>
  <c r="L31" i="1"/>
  <c r="M31" i="1"/>
  <c r="N31" i="1"/>
  <c r="O31" i="1"/>
  <c r="P31" i="1"/>
  <c r="L31" i="9" s="1"/>
  <c r="Q31" i="1"/>
  <c r="M31" i="9" s="1"/>
  <c r="R31" i="1"/>
  <c r="N31" i="9" s="1"/>
  <c r="S31" i="1"/>
  <c r="T31" i="1"/>
  <c r="U31" i="1"/>
  <c r="V31" i="1"/>
  <c r="W31" i="1"/>
  <c r="X31" i="1"/>
  <c r="Y31" i="1"/>
  <c r="F28" i="1"/>
  <c r="F28" i="9" s="1"/>
  <c r="G28" i="1"/>
  <c r="G28" i="9" s="1"/>
  <c r="H28" i="1"/>
  <c r="H28" i="9" s="1"/>
  <c r="I28" i="1"/>
  <c r="J28" i="1"/>
  <c r="K28" i="1"/>
  <c r="L28" i="1"/>
  <c r="M28" i="1"/>
  <c r="N28" i="1"/>
  <c r="O28" i="1"/>
  <c r="P28" i="1"/>
  <c r="L28" i="9" s="1"/>
  <c r="Q28" i="1"/>
  <c r="M28" i="9" s="1"/>
  <c r="R28" i="1"/>
  <c r="N28" i="9" s="1"/>
  <c r="S28" i="1"/>
  <c r="T28" i="1"/>
  <c r="U28" i="1"/>
  <c r="V28" i="1"/>
  <c r="W28" i="1"/>
  <c r="X28" i="1"/>
  <c r="Y28" i="1"/>
  <c r="E28" i="1"/>
  <c r="E17" i="1"/>
  <c r="F17" i="1"/>
  <c r="F17" i="9" s="1"/>
  <c r="E33" i="16" s="1"/>
  <c r="G17" i="1"/>
  <c r="G17" i="9" s="1"/>
  <c r="F33" i="16" s="1"/>
  <c r="H17" i="1"/>
  <c r="H17" i="9" s="1"/>
  <c r="G33" i="16" s="1"/>
  <c r="I17" i="1"/>
  <c r="J17" i="1"/>
  <c r="K17" i="1"/>
  <c r="L17" i="1"/>
  <c r="M17" i="1"/>
  <c r="N17" i="1"/>
  <c r="O17" i="1"/>
  <c r="P17" i="1"/>
  <c r="L17" i="9" s="1"/>
  <c r="K33" i="16" s="1"/>
  <c r="Q17" i="1"/>
  <c r="M17" i="9" s="1"/>
  <c r="L33" i="16" s="1"/>
  <c r="R17" i="1"/>
  <c r="N17" i="9" s="1"/>
  <c r="M33" i="16" s="1"/>
  <c r="S17" i="1"/>
  <c r="T17" i="1"/>
  <c r="U17" i="1"/>
  <c r="V17" i="1"/>
  <c r="W17" i="1"/>
  <c r="X17" i="1"/>
  <c r="Y17" i="1"/>
  <c r="E18" i="1"/>
  <c r="F18" i="1"/>
  <c r="F18" i="9" s="1"/>
  <c r="E34" i="16" s="1"/>
  <c r="G18" i="1"/>
  <c r="G18" i="9" s="1"/>
  <c r="F34" i="16" s="1"/>
  <c r="H18" i="1"/>
  <c r="H18" i="9" s="1"/>
  <c r="G34" i="16" s="1"/>
  <c r="I18" i="1"/>
  <c r="J18" i="1"/>
  <c r="K18" i="1"/>
  <c r="L18" i="1"/>
  <c r="M18" i="1"/>
  <c r="N18" i="1"/>
  <c r="O18" i="1"/>
  <c r="P18" i="1"/>
  <c r="L18" i="9" s="1"/>
  <c r="K34" i="16" s="1"/>
  <c r="Q18" i="1"/>
  <c r="M18" i="9" s="1"/>
  <c r="L34" i="16" s="1"/>
  <c r="R18" i="1"/>
  <c r="N18" i="9" s="1"/>
  <c r="M34" i="16" s="1"/>
  <c r="S18" i="1"/>
  <c r="T18" i="1"/>
  <c r="U18" i="1"/>
  <c r="V18" i="1"/>
  <c r="W18" i="1"/>
  <c r="X18" i="1"/>
  <c r="Y18" i="1"/>
  <c r="E19" i="1"/>
  <c r="F19" i="1"/>
  <c r="F19" i="9" s="1"/>
  <c r="E35" i="16" s="1"/>
  <c r="G19" i="1"/>
  <c r="G19" i="9" s="1"/>
  <c r="F35" i="16" s="1"/>
  <c r="H19" i="1"/>
  <c r="H19" i="9" s="1"/>
  <c r="G35" i="16" s="1"/>
  <c r="I19" i="1"/>
  <c r="J19" i="1"/>
  <c r="K19" i="1"/>
  <c r="L19" i="1"/>
  <c r="M19" i="1"/>
  <c r="N19" i="1"/>
  <c r="O19" i="1"/>
  <c r="P19" i="1"/>
  <c r="L19" i="9" s="1"/>
  <c r="K35" i="16" s="1"/>
  <c r="Q19" i="1"/>
  <c r="M19" i="9" s="1"/>
  <c r="L35" i="16" s="1"/>
  <c r="R19" i="1"/>
  <c r="N19" i="9" s="1"/>
  <c r="M35" i="16" s="1"/>
  <c r="S19" i="1"/>
  <c r="T19" i="1"/>
  <c r="U19" i="1"/>
  <c r="V19" i="1"/>
  <c r="W19" i="1"/>
  <c r="X19" i="1"/>
  <c r="Y19" i="1"/>
  <c r="E20" i="1"/>
  <c r="F20" i="1"/>
  <c r="F20" i="9" s="1"/>
  <c r="G20" i="1"/>
  <c r="G20" i="9" s="1"/>
  <c r="H20" i="1"/>
  <c r="H20" i="9" s="1"/>
  <c r="I20" i="1"/>
  <c r="J20" i="1"/>
  <c r="K20" i="1"/>
  <c r="L20" i="1"/>
  <c r="M20" i="1"/>
  <c r="N20" i="1"/>
  <c r="O20" i="1"/>
  <c r="P20" i="1"/>
  <c r="L20" i="9" s="1"/>
  <c r="Q20" i="1"/>
  <c r="M20" i="9" s="1"/>
  <c r="R20" i="1"/>
  <c r="N20" i="9" s="1"/>
  <c r="S20" i="1"/>
  <c r="T20" i="1"/>
  <c r="U20" i="1"/>
  <c r="V20" i="1"/>
  <c r="W20" i="1"/>
  <c r="X20" i="1"/>
  <c r="Y20" i="1"/>
  <c r="E21" i="1"/>
  <c r="F21" i="1"/>
  <c r="F21" i="9" s="1"/>
  <c r="E37" i="16" s="1"/>
  <c r="G21" i="1"/>
  <c r="G21" i="9" s="1"/>
  <c r="F37" i="16" s="1"/>
  <c r="H21" i="1"/>
  <c r="H21" i="9" s="1"/>
  <c r="G37" i="16" s="1"/>
  <c r="I21" i="1"/>
  <c r="J21" i="1"/>
  <c r="K21" i="1"/>
  <c r="L21" i="1"/>
  <c r="M21" i="1"/>
  <c r="N21" i="1"/>
  <c r="O21" i="1"/>
  <c r="P21" i="1"/>
  <c r="L21" i="9" s="1"/>
  <c r="K37" i="16" s="1"/>
  <c r="Q21" i="1"/>
  <c r="M21" i="9" s="1"/>
  <c r="L37" i="16" s="1"/>
  <c r="R21" i="1"/>
  <c r="N21" i="9" s="1"/>
  <c r="M37" i="16" s="1"/>
  <c r="S21" i="1"/>
  <c r="T21" i="1"/>
  <c r="U21" i="1"/>
  <c r="V21" i="1"/>
  <c r="W21" i="1"/>
  <c r="X21" i="1"/>
  <c r="Y21" i="1"/>
  <c r="E22" i="1"/>
  <c r="F22" i="1"/>
  <c r="F22" i="9" s="1"/>
  <c r="E38" i="16" s="1"/>
  <c r="G22" i="1"/>
  <c r="G22" i="9" s="1"/>
  <c r="F38" i="16" s="1"/>
  <c r="H22" i="1"/>
  <c r="H22" i="9" s="1"/>
  <c r="G38" i="16" s="1"/>
  <c r="I22" i="1"/>
  <c r="J22" i="1"/>
  <c r="K22" i="1"/>
  <c r="L22" i="1"/>
  <c r="M22" i="1"/>
  <c r="N22" i="1"/>
  <c r="O22" i="1"/>
  <c r="P22" i="1"/>
  <c r="L22" i="9" s="1"/>
  <c r="K38" i="16" s="1"/>
  <c r="Q22" i="1"/>
  <c r="M22" i="9" s="1"/>
  <c r="L38" i="16" s="1"/>
  <c r="R22" i="1"/>
  <c r="N22" i="9" s="1"/>
  <c r="M38" i="16" s="1"/>
  <c r="S22" i="1"/>
  <c r="T22" i="1"/>
  <c r="U22" i="1"/>
  <c r="V22" i="1"/>
  <c r="W22" i="1"/>
  <c r="X22" i="1"/>
  <c r="Y22" i="1"/>
  <c r="E23" i="1"/>
  <c r="F23" i="1"/>
  <c r="F23" i="9" s="1"/>
  <c r="E39" i="16" s="1"/>
  <c r="G23" i="1"/>
  <c r="G23" i="9" s="1"/>
  <c r="F39" i="16" s="1"/>
  <c r="H23" i="1"/>
  <c r="H23" i="9" s="1"/>
  <c r="G39" i="16" s="1"/>
  <c r="I23" i="1"/>
  <c r="J23" i="1"/>
  <c r="K23" i="1"/>
  <c r="L23" i="1"/>
  <c r="M23" i="1"/>
  <c r="N23" i="1"/>
  <c r="O23" i="1"/>
  <c r="P23" i="1"/>
  <c r="L23" i="9" s="1"/>
  <c r="K39" i="16" s="1"/>
  <c r="Q23" i="1"/>
  <c r="M23" i="9" s="1"/>
  <c r="L39" i="16" s="1"/>
  <c r="R23" i="1"/>
  <c r="N23" i="9" s="1"/>
  <c r="M39" i="16" s="1"/>
  <c r="S23" i="1"/>
  <c r="T23" i="1"/>
  <c r="U23" i="1"/>
  <c r="V23" i="1"/>
  <c r="W23" i="1"/>
  <c r="X23" i="1"/>
  <c r="Y23" i="1"/>
  <c r="E24" i="1"/>
  <c r="F24" i="1"/>
  <c r="F24" i="9" s="1"/>
  <c r="G24" i="1"/>
  <c r="G24" i="9" s="1"/>
  <c r="H24" i="1"/>
  <c r="H24" i="9" s="1"/>
  <c r="I24" i="1"/>
  <c r="J24" i="1"/>
  <c r="K24" i="1"/>
  <c r="L24" i="1"/>
  <c r="M24" i="1"/>
  <c r="N24" i="1"/>
  <c r="O24" i="1"/>
  <c r="P24" i="1"/>
  <c r="L24" i="9" s="1"/>
  <c r="Q24" i="1"/>
  <c r="M24" i="9" s="1"/>
  <c r="R24" i="1"/>
  <c r="N24" i="9" s="1"/>
  <c r="S24" i="1"/>
  <c r="T24" i="1"/>
  <c r="U24" i="1"/>
  <c r="V24" i="1"/>
  <c r="W24" i="1"/>
  <c r="X24" i="1"/>
  <c r="Y24" i="1"/>
  <c r="E25" i="1"/>
  <c r="F25" i="1"/>
  <c r="F25" i="9" s="1"/>
  <c r="E41" i="16" s="1"/>
  <c r="G25" i="1"/>
  <c r="G25" i="9" s="1"/>
  <c r="F41" i="16" s="1"/>
  <c r="H25" i="1"/>
  <c r="H25" i="9" s="1"/>
  <c r="G41" i="16" s="1"/>
  <c r="I25" i="1"/>
  <c r="J25" i="1"/>
  <c r="K25" i="1"/>
  <c r="L25" i="1"/>
  <c r="M25" i="1"/>
  <c r="N25" i="1"/>
  <c r="O25" i="1"/>
  <c r="P25" i="1"/>
  <c r="L25" i="9" s="1"/>
  <c r="K41" i="16" s="1"/>
  <c r="Q25" i="1"/>
  <c r="M25" i="9" s="1"/>
  <c r="L41" i="16" s="1"/>
  <c r="R25" i="1"/>
  <c r="N25" i="9" s="1"/>
  <c r="M41" i="16" s="1"/>
  <c r="S25" i="1"/>
  <c r="T25" i="1"/>
  <c r="U25" i="1"/>
  <c r="V25" i="1"/>
  <c r="W25" i="1"/>
  <c r="X25" i="1"/>
  <c r="Y25" i="1"/>
  <c r="E26" i="1"/>
  <c r="F26" i="1"/>
  <c r="F26" i="9" s="1"/>
  <c r="E42" i="16" s="1"/>
  <c r="G26" i="1"/>
  <c r="G26" i="9" s="1"/>
  <c r="F42" i="16" s="1"/>
  <c r="H26" i="1"/>
  <c r="H26" i="9" s="1"/>
  <c r="G42" i="16" s="1"/>
  <c r="I26" i="1"/>
  <c r="J26" i="1"/>
  <c r="K26" i="1"/>
  <c r="L26" i="1"/>
  <c r="M26" i="1"/>
  <c r="N26" i="1"/>
  <c r="O26" i="1"/>
  <c r="P26" i="1"/>
  <c r="L26" i="9" s="1"/>
  <c r="K42" i="16" s="1"/>
  <c r="Q26" i="1"/>
  <c r="M26" i="9" s="1"/>
  <c r="L42" i="16" s="1"/>
  <c r="R26" i="1"/>
  <c r="N26" i="9" s="1"/>
  <c r="M42" i="16" s="1"/>
  <c r="S26" i="1"/>
  <c r="T26" i="1"/>
  <c r="U26" i="1"/>
  <c r="V26" i="1"/>
  <c r="W26" i="1"/>
  <c r="X26" i="1"/>
  <c r="Y26" i="1"/>
  <c r="E27" i="1"/>
  <c r="F27" i="1"/>
  <c r="F27" i="9" s="1"/>
  <c r="E43" i="16" s="1"/>
  <c r="G27" i="1"/>
  <c r="G27" i="9" s="1"/>
  <c r="F43" i="16" s="1"/>
  <c r="H27" i="1"/>
  <c r="H27" i="9" s="1"/>
  <c r="G43" i="16" s="1"/>
  <c r="I27" i="1"/>
  <c r="J27" i="1"/>
  <c r="K27" i="1"/>
  <c r="L27" i="1"/>
  <c r="M27" i="1"/>
  <c r="N27" i="1"/>
  <c r="O27" i="1"/>
  <c r="P27" i="1"/>
  <c r="L27" i="9" s="1"/>
  <c r="K43" i="16" s="1"/>
  <c r="Q27" i="1"/>
  <c r="M27" i="9" s="1"/>
  <c r="L43" i="16" s="1"/>
  <c r="R27" i="1"/>
  <c r="N27" i="9" s="1"/>
  <c r="M43" i="16" s="1"/>
  <c r="S27" i="1"/>
  <c r="T27" i="1"/>
  <c r="U27" i="1"/>
  <c r="V27" i="1"/>
  <c r="W27" i="1"/>
  <c r="X27" i="1"/>
  <c r="Y27" i="1"/>
  <c r="F16" i="1"/>
  <c r="F16" i="9" s="1"/>
  <c r="G16" i="1"/>
  <c r="G16" i="9" s="1"/>
  <c r="H16" i="1"/>
  <c r="H16" i="9" s="1"/>
  <c r="I16" i="1"/>
  <c r="J16" i="1"/>
  <c r="K16" i="1"/>
  <c r="L16" i="1"/>
  <c r="M16" i="1"/>
  <c r="N16" i="1"/>
  <c r="O16" i="1"/>
  <c r="P16" i="1"/>
  <c r="L16" i="9" s="1"/>
  <c r="Q16" i="1"/>
  <c r="M16" i="9" s="1"/>
  <c r="R16" i="1"/>
  <c r="N16" i="9" s="1"/>
  <c r="S16" i="1"/>
  <c r="T16" i="1"/>
  <c r="U16" i="1"/>
  <c r="V16" i="1"/>
  <c r="W16" i="1"/>
  <c r="X16" i="1"/>
  <c r="Y16" i="1"/>
  <c r="E16" i="1"/>
  <c r="E5" i="1"/>
  <c r="F5" i="1"/>
  <c r="F5" i="9" s="1"/>
  <c r="G5" i="1"/>
  <c r="G5" i="9" s="1"/>
  <c r="H5" i="1"/>
  <c r="H5" i="9" s="1"/>
  <c r="I5" i="1"/>
  <c r="J5" i="1"/>
  <c r="K5" i="1"/>
  <c r="L5" i="1"/>
  <c r="M5" i="1"/>
  <c r="N5" i="1"/>
  <c r="O5" i="1"/>
  <c r="P5" i="1"/>
  <c r="L5" i="9" s="1"/>
  <c r="Q5" i="1"/>
  <c r="M5" i="9" s="1"/>
  <c r="R5" i="1"/>
  <c r="N5" i="9" s="1"/>
  <c r="S5" i="1"/>
  <c r="T5" i="1"/>
  <c r="U5" i="1"/>
  <c r="V5" i="1"/>
  <c r="W5" i="1"/>
  <c r="X5" i="1"/>
  <c r="Y5" i="1"/>
  <c r="E6" i="1"/>
  <c r="F6" i="1"/>
  <c r="F6" i="9" s="1"/>
  <c r="G6" i="1"/>
  <c r="G6" i="9" s="1"/>
  <c r="H6" i="1"/>
  <c r="H6" i="9" s="1"/>
  <c r="I6" i="1"/>
  <c r="J6" i="1"/>
  <c r="K6" i="1"/>
  <c r="L6" i="1"/>
  <c r="M6" i="1"/>
  <c r="N6" i="1"/>
  <c r="O6" i="1"/>
  <c r="P6" i="1"/>
  <c r="L6" i="9" s="1"/>
  <c r="Q6" i="1"/>
  <c r="M6" i="9" s="1"/>
  <c r="R6" i="1"/>
  <c r="N6" i="9" s="1"/>
  <c r="S6" i="1"/>
  <c r="T6" i="1"/>
  <c r="U6" i="1"/>
  <c r="V6" i="1"/>
  <c r="W6" i="1"/>
  <c r="X6" i="1"/>
  <c r="Y6" i="1"/>
  <c r="E7" i="1"/>
  <c r="F7" i="1"/>
  <c r="F7" i="9" s="1"/>
  <c r="G7" i="1"/>
  <c r="G7" i="9" s="1"/>
  <c r="H7" i="1"/>
  <c r="H7" i="9" s="1"/>
  <c r="I7" i="1"/>
  <c r="J7" i="1"/>
  <c r="K7" i="1"/>
  <c r="L7" i="1"/>
  <c r="M7" i="1"/>
  <c r="N7" i="1"/>
  <c r="O7" i="1"/>
  <c r="P7" i="1"/>
  <c r="L7" i="9" s="1"/>
  <c r="Q7" i="1"/>
  <c r="M7" i="9" s="1"/>
  <c r="R7" i="1"/>
  <c r="N7" i="9" s="1"/>
  <c r="S7" i="1"/>
  <c r="T7" i="1"/>
  <c r="U7" i="1"/>
  <c r="V7" i="1"/>
  <c r="W7" i="1"/>
  <c r="X7" i="1"/>
  <c r="Y7" i="1"/>
  <c r="E8" i="1"/>
  <c r="F8" i="1"/>
  <c r="F8" i="9" s="1"/>
  <c r="G8" i="1"/>
  <c r="G8" i="9" s="1"/>
  <c r="H8" i="1"/>
  <c r="H8" i="9" s="1"/>
  <c r="I8" i="1"/>
  <c r="J8" i="1"/>
  <c r="K8" i="1"/>
  <c r="L8" i="1"/>
  <c r="M8" i="1"/>
  <c r="N8" i="1"/>
  <c r="O8" i="1"/>
  <c r="P8" i="1"/>
  <c r="L8" i="9" s="1"/>
  <c r="Q8" i="1"/>
  <c r="M8" i="9" s="1"/>
  <c r="R8" i="1"/>
  <c r="N8" i="9" s="1"/>
  <c r="S8" i="1"/>
  <c r="T8" i="1"/>
  <c r="U8" i="1"/>
  <c r="V8" i="1"/>
  <c r="W8" i="1"/>
  <c r="X8" i="1"/>
  <c r="Y8" i="1"/>
  <c r="E9" i="1"/>
  <c r="F9" i="1"/>
  <c r="F9" i="9" s="1"/>
  <c r="G9" i="1"/>
  <c r="G9" i="9" s="1"/>
  <c r="H9" i="1"/>
  <c r="H9" i="9" s="1"/>
  <c r="I9" i="1"/>
  <c r="J9" i="1"/>
  <c r="K9" i="1"/>
  <c r="L9" i="1"/>
  <c r="M9" i="1"/>
  <c r="N9" i="1"/>
  <c r="O9" i="1"/>
  <c r="P9" i="1"/>
  <c r="L9" i="9" s="1"/>
  <c r="Q9" i="1"/>
  <c r="M9" i="9" s="1"/>
  <c r="R9" i="1"/>
  <c r="N9" i="9" s="1"/>
  <c r="S9" i="1"/>
  <c r="T9" i="1"/>
  <c r="U9" i="1"/>
  <c r="V9" i="1"/>
  <c r="W9" i="1"/>
  <c r="X9" i="1"/>
  <c r="Y9" i="1"/>
  <c r="E10" i="1"/>
  <c r="F10" i="1"/>
  <c r="F10" i="9" s="1"/>
  <c r="G10" i="1"/>
  <c r="G10" i="9" s="1"/>
  <c r="H10" i="1"/>
  <c r="H10" i="9" s="1"/>
  <c r="I10" i="1"/>
  <c r="J10" i="1"/>
  <c r="K10" i="1"/>
  <c r="L10" i="1"/>
  <c r="M10" i="1"/>
  <c r="N10" i="1"/>
  <c r="O10" i="1"/>
  <c r="P10" i="1"/>
  <c r="L10" i="9" s="1"/>
  <c r="Q10" i="1"/>
  <c r="M10" i="9" s="1"/>
  <c r="R10" i="1"/>
  <c r="N10" i="9" s="1"/>
  <c r="S10" i="1"/>
  <c r="T10" i="1"/>
  <c r="U10" i="1"/>
  <c r="V10" i="1"/>
  <c r="W10" i="1"/>
  <c r="X10" i="1"/>
  <c r="Y10" i="1"/>
  <c r="E11" i="1"/>
  <c r="F11" i="1"/>
  <c r="F11" i="9" s="1"/>
  <c r="G11" i="1"/>
  <c r="G11" i="9" s="1"/>
  <c r="H11" i="1"/>
  <c r="H11" i="9" s="1"/>
  <c r="I11" i="1"/>
  <c r="J11" i="1"/>
  <c r="K11" i="1"/>
  <c r="L11" i="1"/>
  <c r="M11" i="1"/>
  <c r="N11" i="1"/>
  <c r="O11" i="1"/>
  <c r="P11" i="1"/>
  <c r="L11" i="9" s="1"/>
  <c r="Q11" i="1"/>
  <c r="M11" i="9" s="1"/>
  <c r="R11" i="1"/>
  <c r="N11" i="9" s="1"/>
  <c r="S11" i="1"/>
  <c r="T11" i="1"/>
  <c r="U11" i="1"/>
  <c r="V11" i="1"/>
  <c r="W11" i="1"/>
  <c r="X11" i="1"/>
  <c r="Y11" i="1"/>
  <c r="E12" i="1"/>
  <c r="F12" i="1"/>
  <c r="F12" i="9" s="1"/>
  <c r="G12" i="1"/>
  <c r="G12" i="9" s="1"/>
  <c r="H12" i="1"/>
  <c r="H12" i="9" s="1"/>
  <c r="I12" i="1"/>
  <c r="J12" i="1"/>
  <c r="K12" i="1"/>
  <c r="L12" i="1"/>
  <c r="M12" i="1"/>
  <c r="N12" i="1"/>
  <c r="O12" i="1"/>
  <c r="P12" i="1"/>
  <c r="L12" i="9" s="1"/>
  <c r="Q12" i="1"/>
  <c r="M12" i="9" s="1"/>
  <c r="R12" i="1"/>
  <c r="N12" i="9" s="1"/>
  <c r="S12" i="1"/>
  <c r="T12" i="1"/>
  <c r="U12" i="1"/>
  <c r="V12" i="1"/>
  <c r="W12" i="1"/>
  <c r="X12" i="1"/>
  <c r="Y12" i="1"/>
  <c r="E13" i="1"/>
  <c r="F13" i="1"/>
  <c r="F13" i="9" s="1"/>
  <c r="G13" i="1"/>
  <c r="G13" i="9" s="1"/>
  <c r="H13" i="1"/>
  <c r="H13" i="9" s="1"/>
  <c r="I13" i="1"/>
  <c r="J13" i="1"/>
  <c r="K13" i="1"/>
  <c r="L13" i="1"/>
  <c r="M13" i="1"/>
  <c r="N13" i="1"/>
  <c r="O13" i="1"/>
  <c r="P13" i="1"/>
  <c r="L13" i="9" s="1"/>
  <c r="Q13" i="1"/>
  <c r="M13" i="9" s="1"/>
  <c r="R13" i="1"/>
  <c r="N13" i="9" s="1"/>
  <c r="S13" i="1"/>
  <c r="T13" i="1"/>
  <c r="U13" i="1"/>
  <c r="V13" i="1"/>
  <c r="W13" i="1"/>
  <c r="X13" i="1"/>
  <c r="Y13" i="1"/>
  <c r="E14" i="1"/>
  <c r="F14" i="1"/>
  <c r="F14" i="9" s="1"/>
  <c r="G14" i="1"/>
  <c r="G14" i="9" s="1"/>
  <c r="H14" i="1"/>
  <c r="H14" i="9" s="1"/>
  <c r="I14" i="1"/>
  <c r="J14" i="1"/>
  <c r="K14" i="1"/>
  <c r="L14" i="1"/>
  <c r="M14" i="1"/>
  <c r="N14" i="1"/>
  <c r="O14" i="1"/>
  <c r="P14" i="1"/>
  <c r="L14" i="9" s="1"/>
  <c r="Q14" i="1"/>
  <c r="M14" i="9" s="1"/>
  <c r="R14" i="1"/>
  <c r="N14" i="9" s="1"/>
  <c r="S14" i="1"/>
  <c r="T14" i="1"/>
  <c r="U14" i="1"/>
  <c r="V14" i="1"/>
  <c r="W14" i="1"/>
  <c r="X14" i="1"/>
  <c r="Y14" i="1"/>
  <c r="E15" i="1"/>
  <c r="F15" i="1"/>
  <c r="F15" i="9" s="1"/>
  <c r="G15" i="1"/>
  <c r="G15" i="9" s="1"/>
  <c r="H15" i="1"/>
  <c r="H15" i="9" s="1"/>
  <c r="I15" i="1"/>
  <c r="J15" i="1"/>
  <c r="K15" i="1"/>
  <c r="L15" i="1"/>
  <c r="M15" i="1"/>
  <c r="N15" i="1"/>
  <c r="O15" i="1"/>
  <c r="P15" i="1"/>
  <c r="L15" i="9" s="1"/>
  <c r="Q15" i="1"/>
  <c r="M15" i="9" s="1"/>
  <c r="R15" i="1"/>
  <c r="N15" i="9" s="1"/>
  <c r="S15" i="1"/>
  <c r="T15" i="1"/>
  <c r="U15" i="1"/>
  <c r="V15" i="1"/>
  <c r="W15" i="1"/>
  <c r="X15" i="1"/>
  <c r="Y15" i="1"/>
  <c r="F4" i="1"/>
  <c r="F4" i="9" s="1"/>
  <c r="G4" i="1"/>
  <c r="G4" i="9" s="1"/>
  <c r="H4" i="1"/>
  <c r="H4" i="9" s="1"/>
  <c r="I4" i="1"/>
  <c r="J4" i="1"/>
  <c r="K4" i="1"/>
  <c r="L4" i="1"/>
  <c r="M4" i="1"/>
  <c r="N4" i="1"/>
  <c r="O4" i="1"/>
  <c r="P4" i="1"/>
  <c r="L4" i="9" s="1"/>
  <c r="Q4" i="1"/>
  <c r="M4" i="9" s="1"/>
  <c r="R4" i="1"/>
  <c r="N4" i="9" s="1"/>
  <c r="S4" i="1"/>
  <c r="T4" i="1"/>
  <c r="U4" i="1"/>
  <c r="V4" i="1"/>
  <c r="W4" i="1"/>
  <c r="X4" i="1"/>
  <c r="Y4" i="1"/>
  <c r="E4" i="1"/>
  <c r="E13" i="10" l="1"/>
  <c r="M6" i="10"/>
  <c r="M12" i="10"/>
  <c r="F14" i="10"/>
  <c r="F10" i="10"/>
  <c r="L10" i="10"/>
  <c r="L20" i="10"/>
  <c r="M4" i="10"/>
  <c r="M13" i="10"/>
  <c r="E14" i="10"/>
  <c r="L6" i="10"/>
  <c r="E10" i="10"/>
  <c r="G19" i="10"/>
  <c r="L14" i="10"/>
  <c r="E5" i="10"/>
  <c r="F4" i="10"/>
  <c r="J43" i="9"/>
  <c r="G31" i="3"/>
  <c r="M29" i="3"/>
  <c r="M5" i="6" s="1"/>
  <c r="M25" i="11" s="1"/>
  <c r="P41" i="9"/>
  <c r="E44" i="9"/>
  <c r="D32" i="3"/>
  <c r="D8" i="6" s="1"/>
  <c r="D28" i="11" s="1"/>
  <c r="G32" i="3"/>
  <c r="J44" i="9"/>
  <c r="L34" i="3"/>
  <c r="L10" i="6" s="1"/>
  <c r="L30" i="11" s="1"/>
  <c r="O46" i="9"/>
  <c r="H9" i="18"/>
  <c r="P52" i="16"/>
  <c r="P18" i="10"/>
  <c r="E60" i="9"/>
  <c r="E36" i="3"/>
  <c r="E12" i="6" s="1"/>
  <c r="E32" i="11" s="1"/>
  <c r="E24" i="3"/>
  <c r="E12" i="5" s="1"/>
  <c r="E20" i="11" s="1"/>
  <c r="H42" i="3"/>
  <c r="K66" i="9"/>
  <c r="E56" i="16"/>
  <c r="E21" i="10"/>
  <c r="L4" i="10"/>
  <c r="N15" i="3"/>
  <c r="N15" i="4" s="1"/>
  <c r="Q15" i="9"/>
  <c r="E15" i="9"/>
  <c r="D15" i="3"/>
  <c r="D15" i="4" s="1"/>
  <c r="G14" i="3"/>
  <c r="J14" i="9"/>
  <c r="M12" i="3"/>
  <c r="M12" i="4" s="1"/>
  <c r="P12" i="9"/>
  <c r="F11" i="3"/>
  <c r="I11" i="9"/>
  <c r="L9" i="3"/>
  <c r="L9" i="4" s="1"/>
  <c r="O9" i="9"/>
  <c r="G5" i="10"/>
  <c r="K13" i="3"/>
  <c r="K25" i="9"/>
  <c r="J41" i="16" s="1"/>
  <c r="K40" i="16"/>
  <c r="K9" i="10"/>
  <c r="Q11" i="3"/>
  <c r="Q11" i="4" s="1"/>
  <c r="Q23" i="9"/>
  <c r="P39" i="16" s="1"/>
  <c r="E23" i="9"/>
  <c r="E11" i="3"/>
  <c r="E11" i="4" s="1"/>
  <c r="J10" i="3"/>
  <c r="J22" i="9"/>
  <c r="I38" i="16" s="1"/>
  <c r="P8" i="3"/>
  <c r="P8" i="4" s="1"/>
  <c r="P20" i="9"/>
  <c r="I7" i="3"/>
  <c r="I19" i="9"/>
  <c r="H35" i="16" s="1"/>
  <c r="O5" i="3"/>
  <c r="O5" i="4" s="1"/>
  <c r="O17" i="9"/>
  <c r="N33" i="16" s="1"/>
  <c r="F16" i="3"/>
  <c r="I28" i="9"/>
  <c r="H21" i="3"/>
  <c r="K33" i="9"/>
  <c r="L12" i="10"/>
  <c r="N27" i="3"/>
  <c r="N15" i="5" s="1"/>
  <c r="N23" i="11" s="1"/>
  <c r="Q39" i="9"/>
  <c r="E39" i="9"/>
  <c r="D27" i="3"/>
  <c r="D15" i="5" s="1"/>
  <c r="D23" i="11" s="1"/>
  <c r="G26" i="3"/>
  <c r="J38" i="9"/>
  <c r="N28" i="3"/>
  <c r="N4" i="6" s="1"/>
  <c r="N24" i="11" s="1"/>
  <c r="Q40" i="9"/>
  <c r="F31" i="3"/>
  <c r="I43" i="9"/>
  <c r="L29" i="3"/>
  <c r="L5" i="6" s="1"/>
  <c r="L25" i="11" s="1"/>
  <c r="O41" i="9"/>
  <c r="F32" i="3"/>
  <c r="I44" i="9"/>
  <c r="H37" i="3"/>
  <c r="K49" i="9"/>
  <c r="L44" i="16"/>
  <c r="L16" i="10"/>
  <c r="E63" i="9"/>
  <c r="E39" i="3"/>
  <c r="E15" i="6" s="1"/>
  <c r="E35" i="11" s="1"/>
  <c r="E27" i="3"/>
  <c r="E15" i="5" s="1"/>
  <c r="E23" i="11" s="1"/>
  <c r="O52" i="16"/>
  <c r="I59" i="9"/>
  <c r="H51" i="16" s="1"/>
  <c r="I23" i="3"/>
  <c r="I35" i="3"/>
  <c r="O57" i="9"/>
  <c r="N49" i="16" s="1"/>
  <c r="O33" i="3"/>
  <c r="O9" i="6" s="1"/>
  <c r="O29" i="11" s="1"/>
  <c r="O21" i="3"/>
  <c r="O9" i="5" s="1"/>
  <c r="O17" i="11" s="1"/>
  <c r="G48" i="16"/>
  <c r="G17" i="10"/>
  <c r="H45" i="3"/>
  <c r="K69" i="9"/>
  <c r="K20" i="10"/>
  <c r="N43" i="3"/>
  <c r="Q67" i="9"/>
  <c r="E67" i="9"/>
  <c r="D43" i="3"/>
  <c r="G42" i="3"/>
  <c r="J66" i="9"/>
  <c r="H10" i="18"/>
  <c r="P56" i="16"/>
  <c r="P21" i="10"/>
  <c r="H48" i="16"/>
  <c r="K4" i="10"/>
  <c r="M15" i="3"/>
  <c r="M15" i="4" s="1"/>
  <c r="P15" i="9"/>
  <c r="F14" i="3"/>
  <c r="I14" i="9"/>
  <c r="L12" i="3"/>
  <c r="L12" i="4" s="1"/>
  <c r="O12" i="9"/>
  <c r="F5" i="10"/>
  <c r="Q14" i="3"/>
  <c r="Q14" i="4" s="1"/>
  <c r="Q26" i="9"/>
  <c r="P42" i="16" s="1"/>
  <c r="E26" i="9"/>
  <c r="E14" i="3"/>
  <c r="E14" i="4" s="1"/>
  <c r="J13" i="3"/>
  <c r="J25" i="9"/>
  <c r="I41" i="16" s="1"/>
  <c r="P11" i="3"/>
  <c r="P11" i="4" s="1"/>
  <c r="P23" i="9"/>
  <c r="O39" i="16" s="1"/>
  <c r="I10" i="3"/>
  <c r="I22" i="9"/>
  <c r="H38" i="16" s="1"/>
  <c r="O8" i="3"/>
  <c r="O8" i="4" s="1"/>
  <c r="O20" i="9"/>
  <c r="G10" i="10"/>
  <c r="N22" i="3"/>
  <c r="N10" i="5" s="1"/>
  <c r="N18" i="11" s="1"/>
  <c r="Q34" i="9"/>
  <c r="E34" i="9"/>
  <c r="D22" i="3"/>
  <c r="D10" i="5" s="1"/>
  <c r="D18" i="11" s="1"/>
  <c r="G21" i="3"/>
  <c r="J33" i="9"/>
  <c r="K12" i="10"/>
  <c r="M27" i="3"/>
  <c r="M15" i="5" s="1"/>
  <c r="M23" i="11" s="1"/>
  <c r="P39" i="9"/>
  <c r="F26" i="3"/>
  <c r="I38" i="9"/>
  <c r="M28" i="3"/>
  <c r="M4" i="6" s="1"/>
  <c r="M24" i="11" s="1"/>
  <c r="P40" i="9"/>
  <c r="G14" i="10"/>
  <c r="N38" i="3"/>
  <c r="N14" i="6" s="1"/>
  <c r="N34" i="11" s="1"/>
  <c r="Q50" i="9"/>
  <c r="E50" i="9"/>
  <c r="D38" i="3"/>
  <c r="D14" i="6" s="1"/>
  <c r="D34" i="11" s="1"/>
  <c r="G37" i="3"/>
  <c r="J49" i="9"/>
  <c r="K44" i="16"/>
  <c r="K16" i="10"/>
  <c r="F9" i="18"/>
  <c r="N52" i="16"/>
  <c r="N18" i="10"/>
  <c r="F48" i="16"/>
  <c r="F17" i="10"/>
  <c r="N46" i="3"/>
  <c r="Q70" i="9"/>
  <c r="E70" i="9"/>
  <c r="D46" i="3"/>
  <c r="G45" i="3"/>
  <c r="J69" i="9"/>
  <c r="M43" i="3"/>
  <c r="P67" i="9"/>
  <c r="I66" i="9"/>
  <c r="F42" i="3"/>
  <c r="G10" i="18"/>
  <c r="O56" i="16"/>
  <c r="O21" i="10"/>
  <c r="E53" i="9"/>
  <c r="E29" i="3"/>
  <c r="E5" i="6" s="1"/>
  <c r="E25" i="11" s="1"/>
  <c r="E17" i="3"/>
  <c r="E5" i="5" s="1"/>
  <c r="E13" i="11" s="1"/>
  <c r="H40" i="3"/>
  <c r="K64" i="9"/>
  <c r="M46" i="3"/>
  <c r="P70" i="9"/>
  <c r="I69" i="9"/>
  <c r="F45" i="3"/>
  <c r="O67" i="9"/>
  <c r="L43" i="3"/>
  <c r="F10" i="18"/>
  <c r="N56" i="16"/>
  <c r="N21" i="10"/>
  <c r="E12" i="9"/>
  <c r="D12" i="3"/>
  <c r="D12" i="4" s="1"/>
  <c r="P9" i="9"/>
  <c r="M9" i="3"/>
  <c r="M9" i="4" s="1"/>
  <c r="F8" i="3"/>
  <c r="I8" i="9"/>
  <c r="L6" i="3"/>
  <c r="L6" i="4" s="1"/>
  <c r="O6" i="9"/>
  <c r="L28" i="3"/>
  <c r="L4" i="6" s="1"/>
  <c r="L24" i="11" s="1"/>
  <c r="O40" i="9"/>
  <c r="F37" i="3"/>
  <c r="I49" i="9"/>
  <c r="K10" i="9"/>
  <c r="H10" i="3"/>
  <c r="N8" i="3"/>
  <c r="N8" i="4" s="1"/>
  <c r="Q8" i="9"/>
  <c r="J7" i="9"/>
  <c r="G7" i="3"/>
  <c r="E16" i="9"/>
  <c r="E4" i="3"/>
  <c r="E4" i="4" s="1"/>
  <c r="L52" i="16"/>
  <c r="L18" i="10"/>
  <c r="H8" i="18"/>
  <c r="P48" i="16"/>
  <c r="P17" i="10"/>
  <c r="E56" i="9"/>
  <c r="E32" i="3"/>
  <c r="E8" i="6" s="1"/>
  <c r="E28" i="11" s="1"/>
  <c r="E20" i="3"/>
  <c r="E8" i="5" s="1"/>
  <c r="E16" i="11" s="1"/>
  <c r="E64" i="9"/>
  <c r="D40" i="3"/>
  <c r="G40" i="3"/>
  <c r="J64" i="9"/>
  <c r="O70" i="9"/>
  <c r="L46" i="3"/>
  <c r="M56" i="16"/>
  <c r="M21" i="10"/>
  <c r="H20" i="3"/>
  <c r="K32" i="9"/>
  <c r="H30" i="3"/>
  <c r="K42" i="9"/>
  <c r="G35" i="3"/>
  <c r="J47" i="9"/>
  <c r="M33" i="3"/>
  <c r="M9" i="6" s="1"/>
  <c r="M29" i="11" s="1"/>
  <c r="P45" i="9"/>
  <c r="E48" i="9"/>
  <c r="D36" i="3"/>
  <c r="D12" i="6" s="1"/>
  <c r="D32" i="11" s="1"/>
  <c r="H36" i="3"/>
  <c r="K48" i="9"/>
  <c r="L38" i="3"/>
  <c r="L14" i="6" s="1"/>
  <c r="L34" i="11" s="1"/>
  <c r="O50" i="9"/>
  <c r="H13" i="3"/>
  <c r="K13" i="9"/>
  <c r="K6" i="10"/>
  <c r="N11" i="3"/>
  <c r="N11" i="4" s="1"/>
  <c r="Q11" i="9"/>
  <c r="E11" i="9"/>
  <c r="D11" i="3"/>
  <c r="D11" i="4" s="1"/>
  <c r="G10" i="3"/>
  <c r="J10" i="9"/>
  <c r="M8" i="3"/>
  <c r="M8" i="4" s="1"/>
  <c r="P8" i="9"/>
  <c r="F7" i="3"/>
  <c r="I7" i="9"/>
  <c r="L5" i="3"/>
  <c r="L5" i="4" s="1"/>
  <c r="O5" i="9"/>
  <c r="I16" i="9"/>
  <c r="I4" i="3"/>
  <c r="K9" i="3"/>
  <c r="K21" i="9"/>
  <c r="J37" i="16" s="1"/>
  <c r="K36" i="16"/>
  <c r="K8" i="10"/>
  <c r="Q7" i="3"/>
  <c r="Q7" i="4" s="1"/>
  <c r="Q19" i="9"/>
  <c r="P35" i="16" s="1"/>
  <c r="E19" i="9"/>
  <c r="E7" i="3"/>
  <c r="E7" i="4" s="1"/>
  <c r="J6" i="3"/>
  <c r="J18" i="9"/>
  <c r="I34" i="16" s="1"/>
  <c r="N16" i="3"/>
  <c r="N4" i="5" s="1"/>
  <c r="N12" i="11" s="1"/>
  <c r="Q28" i="9"/>
  <c r="F19" i="3"/>
  <c r="I31" i="9"/>
  <c r="L17" i="3"/>
  <c r="L5" i="5" s="1"/>
  <c r="L13" i="11" s="1"/>
  <c r="O29" i="9"/>
  <c r="F20" i="3"/>
  <c r="I32" i="9"/>
  <c r="H25" i="3"/>
  <c r="K37" i="9"/>
  <c r="L13" i="10"/>
  <c r="Q43" i="9"/>
  <c r="N31" i="3"/>
  <c r="N7" i="6" s="1"/>
  <c r="N27" i="11" s="1"/>
  <c r="E43" i="9"/>
  <c r="D31" i="3"/>
  <c r="D7" i="6" s="1"/>
  <c r="D27" i="11" s="1"/>
  <c r="G30" i="3"/>
  <c r="J42" i="9"/>
  <c r="Q44" i="9"/>
  <c r="N32" i="3"/>
  <c r="N8" i="6" s="1"/>
  <c r="N28" i="11" s="1"/>
  <c r="F35" i="3"/>
  <c r="I47" i="9"/>
  <c r="L33" i="3"/>
  <c r="L9" i="6" s="1"/>
  <c r="L29" i="11" s="1"/>
  <c r="O45" i="9"/>
  <c r="E15" i="10"/>
  <c r="G36" i="3"/>
  <c r="J48" i="9"/>
  <c r="K52" i="16"/>
  <c r="K18" i="10"/>
  <c r="E59" i="9"/>
  <c r="E35" i="3"/>
  <c r="E11" i="6" s="1"/>
  <c r="E31" i="11" s="1"/>
  <c r="E23" i="3"/>
  <c r="E11" i="5" s="1"/>
  <c r="E19" i="11" s="1"/>
  <c r="J58" i="9"/>
  <c r="I50" i="16" s="1"/>
  <c r="J22" i="3"/>
  <c r="J34" i="3"/>
  <c r="G8" i="18"/>
  <c r="O48" i="16"/>
  <c r="O17" i="10"/>
  <c r="I64" i="9"/>
  <c r="F40" i="3"/>
  <c r="H41" i="3"/>
  <c r="K65" i="9"/>
  <c r="L56" i="16"/>
  <c r="L21" i="10"/>
  <c r="E75" i="9"/>
  <c r="E47" i="3"/>
  <c r="E43" i="3"/>
  <c r="E62" i="9"/>
  <c r="E38" i="3"/>
  <c r="E14" i="6" s="1"/>
  <c r="E34" i="11" s="1"/>
  <c r="E26" i="3"/>
  <c r="E14" i="5" s="1"/>
  <c r="E22" i="11" s="1"/>
  <c r="J61" i="9"/>
  <c r="I53" i="16" s="1"/>
  <c r="J25" i="3"/>
  <c r="J37" i="3"/>
  <c r="F8" i="18"/>
  <c r="N48" i="16"/>
  <c r="N17" i="10"/>
  <c r="H44" i="3"/>
  <c r="K68" i="9"/>
  <c r="N42" i="3"/>
  <c r="Q66" i="9"/>
  <c r="E66" i="9"/>
  <c r="D42" i="3"/>
  <c r="G41" i="3"/>
  <c r="J65" i="9"/>
  <c r="K56" i="16"/>
  <c r="K21" i="10"/>
  <c r="I74" i="9"/>
  <c r="H58" i="16" s="1"/>
  <c r="I46" i="3"/>
  <c r="I42" i="3"/>
  <c r="H26" i="3"/>
  <c r="K38" i="9"/>
  <c r="H7" i="3"/>
  <c r="K7" i="9"/>
  <c r="N5" i="3"/>
  <c r="N5" i="4" s="1"/>
  <c r="Q5" i="9"/>
  <c r="K16" i="9"/>
  <c r="K4" i="3"/>
  <c r="P14" i="3"/>
  <c r="P14" i="4" s="1"/>
  <c r="P26" i="9"/>
  <c r="O42" i="16" s="1"/>
  <c r="I13" i="3"/>
  <c r="I25" i="9"/>
  <c r="H41" i="16" s="1"/>
  <c r="O11" i="3"/>
  <c r="O11" i="4" s="1"/>
  <c r="O23" i="9"/>
  <c r="N39" i="16" s="1"/>
  <c r="K31" i="9"/>
  <c r="H19" i="3"/>
  <c r="G19" i="3"/>
  <c r="J31" i="9"/>
  <c r="M17" i="3"/>
  <c r="M5" i="5" s="1"/>
  <c r="M13" i="11" s="1"/>
  <c r="P29" i="9"/>
  <c r="E32" i="9"/>
  <c r="D20" i="3"/>
  <c r="D8" i="5" s="1"/>
  <c r="D16" i="11" s="1"/>
  <c r="G20" i="3"/>
  <c r="J32" i="9"/>
  <c r="L22" i="3"/>
  <c r="L10" i="5" s="1"/>
  <c r="L18" i="11" s="1"/>
  <c r="O34" i="9"/>
  <c r="N14" i="3"/>
  <c r="N14" i="4" s="1"/>
  <c r="Q14" i="9"/>
  <c r="E14" i="9"/>
  <c r="D14" i="3"/>
  <c r="D14" i="4" s="1"/>
  <c r="G13" i="3"/>
  <c r="J13" i="9"/>
  <c r="M11" i="3"/>
  <c r="M11" i="4" s="1"/>
  <c r="P11" i="9"/>
  <c r="F10" i="3"/>
  <c r="I10" i="9"/>
  <c r="L8" i="3"/>
  <c r="L8" i="4" s="1"/>
  <c r="O8" i="9"/>
  <c r="G32" i="16"/>
  <c r="G7" i="10"/>
  <c r="K12" i="3"/>
  <c r="K24" i="9"/>
  <c r="Q10" i="3"/>
  <c r="Q10" i="4" s="1"/>
  <c r="Q22" i="9"/>
  <c r="P38" i="16" s="1"/>
  <c r="E22" i="9"/>
  <c r="E10" i="3"/>
  <c r="E10" i="4" s="1"/>
  <c r="J9" i="3"/>
  <c r="J21" i="9"/>
  <c r="I37" i="16" s="1"/>
  <c r="P7" i="3"/>
  <c r="P7" i="4" s="1"/>
  <c r="P19" i="9"/>
  <c r="O35" i="16" s="1"/>
  <c r="I6" i="3"/>
  <c r="I18" i="9"/>
  <c r="H34" i="16" s="1"/>
  <c r="M16" i="3"/>
  <c r="M4" i="5" s="1"/>
  <c r="M12" i="11" s="1"/>
  <c r="P28" i="9"/>
  <c r="G11" i="10"/>
  <c r="N26" i="3"/>
  <c r="N14" i="5" s="1"/>
  <c r="N22" i="11" s="1"/>
  <c r="Q38" i="9"/>
  <c r="E38" i="9"/>
  <c r="D26" i="3"/>
  <c r="D14" i="5" s="1"/>
  <c r="D22" i="11" s="1"/>
  <c r="G25" i="3"/>
  <c r="J37" i="9"/>
  <c r="K13" i="10"/>
  <c r="P43" i="9"/>
  <c r="M31" i="3"/>
  <c r="M7" i="6" s="1"/>
  <c r="M27" i="11" s="1"/>
  <c r="I42" i="9"/>
  <c r="F30" i="3"/>
  <c r="M32" i="3"/>
  <c r="M8" i="6" s="1"/>
  <c r="M28" i="11" s="1"/>
  <c r="P44" i="9"/>
  <c r="F36" i="3"/>
  <c r="I48" i="9"/>
  <c r="H4" i="3"/>
  <c r="K4" i="9"/>
  <c r="M14" i="3"/>
  <c r="M14" i="4" s="1"/>
  <c r="P14" i="9"/>
  <c r="F13" i="3"/>
  <c r="I13" i="9"/>
  <c r="L11" i="3"/>
  <c r="L11" i="4" s="1"/>
  <c r="O11" i="9"/>
  <c r="M5" i="10"/>
  <c r="F32" i="16"/>
  <c r="F7" i="10"/>
  <c r="K15" i="3"/>
  <c r="K27" i="9"/>
  <c r="J43" i="16" s="1"/>
  <c r="Q13" i="3"/>
  <c r="Q13" i="4" s="1"/>
  <c r="Q25" i="9"/>
  <c r="P41" i="16" s="1"/>
  <c r="E25" i="9"/>
  <c r="E13" i="3"/>
  <c r="E13" i="4" s="1"/>
  <c r="J12" i="3"/>
  <c r="J24" i="9"/>
  <c r="P10" i="3"/>
  <c r="P10" i="4" s="1"/>
  <c r="P22" i="9"/>
  <c r="O38" i="16" s="1"/>
  <c r="I9" i="3"/>
  <c r="I21" i="9"/>
  <c r="H37" i="16" s="1"/>
  <c r="O7" i="3"/>
  <c r="O7" i="4" s="1"/>
  <c r="O19" i="9"/>
  <c r="N35" i="16" s="1"/>
  <c r="L16" i="3"/>
  <c r="L4" i="5" s="1"/>
  <c r="L12" i="11" s="1"/>
  <c r="O28" i="9"/>
  <c r="F11" i="10"/>
  <c r="H23" i="3"/>
  <c r="K35" i="9"/>
  <c r="N21" i="3"/>
  <c r="N9" i="5" s="1"/>
  <c r="N17" i="11" s="1"/>
  <c r="Q33" i="9"/>
  <c r="E33" i="9"/>
  <c r="D21" i="3"/>
  <c r="D9" i="5" s="1"/>
  <c r="D17" i="11" s="1"/>
  <c r="H24" i="3"/>
  <c r="K36" i="9"/>
  <c r="M26" i="3"/>
  <c r="M14" i="5" s="1"/>
  <c r="M22" i="11" s="1"/>
  <c r="P38" i="9"/>
  <c r="F25" i="3"/>
  <c r="I37" i="9"/>
  <c r="L31" i="3"/>
  <c r="L7" i="6" s="1"/>
  <c r="L27" i="11" s="1"/>
  <c r="O43" i="9"/>
  <c r="L32" i="3"/>
  <c r="L8" i="6" s="1"/>
  <c r="L28" i="11" s="1"/>
  <c r="O44" i="9"/>
  <c r="G15" i="10"/>
  <c r="H39" i="3"/>
  <c r="K51" i="9"/>
  <c r="N37" i="3"/>
  <c r="N13" i="6" s="1"/>
  <c r="N33" i="11" s="1"/>
  <c r="Q49" i="9"/>
  <c r="E49" i="9"/>
  <c r="D37" i="3"/>
  <c r="D13" i="6" s="1"/>
  <c r="D33" i="11" s="1"/>
  <c r="J44" i="16"/>
  <c r="J16" i="10"/>
  <c r="M48" i="16"/>
  <c r="M17" i="10"/>
  <c r="F19" i="10"/>
  <c r="H47" i="3"/>
  <c r="K71" i="9"/>
  <c r="N45" i="3"/>
  <c r="Q69" i="9"/>
  <c r="E69" i="9"/>
  <c r="D45" i="3"/>
  <c r="J68" i="9"/>
  <c r="G44" i="3"/>
  <c r="M42" i="3"/>
  <c r="P66" i="9"/>
  <c r="I65" i="9"/>
  <c r="F41" i="3"/>
  <c r="L5" i="10"/>
  <c r="H6" i="3"/>
  <c r="K6" i="9"/>
  <c r="E32" i="16"/>
  <c r="E7" i="10"/>
  <c r="J15" i="3"/>
  <c r="J27" i="9"/>
  <c r="I43" i="16" s="1"/>
  <c r="P13" i="3"/>
  <c r="P13" i="4" s="1"/>
  <c r="P25" i="9"/>
  <c r="O41" i="16" s="1"/>
  <c r="I12" i="3"/>
  <c r="I24" i="9"/>
  <c r="O10" i="3"/>
  <c r="O10" i="4" s="1"/>
  <c r="O22" i="9"/>
  <c r="N38" i="16" s="1"/>
  <c r="M10" i="10"/>
  <c r="H18" i="3"/>
  <c r="K30" i="9"/>
  <c r="E11" i="10"/>
  <c r="G23" i="3"/>
  <c r="J35" i="9"/>
  <c r="M21" i="3"/>
  <c r="M9" i="5" s="1"/>
  <c r="M17" i="11" s="1"/>
  <c r="P33" i="9"/>
  <c r="E36" i="9"/>
  <c r="D24" i="3"/>
  <c r="D12" i="5" s="1"/>
  <c r="D20" i="11" s="1"/>
  <c r="G24" i="3"/>
  <c r="J36" i="9"/>
  <c r="L26" i="3"/>
  <c r="L14" i="5" s="1"/>
  <c r="L22" i="11" s="1"/>
  <c r="O38" i="9"/>
  <c r="M14" i="10"/>
  <c r="H34" i="3"/>
  <c r="K46" i="9"/>
  <c r="F15" i="10"/>
  <c r="J51" i="9"/>
  <c r="G39" i="3"/>
  <c r="M37" i="3"/>
  <c r="M13" i="6" s="1"/>
  <c r="M33" i="11" s="1"/>
  <c r="P49" i="9"/>
  <c r="E52" i="9"/>
  <c r="E16" i="3"/>
  <c r="E4" i="5" s="1"/>
  <c r="E12" i="11" s="1"/>
  <c r="E28" i="3"/>
  <c r="E4" i="6" s="1"/>
  <c r="E24" i="11" s="1"/>
  <c r="I44" i="16"/>
  <c r="I16" i="10"/>
  <c r="L48" i="16"/>
  <c r="L17" i="10"/>
  <c r="E19" i="10"/>
  <c r="G47" i="3"/>
  <c r="J71" i="9"/>
  <c r="M45" i="3"/>
  <c r="P69" i="9"/>
  <c r="I68" i="9"/>
  <c r="F44" i="3"/>
  <c r="O66" i="9"/>
  <c r="L42" i="3"/>
  <c r="L40" i="16"/>
  <c r="L9" i="10"/>
  <c r="K10" i="3"/>
  <c r="K22" i="9"/>
  <c r="J38" i="16" s="1"/>
  <c r="E20" i="9"/>
  <c r="E8" i="3"/>
  <c r="E8" i="4" s="1"/>
  <c r="G16" i="3"/>
  <c r="J28" i="9"/>
  <c r="M36" i="16"/>
  <c r="M8" i="10"/>
  <c r="E29" i="9"/>
  <c r="D17" i="3"/>
  <c r="D5" i="5" s="1"/>
  <c r="D13" i="11" s="1"/>
  <c r="M22" i="3"/>
  <c r="M10" i="5" s="1"/>
  <c r="M18" i="11" s="1"/>
  <c r="P34" i="9"/>
  <c r="F21" i="3"/>
  <c r="I33" i="9"/>
  <c r="L27" i="3"/>
  <c r="L15" i="5" s="1"/>
  <c r="L23" i="11" s="1"/>
  <c r="O39" i="9"/>
  <c r="L36" i="16"/>
  <c r="L8" i="10"/>
  <c r="E4" i="9"/>
  <c r="D4" i="3"/>
  <c r="D4" i="4" s="1"/>
  <c r="G4" i="3"/>
  <c r="J4" i="9"/>
  <c r="L14" i="3"/>
  <c r="L14" i="4" s="1"/>
  <c r="O14" i="9"/>
  <c r="H9" i="3"/>
  <c r="K9" i="9"/>
  <c r="G6" i="3"/>
  <c r="J6" i="9"/>
  <c r="G40" i="16"/>
  <c r="G9" i="10"/>
  <c r="N35" i="3"/>
  <c r="N11" i="6" s="1"/>
  <c r="N31" i="11" s="1"/>
  <c r="Q47" i="9"/>
  <c r="E47" i="9"/>
  <c r="D35" i="3"/>
  <c r="D11" i="6" s="1"/>
  <c r="D31" i="11" s="1"/>
  <c r="G34" i="3"/>
  <c r="J46" i="9"/>
  <c r="F39" i="3"/>
  <c r="I51" i="9"/>
  <c r="L37" i="3"/>
  <c r="L13" i="6" s="1"/>
  <c r="L33" i="11" s="1"/>
  <c r="O49" i="9"/>
  <c r="I52" i="9"/>
  <c r="I16" i="3"/>
  <c r="I28" i="3"/>
  <c r="K48" i="16"/>
  <c r="K17" i="10"/>
  <c r="E55" i="9"/>
  <c r="E31" i="3"/>
  <c r="E7" i="6" s="1"/>
  <c r="E27" i="11" s="1"/>
  <c r="E19" i="3"/>
  <c r="E7" i="5" s="1"/>
  <c r="E15" i="11" s="1"/>
  <c r="N40" i="3"/>
  <c r="Q64" i="9"/>
  <c r="I71" i="9"/>
  <c r="F47" i="3"/>
  <c r="O69" i="9"/>
  <c r="L45" i="3"/>
  <c r="G20" i="10"/>
  <c r="N17" i="3"/>
  <c r="N5" i="5" s="1"/>
  <c r="N13" i="11" s="1"/>
  <c r="Q29" i="9"/>
  <c r="E8" i="9"/>
  <c r="D8" i="3"/>
  <c r="D8" i="4" s="1"/>
  <c r="J4" i="3"/>
  <c r="J16" i="9"/>
  <c r="O26" i="9"/>
  <c r="N42" i="16" s="1"/>
  <c r="O14" i="3"/>
  <c r="O14" i="4" s="1"/>
  <c r="K6" i="3"/>
  <c r="K18" i="9"/>
  <c r="J34" i="16" s="1"/>
  <c r="F4" i="3"/>
  <c r="I4" i="9"/>
  <c r="N7" i="3"/>
  <c r="N7" i="4" s="1"/>
  <c r="Q7" i="9"/>
  <c r="E7" i="9"/>
  <c r="D7" i="3"/>
  <c r="D7" i="4" s="1"/>
  <c r="Q4" i="3"/>
  <c r="Q4" i="4" s="1"/>
  <c r="Q16" i="9"/>
  <c r="I15" i="3"/>
  <c r="I27" i="9"/>
  <c r="H43" i="16" s="1"/>
  <c r="O13" i="3"/>
  <c r="O13" i="4" s="1"/>
  <c r="O25" i="9"/>
  <c r="N41" i="16" s="1"/>
  <c r="M7" i="3"/>
  <c r="M7" i="4" s="1"/>
  <c r="P7" i="9"/>
  <c r="K10" i="10"/>
  <c r="M19" i="3"/>
  <c r="M7" i="5" s="1"/>
  <c r="M15" i="11" s="1"/>
  <c r="P31" i="9"/>
  <c r="M20" i="3"/>
  <c r="M8" i="5" s="1"/>
  <c r="M16" i="11" s="1"/>
  <c r="P32" i="9"/>
  <c r="K14" i="10"/>
  <c r="P47" i="9"/>
  <c r="M35" i="3"/>
  <c r="M11" i="6" s="1"/>
  <c r="M31" i="11" s="1"/>
  <c r="F34" i="3"/>
  <c r="I46" i="9"/>
  <c r="N36" i="3"/>
  <c r="N12" i="6" s="1"/>
  <c r="N32" i="11" s="1"/>
  <c r="Q48" i="9"/>
  <c r="G44" i="16"/>
  <c r="G16" i="10"/>
  <c r="J52" i="16"/>
  <c r="J18" i="10"/>
  <c r="E58" i="9"/>
  <c r="E34" i="3"/>
  <c r="E10" i="6" s="1"/>
  <c r="E30" i="11" s="1"/>
  <c r="E22" i="3"/>
  <c r="E10" i="5" s="1"/>
  <c r="E18" i="11" s="1"/>
  <c r="M40" i="3"/>
  <c r="P64" i="9"/>
  <c r="F20" i="10"/>
  <c r="E74" i="9"/>
  <c r="E46" i="3"/>
  <c r="E42" i="3"/>
  <c r="N12" i="3"/>
  <c r="N12" i="4" s="1"/>
  <c r="Q12" i="9"/>
  <c r="G11" i="3"/>
  <c r="J11" i="9"/>
  <c r="P5" i="3"/>
  <c r="P5" i="4" s="1"/>
  <c r="P17" i="9"/>
  <c r="O33" i="16" s="1"/>
  <c r="E31" i="9"/>
  <c r="D19" i="3"/>
  <c r="D7" i="5" s="1"/>
  <c r="D15" i="11" s="1"/>
  <c r="N20" i="3"/>
  <c r="N8" i="5" s="1"/>
  <c r="N16" i="11" s="1"/>
  <c r="Q32" i="9"/>
  <c r="F24" i="3"/>
  <c r="I36" i="9"/>
  <c r="H29" i="3"/>
  <c r="K41" i="9"/>
  <c r="H15" i="3"/>
  <c r="K15" i="9"/>
  <c r="N13" i="3"/>
  <c r="N13" i="4" s="1"/>
  <c r="Q13" i="9"/>
  <c r="E13" i="9"/>
  <c r="D13" i="3"/>
  <c r="D13" i="4" s="1"/>
  <c r="G12" i="3"/>
  <c r="J12" i="9"/>
  <c r="M10" i="3"/>
  <c r="M10" i="4" s="1"/>
  <c r="P10" i="9"/>
  <c r="F9" i="3"/>
  <c r="I9" i="9"/>
  <c r="L7" i="3"/>
  <c r="L7" i="4" s="1"/>
  <c r="O7" i="9"/>
  <c r="O4" i="3"/>
  <c r="O4" i="4" s="1"/>
  <c r="O16" i="9"/>
  <c r="E40" i="16"/>
  <c r="E9" i="10"/>
  <c r="K11" i="3"/>
  <c r="K23" i="9"/>
  <c r="J39" i="16" s="1"/>
  <c r="Q9" i="3"/>
  <c r="Q9" i="4" s="1"/>
  <c r="Q21" i="9"/>
  <c r="P37" i="16" s="1"/>
  <c r="E21" i="9"/>
  <c r="E9" i="3"/>
  <c r="E9" i="4" s="1"/>
  <c r="J8" i="3"/>
  <c r="J20" i="9"/>
  <c r="P6" i="3"/>
  <c r="P6" i="4" s="1"/>
  <c r="P18" i="9"/>
  <c r="O34" i="16" s="1"/>
  <c r="I5" i="3"/>
  <c r="I17" i="9"/>
  <c r="H33" i="16" s="1"/>
  <c r="L19" i="3"/>
  <c r="L7" i="5" s="1"/>
  <c r="L15" i="11" s="1"/>
  <c r="O31" i="9"/>
  <c r="L20" i="3"/>
  <c r="L8" i="5" s="1"/>
  <c r="L16" i="11" s="1"/>
  <c r="O32" i="9"/>
  <c r="F12" i="10"/>
  <c r="H27" i="3"/>
  <c r="K39" i="9"/>
  <c r="N25" i="3"/>
  <c r="N13" i="5" s="1"/>
  <c r="N21" i="11" s="1"/>
  <c r="Q37" i="9"/>
  <c r="E37" i="9"/>
  <c r="D25" i="3"/>
  <c r="D13" i="5" s="1"/>
  <c r="D21" i="11" s="1"/>
  <c r="H28" i="3"/>
  <c r="K40" i="9"/>
  <c r="M30" i="3"/>
  <c r="M6" i="6" s="1"/>
  <c r="M26" i="11" s="1"/>
  <c r="P42" i="9"/>
  <c r="F29" i="3"/>
  <c r="I41" i="9"/>
  <c r="L35" i="3"/>
  <c r="L11" i="6" s="1"/>
  <c r="L31" i="11" s="1"/>
  <c r="O47" i="9"/>
  <c r="M36" i="3"/>
  <c r="M12" i="6" s="1"/>
  <c r="M32" i="11" s="1"/>
  <c r="P48" i="9"/>
  <c r="F44" i="16"/>
  <c r="F16" i="10"/>
  <c r="E61" i="9"/>
  <c r="E37" i="3"/>
  <c r="E13" i="6" s="1"/>
  <c r="E33" i="11" s="1"/>
  <c r="E25" i="3"/>
  <c r="E13" i="5" s="1"/>
  <c r="E21" i="11" s="1"/>
  <c r="I52" i="16"/>
  <c r="I18" i="10"/>
  <c r="O64" i="9"/>
  <c r="L40" i="3"/>
  <c r="E20" i="10"/>
  <c r="H43" i="3"/>
  <c r="K67" i="9"/>
  <c r="N41" i="3"/>
  <c r="Q65" i="9"/>
  <c r="E65" i="9"/>
  <c r="D41" i="3"/>
  <c r="J56" i="16"/>
  <c r="J21" i="10"/>
  <c r="M44" i="16"/>
  <c r="M16" i="10"/>
  <c r="L15" i="3"/>
  <c r="L15" i="4" s="1"/>
  <c r="O15" i="9"/>
  <c r="K5" i="10"/>
  <c r="G12" i="10"/>
  <c r="E4" i="10"/>
  <c r="L10" i="3"/>
  <c r="L10" i="4" s="1"/>
  <c r="O10" i="9"/>
  <c r="L36" i="3"/>
  <c r="L12" i="6" s="1"/>
  <c r="L32" i="11" s="1"/>
  <c r="O48" i="9"/>
  <c r="H38" i="3"/>
  <c r="K50" i="9"/>
  <c r="E44" i="16"/>
  <c r="E16" i="10"/>
  <c r="P61" i="9"/>
  <c r="O53" i="16" s="1"/>
  <c r="P37" i="3"/>
  <c r="P13" i="6" s="1"/>
  <c r="P33" i="11" s="1"/>
  <c r="P25" i="3"/>
  <c r="P13" i="5" s="1"/>
  <c r="P21" i="11" s="1"/>
  <c r="H52" i="16"/>
  <c r="M19" i="10"/>
  <c r="H46" i="3"/>
  <c r="K70" i="9"/>
  <c r="N44" i="3"/>
  <c r="Q68" i="9"/>
  <c r="E68" i="9"/>
  <c r="D44" i="3"/>
  <c r="G43" i="3"/>
  <c r="J67" i="9"/>
  <c r="M41" i="3"/>
  <c r="P65" i="9"/>
  <c r="E72" i="9"/>
  <c r="E44" i="3"/>
  <c r="E40" i="3"/>
  <c r="I56" i="16"/>
  <c r="I21" i="10"/>
  <c r="M11" i="10"/>
  <c r="H22" i="3"/>
  <c r="K34" i="9"/>
  <c r="E12" i="10"/>
  <c r="G27" i="3"/>
  <c r="J39" i="9"/>
  <c r="M25" i="3"/>
  <c r="M13" i="5" s="1"/>
  <c r="M21" i="11" s="1"/>
  <c r="P37" i="9"/>
  <c r="E40" i="9"/>
  <c r="D28" i="3"/>
  <c r="D4" i="6" s="1"/>
  <c r="D24" i="11" s="1"/>
  <c r="G28" i="3"/>
  <c r="J40" i="9"/>
  <c r="L30" i="3"/>
  <c r="L6" i="6" s="1"/>
  <c r="L26" i="11" s="1"/>
  <c r="O42" i="9"/>
  <c r="N4" i="3"/>
  <c r="N4" i="4" s="1"/>
  <c r="Q4" i="9"/>
  <c r="F15" i="3"/>
  <c r="I15" i="9"/>
  <c r="L13" i="3"/>
  <c r="L13" i="4" s="1"/>
  <c r="O13" i="9"/>
  <c r="G6" i="10"/>
  <c r="H5" i="3"/>
  <c r="K5" i="9"/>
  <c r="L32" i="16"/>
  <c r="L7" i="10"/>
  <c r="Q15" i="3"/>
  <c r="Q15" i="4" s="1"/>
  <c r="Q27" i="9"/>
  <c r="P43" i="16" s="1"/>
  <c r="E27" i="9"/>
  <c r="E15" i="3"/>
  <c r="E15" i="4" s="1"/>
  <c r="J14" i="3"/>
  <c r="J26" i="9"/>
  <c r="I42" i="16" s="1"/>
  <c r="P24" i="9"/>
  <c r="P12" i="3"/>
  <c r="P12" i="4" s="1"/>
  <c r="I11" i="3"/>
  <c r="I23" i="9"/>
  <c r="H39" i="16" s="1"/>
  <c r="O9" i="3"/>
  <c r="O9" i="4" s="1"/>
  <c r="O21" i="9"/>
  <c r="N37" i="16" s="1"/>
  <c r="G36" i="16"/>
  <c r="G8" i="10"/>
  <c r="H17" i="3"/>
  <c r="K29" i="9"/>
  <c r="L11" i="10"/>
  <c r="N23" i="3"/>
  <c r="N11" i="5" s="1"/>
  <c r="N19" i="11" s="1"/>
  <c r="Q35" i="9"/>
  <c r="E35" i="9"/>
  <c r="D23" i="3"/>
  <c r="D11" i="5" s="1"/>
  <c r="D19" i="11" s="1"/>
  <c r="G22" i="3"/>
  <c r="J34" i="9"/>
  <c r="N24" i="3"/>
  <c r="N12" i="5" s="1"/>
  <c r="N20" i="11" s="1"/>
  <c r="Q36" i="9"/>
  <c r="F27" i="3"/>
  <c r="I39" i="9"/>
  <c r="L25" i="3"/>
  <c r="L13" i="5" s="1"/>
  <c r="L21" i="11" s="1"/>
  <c r="O37" i="9"/>
  <c r="F28" i="3"/>
  <c r="I40" i="9"/>
  <c r="H33" i="3"/>
  <c r="K45" i="9"/>
  <c r="M15" i="10"/>
  <c r="N39" i="3"/>
  <c r="N15" i="6" s="1"/>
  <c r="N35" i="11" s="1"/>
  <c r="Q51" i="9"/>
  <c r="E51" i="9"/>
  <c r="D39" i="3"/>
  <c r="D15" i="6" s="1"/>
  <c r="D35" i="11" s="1"/>
  <c r="G38" i="3"/>
  <c r="J50" i="9"/>
  <c r="Q52" i="9"/>
  <c r="Q28" i="3"/>
  <c r="Q4" i="6" s="1"/>
  <c r="Q24" i="11" s="1"/>
  <c r="Q16" i="3"/>
  <c r="Q4" i="5" s="1"/>
  <c r="Q12" i="11" s="1"/>
  <c r="I63" i="9"/>
  <c r="H55" i="16" s="1"/>
  <c r="I27" i="3"/>
  <c r="I39" i="3"/>
  <c r="G52" i="16"/>
  <c r="G18" i="10"/>
  <c r="L19" i="10"/>
  <c r="N47" i="3"/>
  <c r="Q71" i="9"/>
  <c r="E71" i="9"/>
  <c r="D47" i="3"/>
  <c r="G46" i="3"/>
  <c r="J70" i="9"/>
  <c r="M44" i="3"/>
  <c r="P68" i="9"/>
  <c r="I67" i="9"/>
  <c r="F43" i="3"/>
  <c r="O65" i="9"/>
  <c r="L41" i="3"/>
  <c r="H56" i="16"/>
  <c r="H21" i="10"/>
  <c r="H14" i="3"/>
  <c r="K14" i="9"/>
  <c r="M52" i="16"/>
  <c r="M18" i="10"/>
  <c r="E48" i="16"/>
  <c r="E17" i="10"/>
  <c r="M5" i="3"/>
  <c r="M5" i="4" s="1"/>
  <c r="P5" i="9"/>
  <c r="G4" i="10"/>
  <c r="H12" i="3"/>
  <c r="K12" i="9"/>
  <c r="N10" i="3"/>
  <c r="N10" i="4" s="1"/>
  <c r="Q10" i="9"/>
  <c r="F40" i="16"/>
  <c r="F9" i="10"/>
  <c r="J5" i="3"/>
  <c r="J17" i="9"/>
  <c r="I33" i="16" s="1"/>
  <c r="G29" i="3"/>
  <c r="J41" i="9"/>
  <c r="F12" i="3"/>
  <c r="I12" i="9"/>
  <c r="K14" i="3"/>
  <c r="K26" i="9"/>
  <c r="J42" i="16" s="1"/>
  <c r="Q12" i="3"/>
  <c r="Q12" i="4" s="1"/>
  <c r="Q24" i="9"/>
  <c r="E24" i="9"/>
  <c r="E12" i="3"/>
  <c r="E12" i="4" s="1"/>
  <c r="J11" i="3"/>
  <c r="J23" i="9"/>
  <c r="I39" i="16" s="1"/>
  <c r="P9" i="3"/>
  <c r="P9" i="4" s="1"/>
  <c r="P21" i="9"/>
  <c r="O37" i="16" s="1"/>
  <c r="I8" i="3"/>
  <c r="I20" i="9"/>
  <c r="O6" i="3"/>
  <c r="O6" i="4" s="1"/>
  <c r="O18" i="9"/>
  <c r="N34" i="16" s="1"/>
  <c r="M4" i="3"/>
  <c r="M4" i="4" s="1"/>
  <c r="P4" i="9"/>
  <c r="F6" i="10"/>
  <c r="H8" i="3"/>
  <c r="K8" i="9"/>
  <c r="N6" i="3"/>
  <c r="N6" i="4" s="1"/>
  <c r="Q6" i="9"/>
  <c r="E6" i="9"/>
  <c r="D6" i="3"/>
  <c r="D6" i="4" s="1"/>
  <c r="G5" i="3"/>
  <c r="J5" i="9"/>
  <c r="K32" i="16"/>
  <c r="K7" i="10"/>
  <c r="P15" i="3"/>
  <c r="P15" i="4" s="1"/>
  <c r="P27" i="9"/>
  <c r="O43" i="16" s="1"/>
  <c r="I14" i="3"/>
  <c r="I26" i="9"/>
  <c r="H42" i="16" s="1"/>
  <c r="O12" i="3"/>
  <c r="O12" i="4" s="1"/>
  <c r="O24" i="9"/>
  <c r="F36" i="16"/>
  <c r="F8" i="10"/>
  <c r="N18" i="3"/>
  <c r="N6" i="5" s="1"/>
  <c r="N14" i="11" s="1"/>
  <c r="Q30" i="9"/>
  <c r="E30" i="9"/>
  <c r="D18" i="3"/>
  <c r="D6" i="5" s="1"/>
  <c r="D14" i="11" s="1"/>
  <c r="G17" i="3"/>
  <c r="J29" i="9"/>
  <c r="K11" i="10"/>
  <c r="M23" i="3"/>
  <c r="M11" i="5" s="1"/>
  <c r="M19" i="11" s="1"/>
  <c r="P35" i="9"/>
  <c r="F22" i="3"/>
  <c r="I34" i="9"/>
  <c r="M24" i="3"/>
  <c r="M12" i="5" s="1"/>
  <c r="M20" i="11" s="1"/>
  <c r="P36" i="9"/>
  <c r="G13" i="10"/>
  <c r="N34" i="3"/>
  <c r="N10" i="6" s="1"/>
  <c r="N30" i="11" s="1"/>
  <c r="Q46" i="9"/>
  <c r="E46" i="9"/>
  <c r="D34" i="3"/>
  <c r="D10" i="6" s="1"/>
  <c r="D30" i="11" s="1"/>
  <c r="G33" i="3"/>
  <c r="J45" i="9"/>
  <c r="L15" i="10"/>
  <c r="M39" i="3"/>
  <c r="M15" i="6" s="1"/>
  <c r="M35" i="11" s="1"/>
  <c r="P51" i="9"/>
  <c r="F38" i="3"/>
  <c r="I50" i="9"/>
  <c r="G7" i="18"/>
  <c r="O44" i="16"/>
  <c r="O16" i="10"/>
  <c r="F52" i="16"/>
  <c r="F18" i="10"/>
  <c r="J48" i="16"/>
  <c r="J17" i="10"/>
  <c r="E54" i="9"/>
  <c r="E30" i="3"/>
  <c r="E6" i="6" s="1"/>
  <c r="E26" i="11" s="1"/>
  <c r="E18" i="3"/>
  <c r="E6" i="5" s="1"/>
  <c r="E14" i="11" s="1"/>
  <c r="K19" i="10"/>
  <c r="M47" i="3"/>
  <c r="P71" i="9"/>
  <c r="I70" i="9"/>
  <c r="F46" i="3"/>
  <c r="O68" i="9"/>
  <c r="L44" i="3"/>
  <c r="G56" i="16"/>
  <c r="G21" i="10"/>
  <c r="Q8" i="3"/>
  <c r="Q8" i="4" s="1"/>
  <c r="Q20" i="9"/>
  <c r="J7" i="3"/>
  <c r="J19" i="9"/>
  <c r="I35" i="16" s="1"/>
  <c r="E28" i="9"/>
  <c r="D16" i="3"/>
  <c r="D4" i="5" s="1"/>
  <c r="D12" i="11" s="1"/>
  <c r="L18" i="3"/>
  <c r="L6" i="5" s="1"/>
  <c r="L14" i="11" s="1"/>
  <c r="O30" i="9"/>
  <c r="E5" i="9"/>
  <c r="D5" i="3"/>
  <c r="D5" i="4" s="1"/>
  <c r="H35" i="3"/>
  <c r="K47" i="9"/>
  <c r="N33" i="3"/>
  <c r="N9" i="6" s="1"/>
  <c r="N29" i="11" s="1"/>
  <c r="Q45" i="9"/>
  <c r="E45" i="9"/>
  <c r="D33" i="3"/>
  <c r="D9" i="6" s="1"/>
  <c r="D29" i="11" s="1"/>
  <c r="M38" i="3"/>
  <c r="M14" i="6" s="1"/>
  <c r="M34" i="11" s="1"/>
  <c r="P50" i="9"/>
  <c r="K5" i="3"/>
  <c r="K17" i="9"/>
  <c r="J33" i="16" s="1"/>
  <c r="N19" i="3"/>
  <c r="N7" i="5" s="1"/>
  <c r="N15" i="11" s="1"/>
  <c r="Q31" i="9"/>
  <c r="G18" i="3"/>
  <c r="J30" i="9"/>
  <c r="F23" i="3"/>
  <c r="I35" i="9"/>
  <c r="L21" i="3"/>
  <c r="L9" i="5" s="1"/>
  <c r="L17" i="11" s="1"/>
  <c r="O33" i="9"/>
  <c r="E10" i="9"/>
  <c r="D10" i="3"/>
  <c r="D10" i="4" s="1"/>
  <c r="G9" i="3"/>
  <c r="J9" i="9"/>
  <c r="F6" i="3"/>
  <c r="I6" i="9"/>
  <c r="P4" i="3"/>
  <c r="P4" i="4" s="1"/>
  <c r="P16" i="9"/>
  <c r="K8" i="3"/>
  <c r="K20" i="9"/>
  <c r="Q6" i="3"/>
  <c r="Q6" i="4" s="1"/>
  <c r="Q18" i="9"/>
  <c r="P34" i="16" s="1"/>
  <c r="E18" i="9"/>
  <c r="E6" i="3"/>
  <c r="E6" i="4" s="1"/>
  <c r="F18" i="3"/>
  <c r="I30" i="9"/>
  <c r="N30" i="3"/>
  <c r="N6" i="6" s="1"/>
  <c r="N26" i="11" s="1"/>
  <c r="Q42" i="9"/>
  <c r="E42" i="9"/>
  <c r="D30" i="3"/>
  <c r="D6" i="6" s="1"/>
  <c r="D26" i="11" s="1"/>
  <c r="G15" i="3"/>
  <c r="J15" i="9"/>
  <c r="M13" i="3"/>
  <c r="M13" i="4" s="1"/>
  <c r="P13" i="9"/>
  <c r="M32" i="16"/>
  <c r="M7" i="10"/>
  <c r="L4" i="3"/>
  <c r="L4" i="4" s="1"/>
  <c r="O4" i="9"/>
  <c r="E6" i="10"/>
  <c r="H11" i="3"/>
  <c r="K11" i="9"/>
  <c r="Q9" i="9"/>
  <c r="N9" i="3"/>
  <c r="N9" i="4" s="1"/>
  <c r="E9" i="9"/>
  <c r="D9" i="3"/>
  <c r="D9" i="4" s="1"/>
  <c r="G8" i="3"/>
  <c r="J8" i="9"/>
  <c r="M6" i="3"/>
  <c r="M6" i="4" s="1"/>
  <c r="P6" i="9"/>
  <c r="F5" i="3"/>
  <c r="I5" i="9"/>
  <c r="O15" i="3"/>
  <c r="O15" i="4" s="1"/>
  <c r="O27" i="9"/>
  <c r="N43" i="16" s="1"/>
  <c r="M40" i="16"/>
  <c r="M9" i="10"/>
  <c r="E36" i="16"/>
  <c r="E8" i="10"/>
  <c r="K7" i="3"/>
  <c r="K19" i="9"/>
  <c r="J35" i="16" s="1"/>
  <c r="Q5" i="3"/>
  <c r="Q5" i="4" s="1"/>
  <c r="Q17" i="9"/>
  <c r="P33" i="16" s="1"/>
  <c r="E17" i="9"/>
  <c r="E5" i="3"/>
  <c r="E5" i="4" s="1"/>
  <c r="H16" i="3"/>
  <c r="K28" i="9"/>
  <c r="M18" i="3"/>
  <c r="M6" i="5" s="1"/>
  <c r="M14" i="11" s="1"/>
  <c r="P30" i="9"/>
  <c r="F17" i="3"/>
  <c r="I29" i="9"/>
  <c r="L23" i="3"/>
  <c r="L11" i="5" s="1"/>
  <c r="L19" i="11" s="1"/>
  <c r="O35" i="9"/>
  <c r="L24" i="3"/>
  <c r="L12" i="5" s="1"/>
  <c r="L20" i="11" s="1"/>
  <c r="O36" i="9"/>
  <c r="F13" i="10"/>
  <c r="H31" i="3"/>
  <c r="K43" i="9"/>
  <c r="N29" i="3"/>
  <c r="N5" i="6" s="1"/>
  <c r="N25" i="11" s="1"/>
  <c r="Q41" i="9"/>
  <c r="E41" i="9"/>
  <c r="D29" i="3"/>
  <c r="D5" i="6" s="1"/>
  <c r="D25" i="11" s="1"/>
  <c r="H32" i="3"/>
  <c r="K44" i="9"/>
  <c r="M34" i="3"/>
  <c r="M10" i="6" s="1"/>
  <c r="M30" i="11" s="1"/>
  <c r="P46" i="9"/>
  <c r="F33" i="3"/>
  <c r="I45" i="9"/>
  <c r="K15" i="10"/>
  <c r="L39" i="3"/>
  <c r="L15" i="6" s="1"/>
  <c r="L35" i="11" s="1"/>
  <c r="O51" i="9"/>
  <c r="O52" i="9"/>
  <c r="O16" i="3"/>
  <c r="O4" i="5" s="1"/>
  <c r="O12" i="11" s="1"/>
  <c r="O28" i="3"/>
  <c r="O4" i="6" s="1"/>
  <c r="O24" i="11" s="1"/>
  <c r="E52" i="16"/>
  <c r="E18" i="10"/>
  <c r="E57" i="9"/>
  <c r="E33" i="3"/>
  <c r="E9" i="6" s="1"/>
  <c r="E29" i="11" s="1"/>
  <c r="E21" i="3"/>
  <c r="E9" i="5" s="1"/>
  <c r="E17" i="11" s="1"/>
  <c r="I48" i="16"/>
  <c r="I17" i="10"/>
  <c r="O71" i="9"/>
  <c r="L47" i="3"/>
  <c r="M20" i="10"/>
  <c r="F56" i="16"/>
  <c r="F21" i="10"/>
  <c r="E73" i="9"/>
  <c r="E45" i="3"/>
  <c r="E41" i="3"/>
  <c r="Q38" i="3"/>
  <c r="Q14" i="6" s="1"/>
  <c r="Q34" i="11" s="1"/>
  <c r="Q26" i="3"/>
  <c r="Q14" i="5" s="1"/>
  <c r="Q22" i="11" s="1"/>
  <c r="P35" i="3"/>
  <c r="P11" i="6" s="1"/>
  <c r="P31" i="11" s="1"/>
  <c r="P23" i="3"/>
  <c r="P11" i="5" s="1"/>
  <c r="P19" i="11" s="1"/>
  <c r="I34" i="3"/>
  <c r="I22" i="3"/>
  <c r="O20" i="3"/>
  <c r="O8" i="5" s="1"/>
  <c r="O16" i="11" s="1"/>
  <c r="O32" i="3"/>
  <c r="O8" i="6" s="1"/>
  <c r="O28" i="11" s="1"/>
  <c r="P43" i="3"/>
  <c r="P47" i="3"/>
  <c r="O43" i="3"/>
  <c r="O47" i="3"/>
  <c r="J16" i="3"/>
  <c r="J28" i="3"/>
  <c r="O26" i="3"/>
  <c r="O14" i="5" s="1"/>
  <c r="O22" i="11" s="1"/>
  <c r="O38" i="3"/>
  <c r="O14" i="6" s="1"/>
  <c r="O34" i="11" s="1"/>
  <c r="K18" i="3"/>
  <c r="K30" i="3"/>
  <c r="K33" i="3"/>
  <c r="K21" i="3"/>
  <c r="Q19" i="3"/>
  <c r="Q7" i="5" s="1"/>
  <c r="Q15" i="11" s="1"/>
  <c r="Q31" i="3"/>
  <c r="Q7" i="6" s="1"/>
  <c r="Q27" i="11" s="1"/>
  <c r="J18" i="3"/>
  <c r="J30" i="3"/>
  <c r="K45" i="3"/>
  <c r="K41" i="3"/>
  <c r="K16" i="3"/>
  <c r="K28" i="3"/>
  <c r="P26" i="3"/>
  <c r="P14" i="5" s="1"/>
  <c r="P22" i="11" s="1"/>
  <c r="P38" i="3"/>
  <c r="P14" i="6" s="1"/>
  <c r="P34" i="11" s="1"/>
  <c r="I37" i="3"/>
  <c r="I25" i="3"/>
  <c r="O35" i="3"/>
  <c r="O11" i="6" s="1"/>
  <c r="O31" i="11" s="1"/>
  <c r="O23" i="3"/>
  <c r="O11" i="5" s="1"/>
  <c r="O19" i="11" s="1"/>
  <c r="K24" i="3"/>
  <c r="K36" i="3"/>
  <c r="Q34" i="3"/>
  <c r="Q10" i="6" s="1"/>
  <c r="Q30" i="11" s="1"/>
  <c r="Q22" i="3"/>
  <c r="Q10" i="5" s="1"/>
  <c r="Q18" i="11" s="1"/>
  <c r="J33" i="3"/>
  <c r="J21" i="3"/>
  <c r="P31" i="3"/>
  <c r="P7" i="6" s="1"/>
  <c r="P27" i="11" s="1"/>
  <c r="P19" i="3"/>
  <c r="P7" i="5" s="1"/>
  <c r="P15" i="11" s="1"/>
  <c r="I18" i="3"/>
  <c r="I30" i="3"/>
  <c r="Q42" i="3"/>
  <c r="Q46" i="3"/>
  <c r="J45" i="3"/>
  <c r="J41" i="3"/>
  <c r="K27" i="3"/>
  <c r="K39" i="3"/>
  <c r="Q25" i="3"/>
  <c r="Q13" i="5" s="1"/>
  <c r="Q21" i="11" s="1"/>
  <c r="Q37" i="3"/>
  <c r="Q13" i="6" s="1"/>
  <c r="Q33" i="11" s="1"/>
  <c r="J24" i="3"/>
  <c r="J36" i="3"/>
  <c r="P34" i="3"/>
  <c r="P10" i="6" s="1"/>
  <c r="P30" i="11" s="1"/>
  <c r="P22" i="3"/>
  <c r="P10" i="5" s="1"/>
  <c r="P18" i="11" s="1"/>
  <c r="I33" i="3"/>
  <c r="I21" i="3"/>
  <c r="O31" i="3"/>
  <c r="O7" i="6" s="1"/>
  <c r="O27" i="11" s="1"/>
  <c r="O19" i="3"/>
  <c r="O7" i="5" s="1"/>
  <c r="O15" i="11" s="1"/>
  <c r="K40" i="3"/>
  <c r="K44" i="3"/>
  <c r="P42" i="3"/>
  <c r="P46" i="3"/>
  <c r="I45" i="3"/>
  <c r="I41" i="3"/>
  <c r="J27" i="3"/>
  <c r="J39" i="3"/>
  <c r="I24" i="3"/>
  <c r="I36" i="3"/>
  <c r="O34" i="3"/>
  <c r="O10" i="6" s="1"/>
  <c r="O30" i="11" s="1"/>
  <c r="O22" i="3"/>
  <c r="O10" i="5" s="1"/>
  <c r="O18" i="11" s="1"/>
  <c r="J40" i="3"/>
  <c r="J44" i="3"/>
  <c r="O46" i="3"/>
  <c r="O42" i="3"/>
  <c r="O37" i="3"/>
  <c r="O13" i="6" s="1"/>
  <c r="O33" i="11" s="1"/>
  <c r="O25" i="3"/>
  <c r="O13" i="5" s="1"/>
  <c r="O21" i="11" s="1"/>
  <c r="K17" i="3"/>
  <c r="K29" i="3"/>
  <c r="I40" i="3"/>
  <c r="I44" i="3"/>
  <c r="P28" i="3"/>
  <c r="P4" i="6" s="1"/>
  <c r="P24" i="11" s="1"/>
  <c r="P16" i="3"/>
  <c r="P4" i="5" s="1"/>
  <c r="P12" i="11" s="1"/>
  <c r="K32" i="3"/>
  <c r="K20" i="3"/>
  <c r="Q30" i="3"/>
  <c r="Q6" i="6" s="1"/>
  <c r="Q26" i="11" s="1"/>
  <c r="Q18" i="3"/>
  <c r="Q6" i="5" s="1"/>
  <c r="Q14" i="11" s="1"/>
  <c r="J17" i="3"/>
  <c r="J29" i="3"/>
  <c r="K23" i="3"/>
  <c r="K35" i="3"/>
  <c r="Q33" i="3"/>
  <c r="Q9" i="6" s="1"/>
  <c r="Q29" i="11" s="1"/>
  <c r="Q21" i="3"/>
  <c r="Q9" i="5" s="1"/>
  <c r="Q17" i="11" s="1"/>
  <c r="J32" i="3"/>
  <c r="J20" i="3"/>
  <c r="P30" i="3"/>
  <c r="P6" i="6" s="1"/>
  <c r="P26" i="11" s="1"/>
  <c r="P18" i="3"/>
  <c r="P6" i="5" s="1"/>
  <c r="P14" i="11" s="1"/>
  <c r="I17" i="3"/>
  <c r="I29" i="3"/>
  <c r="K43" i="3"/>
  <c r="K47" i="3"/>
  <c r="Q45" i="3"/>
  <c r="Q41" i="3"/>
  <c r="K38" i="3"/>
  <c r="K26" i="3"/>
  <c r="Q24" i="3"/>
  <c r="Q12" i="5" s="1"/>
  <c r="Q20" i="11" s="1"/>
  <c r="Q36" i="3"/>
  <c r="Q12" i="6" s="1"/>
  <c r="Q32" i="11" s="1"/>
  <c r="J23" i="3"/>
  <c r="J35" i="3"/>
  <c r="P33" i="3"/>
  <c r="P9" i="6" s="1"/>
  <c r="P29" i="11" s="1"/>
  <c r="P21" i="3"/>
  <c r="P9" i="5" s="1"/>
  <c r="P17" i="11" s="1"/>
  <c r="I32" i="3"/>
  <c r="I20" i="3"/>
  <c r="O30" i="3"/>
  <c r="O6" i="6" s="1"/>
  <c r="O26" i="11" s="1"/>
  <c r="O18" i="3"/>
  <c r="O6" i="5" s="1"/>
  <c r="O14" i="11" s="1"/>
  <c r="J43" i="3"/>
  <c r="J47" i="3"/>
  <c r="P45" i="3"/>
  <c r="P41" i="3"/>
  <c r="Q39" i="3"/>
  <c r="Q15" i="6" s="1"/>
  <c r="Q35" i="11" s="1"/>
  <c r="Q27" i="3"/>
  <c r="Q15" i="5" s="1"/>
  <c r="Q23" i="11" s="1"/>
  <c r="J38" i="3"/>
  <c r="J26" i="3"/>
  <c r="P24" i="3"/>
  <c r="P12" i="5" s="1"/>
  <c r="P20" i="11" s="1"/>
  <c r="P36" i="3"/>
  <c r="P12" i="6" s="1"/>
  <c r="P32" i="11" s="1"/>
  <c r="Q40" i="3"/>
  <c r="Q44" i="3"/>
  <c r="I43" i="3"/>
  <c r="I47" i="3"/>
  <c r="O45" i="3"/>
  <c r="O41" i="3"/>
  <c r="P39" i="3"/>
  <c r="P15" i="6" s="1"/>
  <c r="P35" i="11" s="1"/>
  <c r="P27" i="3"/>
  <c r="P15" i="5" s="1"/>
  <c r="P23" i="11" s="1"/>
  <c r="I38" i="3"/>
  <c r="I26" i="3"/>
  <c r="O24" i="3"/>
  <c r="O12" i="5" s="1"/>
  <c r="O20" i="11" s="1"/>
  <c r="O36" i="3"/>
  <c r="O12" i="6" s="1"/>
  <c r="O32" i="11" s="1"/>
  <c r="P40" i="3"/>
  <c r="P44" i="3"/>
  <c r="O39" i="3"/>
  <c r="O15" i="6" s="1"/>
  <c r="O35" i="11" s="1"/>
  <c r="O27" i="3"/>
  <c r="O15" i="5" s="1"/>
  <c r="O23" i="11" s="1"/>
  <c r="K31" i="3"/>
  <c r="K19" i="3"/>
  <c r="Q29" i="3"/>
  <c r="Q5" i="6" s="1"/>
  <c r="Q25" i="11" s="1"/>
  <c r="Q17" i="3"/>
  <c r="Q5" i="5" s="1"/>
  <c r="Q13" i="11" s="1"/>
  <c r="O44" i="3"/>
  <c r="O40" i="3"/>
  <c r="K22" i="3"/>
  <c r="K34" i="3"/>
  <c r="Q20" i="3"/>
  <c r="Q8" i="5" s="1"/>
  <c r="Q16" i="11" s="1"/>
  <c r="Q32" i="3"/>
  <c r="Q8" i="6" s="1"/>
  <c r="Q28" i="11" s="1"/>
  <c r="J19" i="3"/>
  <c r="J31" i="3"/>
  <c r="P29" i="3"/>
  <c r="P5" i="6" s="1"/>
  <c r="P25" i="11" s="1"/>
  <c r="P17" i="3"/>
  <c r="P5" i="5" s="1"/>
  <c r="P13" i="11" s="1"/>
  <c r="K42" i="3"/>
  <c r="K46" i="3"/>
  <c r="K37" i="3"/>
  <c r="K25" i="3"/>
  <c r="Q35" i="3"/>
  <c r="Q11" i="6" s="1"/>
  <c r="Q31" i="11" s="1"/>
  <c r="Q23" i="3"/>
  <c r="Q11" i="5" s="1"/>
  <c r="Q19" i="11" s="1"/>
  <c r="P20" i="3"/>
  <c r="P8" i="5" s="1"/>
  <c r="P16" i="11" s="1"/>
  <c r="P32" i="3"/>
  <c r="P8" i="6" s="1"/>
  <c r="P28" i="11" s="1"/>
  <c r="I19" i="3"/>
  <c r="I31" i="3"/>
  <c r="O29" i="3"/>
  <c r="O5" i="6" s="1"/>
  <c r="O25" i="11" s="1"/>
  <c r="O17" i="3"/>
  <c r="O5" i="5" s="1"/>
  <c r="O13" i="11" s="1"/>
  <c r="Q43" i="3"/>
  <c r="Q47" i="3"/>
  <c r="J42" i="3"/>
  <c r="J46" i="3"/>
  <c r="I12" i="10" l="1"/>
  <c r="H6" i="10"/>
  <c r="N20" i="10"/>
  <c r="H13" i="10"/>
  <c r="I5" i="10"/>
  <c r="H4" i="10"/>
  <c r="D4" i="10"/>
  <c r="D8" i="10"/>
  <c r="H18" i="10"/>
  <c r="N13" i="10"/>
  <c r="K13" i="5"/>
  <c r="K21" i="11" s="1"/>
  <c r="W25" i="3"/>
  <c r="W19" i="3"/>
  <c r="K7" i="5"/>
  <c r="K15" i="11" s="1"/>
  <c r="Q8" i="11"/>
  <c r="Q8" i="7"/>
  <c r="E5" i="11"/>
  <c r="E5" i="7"/>
  <c r="H10" i="6"/>
  <c r="H30" i="11" s="1"/>
  <c r="T34" i="3"/>
  <c r="M6" i="11"/>
  <c r="M6" i="7"/>
  <c r="H9" i="11"/>
  <c r="H9" i="7"/>
  <c r="T45" i="3"/>
  <c r="W17" i="3"/>
  <c r="K5" i="5"/>
  <c r="K13" i="11" s="1"/>
  <c r="F10" i="11"/>
  <c r="F10" i="7"/>
  <c r="R46" i="3"/>
  <c r="I8" i="4"/>
  <c r="U8" i="3"/>
  <c r="V5" i="3"/>
  <c r="J5" i="4"/>
  <c r="T17" i="3"/>
  <c r="H5" i="5"/>
  <c r="H13" i="11" s="1"/>
  <c r="T38" i="3"/>
  <c r="H14" i="6"/>
  <c r="H34" i="11" s="1"/>
  <c r="E10" i="11"/>
  <c r="E10" i="7"/>
  <c r="P4" i="11"/>
  <c r="P4" i="7"/>
  <c r="I6" i="5"/>
  <c r="I14" i="11" s="1"/>
  <c r="U18" i="3"/>
  <c r="O7" i="11"/>
  <c r="O7" i="7"/>
  <c r="C4" i="18"/>
  <c r="N4" i="10"/>
  <c r="G12" i="5"/>
  <c r="G20" i="11" s="1"/>
  <c r="S24" i="3"/>
  <c r="Q11" i="11"/>
  <c r="Q11" i="7"/>
  <c r="I14" i="5"/>
  <c r="I22" i="11" s="1"/>
  <c r="U26" i="3"/>
  <c r="P5" i="11"/>
  <c r="P5" i="7"/>
  <c r="Q5" i="11"/>
  <c r="Q5" i="7"/>
  <c r="J9" i="5"/>
  <c r="J17" i="11" s="1"/>
  <c r="V21" i="3"/>
  <c r="V30" i="3"/>
  <c r="H30" i="8" s="1"/>
  <c r="J6" i="6"/>
  <c r="J26" i="11" s="1"/>
  <c r="W8" i="3"/>
  <c r="K8" i="4"/>
  <c r="D10" i="10"/>
  <c r="H6" i="18"/>
  <c r="P40" i="16"/>
  <c r="P9" i="10"/>
  <c r="M8" i="11"/>
  <c r="M8" i="7"/>
  <c r="F15" i="4"/>
  <c r="R15" i="3"/>
  <c r="T28" i="3"/>
  <c r="H4" i="6"/>
  <c r="H24" i="11" s="1"/>
  <c r="I36" i="16"/>
  <c r="I8" i="10"/>
  <c r="W6" i="3"/>
  <c r="K6" i="4"/>
  <c r="H11" i="11"/>
  <c r="T47" i="3"/>
  <c r="H11" i="7"/>
  <c r="J9" i="4"/>
  <c r="V9" i="3"/>
  <c r="S13" i="3"/>
  <c r="G13" i="4"/>
  <c r="I10" i="11"/>
  <c r="U46" i="3"/>
  <c r="G46" i="8" s="1"/>
  <c r="I10" i="7"/>
  <c r="J13" i="5"/>
  <c r="J21" i="11" s="1"/>
  <c r="V25" i="3"/>
  <c r="F7" i="5"/>
  <c r="F15" i="11" s="1"/>
  <c r="R19" i="3"/>
  <c r="J15" i="10"/>
  <c r="I19" i="10"/>
  <c r="E5" i="18"/>
  <c r="P5" i="10"/>
  <c r="F7" i="6"/>
  <c r="F27" i="11" s="1"/>
  <c r="R31" i="3"/>
  <c r="T14" i="3"/>
  <c r="H14" i="4"/>
  <c r="E6" i="11"/>
  <c r="E6" i="7"/>
  <c r="U38" i="3"/>
  <c r="G38" i="8" s="1"/>
  <c r="I14" i="6"/>
  <c r="I34" i="11" s="1"/>
  <c r="P9" i="11"/>
  <c r="P9" i="7"/>
  <c r="Q9" i="11"/>
  <c r="Q9" i="7"/>
  <c r="J5" i="10"/>
  <c r="S38" i="3"/>
  <c r="G14" i="6"/>
  <c r="G34" i="11" s="1"/>
  <c r="G6" i="18"/>
  <c r="O40" i="16"/>
  <c r="O9" i="10"/>
  <c r="E4" i="18"/>
  <c r="P4" i="10"/>
  <c r="D16" i="10"/>
  <c r="J10" i="6"/>
  <c r="J30" i="11" s="1"/>
  <c r="V34" i="3"/>
  <c r="H34" i="8" s="1"/>
  <c r="P14" i="10"/>
  <c r="E7" i="18"/>
  <c r="P10" i="10"/>
  <c r="T36" i="3"/>
  <c r="H12" i="6"/>
  <c r="H32" i="11" s="1"/>
  <c r="G4" i="11"/>
  <c r="G4" i="7"/>
  <c r="S40" i="3"/>
  <c r="F6" i="11"/>
  <c r="R42" i="3"/>
  <c r="F6" i="7"/>
  <c r="G9" i="5"/>
  <c r="G17" i="11" s="1"/>
  <c r="S21" i="3"/>
  <c r="G6" i="11"/>
  <c r="S42" i="3"/>
  <c r="G6" i="7"/>
  <c r="O18" i="10"/>
  <c r="P13" i="10"/>
  <c r="I7" i="4"/>
  <c r="U7" i="3"/>
  <c r="I8" i="11"/>
  <c r="U44" i="3"/>
  <c r="G44" i="8" s="1"/>
  <c r="I8" i="7"/>
  <c r="I13" i="5"/>
  <c r="I21" i="11" s="1"/>
  <c r="U25" i="3"/>
  <c r="J9" i="6"/>
  <c r="J29" i="11" s="1"/>
  <c r="V33" i="3"/>
  <c r="H33" i="8" s="1"/>
  <c r="V18" i="3"/>
  <c r="J6" i="5"/>
  <c r="J14" i="11" s="1"/>
  <c r="J14" i="10"/>
  <c r="R5" i="3"/>
  <c r="F5" i="4"/>
  <c r="G4" i="18"/>
  <c r="O32" i="16"/>
  <c r="O7" i="10"/>
  <c r="J8" i="4"/>
  <c r="V8" i="3"/>
  <c r="I7" i="6"/>
  <c r="I27" i="11" s="1"/>
  <c r="U31" i="3"/>
  <c r="G31" i="8" s="1"/>
  <c r="K10" i="6"/>
  <c r="K30" i="11" s="1"/>
  <c r="W34" i="3"/>
  <c r="I34" i="8" s="1"/>
  <c r="J11" i="11"/>
  <c r="V47" i="3"/>
  <c r="H47" i="8" s="1"/>
  <c r="J11" i="7"/>
  <c r="K11" i="11"/>
  <c r="W47" i="3"/>
  <c r="I47" i="8" s="1"/>
  <c r="K11" i="7"/>
  <c r="W20" i="3"/>
  <c r="K8" i="5"/>
  <c r="K16" i="11" s="1"/>
  <c r="U36" i="3"/>
  <c r="G36" i="8" s="1"/>
  <c r="I12" i="6"/>
  <c r="I32" i="11" s="1"/>
  <c r="V36" i="3"/>
  <c r="H36" i="8" s="1"/>
  <c r="J12" i="6"/>
  <c r="J32" i="11" s="1"/>
  <c r="U22" i="3"/>
  <c r="I10" i="5"/>
  <c r="I18" i="11" s="1"/>
  <c r="H8" i="6"/>
  <c r="H28" i="11" s="1"/>
  <c r="T32" i="3"/>
  <c r="J10" i="10"/>
  <c r="W5" i="3"/>
  <c r="K5" i="4"/>
  <c r="V7" i="3"/>
  <c r="J7" i="4"/>
  <c r="H8" i="4"/>
  <c r="T8" i="3"/>
  <c r="G10" i="11"/>
  <c r="G10" i="7"/>
  <c r="S46" i="3"/>
  <c r="S22" i="3"/>
  <c r="G10" i="5"/>
  <c r="G18" i="11" s="1"/>
  <c r="I6" i="10"/>
  <c r="L6" i="11"/>
  <c r="L6" i="7"/>
  <c r="R25" i="3"/>
  <c r="F13" i="5"/>
  <c r="F21" i="11" s="1"/>
  <c r="V22" i="3"/>
  <c r="J10" i="5"/>
  <c r="J18" i="11" s="1"/>
  <c r="F7" i="4"/>
  <c r="R7" i="3"/>
  <c r="D4" i="11"/>
  <c r="D4" i="7"/>
  <c r="H10" i="4"/>
  <c r="T10" i="3"/>
  <c r="D7" i="11"/>
  <c r="D7" i="7"/>
  <c r="G5" i="18"/>
  <c r="O36" i="16"/>
  <c r="O8" i="10"/>
  <c r="R11" i="3"/>
  <c r="F11" i="4"/>
  <c r="D18" i="10"/>
  <c r="I11" i="11"/>
  <c r="U47" i="3"/>
  <c r="G47" i="8" s="1"/>
  <c r="I11" i="7"/>
  <c r="V20" i="3"/>
  <c r="J8" i="5"/>
  <c r="J16" i="11" s="1"/>
  <c r="K5" i="6"/>
  <c r="K25" i="11" s="1"/>
  <c r="W29" i="3"/>
  <c r="I29" i="8" s="1"/>
  <c r="J5" i="11"/>
  <c r="V41" i="3"/>
  <c r="J5" i="7"/>
  <c r="H7" i="6"/>
  <c r="H27" i="11" s="1"/>
  <c r="T31" i="3"/>
  <c r="H9" i="6"/>
  <c r="H29" i="11" s="1"/>
  <c r="T33" i="3"/>
  <c r="U19" i="3"/>
  <c r="I7" i="5"/>
  <c r="I15" i="11" s="1"/>
  <c r="W22" i="3"/>
  <c r="K10" i="5"/>
  <c r="K18" i="11" s="1"/>
  <c r="J7" i="11"/>
  <c r="V43" i="3"/>
  <c r="J7" i="7"/>
  <c r="K7" i="11"/>
  <c r="W43" i="3"/>
  <c r="K7" i="7"/>
  <c r="W32" i="3"/>
  <c r="I32" i="8" s="1"/>
  <c r="K8" i="6"/>
  <c r="K28" i="11" s="1"/>
  <c r="I12" i="5"/>
  <c r="I20" i="11" s="1"/>
  <c r="U24" i="3"/>
  <c r="J12" i="5"/>
  <c r="J20" i="11" s="1"/>
  <c r="V24" i="3"/>
  <c r="I10" i="6"/>
  <c r="I30" i="11" s="1"/>
  <c r="U34" i="3"/>
  <c r="G34" i="8" s="1"/>
  <c r="T16" i="3"/>
  <c r="H4" i="5"/>
  <c r="H12" i="11" s="1"/>
  <c r="H5" i="18"/>
  <c r="P36" i="16"/>
  <c r="P8" i="10"/>
  <c r="F6" i="18"/>
  <c r="N40" i="16"/>
  <c r="N9" i="10"/>
  <c r="W14" i="3"/>
  <c r="K14" i="4"/>
  <c r="D11" i="11"/>
  <c r="D11" i="7"/>
  <c r="V14" i="3"/>
  <c r="J14" i="4"/>
  <c r="E4" i="11"/>
  <c r="E4" i="7"/>
  <c r="S12" i="3"/>
  <c r="G12" i="4"/>
  <c r="I32" i="16"/>
  <c r="I7" i="10"/>
  <c r="F9" i="5"/>
  <c r="F17" i="11" s="1"/>
  <c r="R21" i="3"/>
  <c r="G11" i="5"/>
  <c r="G19" i="11" s="1"/>
  <c r="S23" i="3"/>
  <c r="T6" i="3"/>
  <c r="H6" i="4"/>
  <c r="I9" i="4"/>
  <c r="U9" i="3"/>
  <c r="S25" i="3"/>
  <c r="G13" i="5"/>
  <c r="G21" i="11" s="1"/>
  <c r="S30" i="3"/>
  <c r="G6" i="6"/>
  <c r="G26" i="11" s="1"/>
  <c r="D5" i="18"/>
  <c r="O5" i="10"/>
  <c r="D15" i="10"/>
  <c r="D19" i="10"/>
  <c r="L7" i="11"/>
  <c r="L7" i="7"/>
  <c r="S37" i="3"/>
  <c r="G13" i="6"/>
  <c r="G33" i="11" s="1"/>
  <c r="G9" i="18"/>
  <c r="D6" i="18"/>
  <c r="O6" i="10"/>
  <c r="O4" i="11"/>
  <c r="O4" i="7"/>
  <c r="O5" i="11"/>
  <c r="O5" i="7"/>
  <c r="I5" i="6"/>
  <c r="I25" i="11" s="1"/>
  <c r="U29" i="3"/>
  <c r="G29" i="8" s="1"/>
  <c r="V39" i="3"/>
  <c r="H39" i="8" s="1"/>
  <c r="J15" i="6"/>
  <c r="J35" i="11" s="1"/>
  <c r="K12" i="6"/>
  <c r="K32" i="11" s="1"/>
  <c r="W36" i="3"/>
  <c r="I36" i="8" s="1"/>
  <c r="S15" i="3"/>
  <c r="G15" i="4"/>
  <c r="F6" i="4"/>
  <c r="R6" i="3"/>
  <c r="D9" i="18"/>
  <c r="O12" i="10"/>
  <c r="D4" i="18"/>
  <c r="O4" i="10"/>
  <c r="E8" i="11"/>
  <c r="E8" i="7"/>
  <c r="J4" i="4"/>
  <c r="V4" i="3"/>
  <c r="F8" i="11"/>
  <c r="R44" i="3"/>
  <c r="F8" i="7"/>
  <c r="S39" i="3"/>
  <c r="G15" i="6"/>
  <c r="G35" i="11" s="1"/>
  <c r="R13" i="3"/>
  <c r="F13" i="4"/>
  <c r="U13" i="3"/>
  <c r="I13" i="4"/>
  <c r="V6" i="3"/>
  <c r="J6" i="4"/>
  <c r="M7" i="11"/>
  <c r="M7" i="7"/>
  <c r="C6" i="18"/>
  <c r="N6" i="10"/>
  <c r="S26" i="3"/>
  <c r="G14" i="5"/>
  <c r="G22" i="11" s="1"/>
  <c r="K9" i="5"/>
  <c r="K17" i="11" s="1"/>
  <c r="W21" i="3"/>
  <c r="O8" i="11"/>
  <c r="O8" i="7"/>
  <c r="O9" i="11"/>
  <c r="O9" i="7"/>
  <c r="U17" i="3"/>
  <c r="I5" i="5"/>
  <c r="I13" i="11" s="1"/>
  <c r="J15" i="5"/>
  <c r="J23" i="11" s="1"/>
  <c r="V27" i="3"/>
  <c r="W24" i="3"/>
  <c r="K12" i="5"/>
  <c r="K20" i="11" s="1"/>
  <c r="K9" i="6"/>
  <c r="K29" i="11" s="1"/>
  <c r="W33" i="3"/>
  <c r="I33" i="8" s="1"/>
  <c r="G8" i="4"/>
  <c r="S8" i="3"/>
  <c r="R12" i="3"/>
  <c r="F12" i="4"/>
  <c r="I13" i="10"/>
  <c r="D21" i="10"/>
  <c r="S11" i="3"/>
  <c r="G11" i="4"/>
  <c r="P15" i="10"/>
  <c r="U28" i="3"/>
  <c r="G28" i="8" s="1"/>
  <c r="I4" i="6"/>
  <c r="I24" i="11" s="1"/>
  <c r="S6" i="3"/>
  <c r="G6" i="4"/>
  <c r="H20" i="10"/>
  <c r="F5" i="11"/>
  <c r="R41" i="3"/>
  <c r="F5" i="7"/>
  <c r="J12" i="10"/>
  <c r="J40" i="16"/>
  <c r="J9" i="10"/>
  <c r="G5" i="11"/>
  <c r="S41" i="3"/>
  <c r="G5" i="7"/>
  <c r="E7" i="11"/>
  <c r="E7" i="7"/>
  <c r="R37" i="3"/>
  <c r="F13" i="6"/>
  <c r="F33" i="11" s="1"/>
  <c r="F9" i="11"/>
  <c r="F9" i="7"/>
  <c r="R45" i="3"/>
  <c r="N7" i="11"/>
  <c r="N7" i="7"/>
  <c r="J10" i="4"/>
  <c r="V10" i="3"/>
  <c r="S14" i="3"/>
  <c r="G14" i="4"/>
  <c r="G9" i="4"/>
  <c r="S9" i="3"/>
  <c r="N11" i="11"/>
  <c r="N11" i="7"/>
  <c r="S28" i="3"/>
  <c r="G4" i="6"/>
  <c r="G24" i="11" s="1"/>
  <c r="H15" i="5"/>
  <c r="H23" i="11" s="1"/>
  <c r="T27" i="3"/>
  <c r="E6" i="18"/>
  <c r="K6" i="18" s="1"/>
  <c r="P6" i="10"/>
  <c r="U15" i="3"/>
  <c r="I15" i="4"/>
  <c r="D5" i="10"/>
  <c r="U16" i="3"/>
  <c r="I4" i="5"/>
  <c r="I12" i="11" s="1"/>
  <c r="H6" i="5"/>
  <c r="H14" i="11" s="1"/>
  <c r="T18" i="3"/>
  <c r="H12" i="5"/>
  <c r="H20" i="11" s="1"/>
  <c r="T24" i="3"/>
  <c r="I40" i="16"/>
  <c r="I9" i="10"/>
  <c r="W12" i="3"/>
  <c r="K12" i="4"/>
  <c r="D6" i="11"/>
  <c r="D6" i="7"/>
  <c r="E11" i="11"/>
  <c r="E11" i="7"/>
  <c r="S10" i="3"/>
  <c r="G10" i="4"/>
  <c r="D17" i="10"/>
  <c r="G9" i="11"/>
  <c r="G9" i="7"/>
  <c r="S45" i="3"/>
  <c r="I7" i="11"/>
  <c r="U43" i="3"/>
  <c r="I7" i="7"/>
  <c r="I8" i="6"/>
  <c r="I28" i="11" s="1"/>
  <c r="U32" i="3"/>
  <c r="G32" i="8" s="1"/>
  <c r="I4" i="11"/>
  <c r="I4" i="7"/>
  <c r="U40" i="3"/>
  <c r="I9" i="11"/>
  <c r="I9" i="7"/>
  <c r="U45" i="3"/>
  <c r="G45" i="8" s="1"/>
  <c r="K15" i="5"/>
  <c r="K23" i="11" s="1"/>
  <c r="W27" i="3"/>
  <c r="W18" i="3"/>
  <c r="K6" i="5"/>
  <c r="K14" i="11" s="1"/>
  <c r="L8" i="11"/>
  <c r="L8" i="7"/>
  <c r="F10" i="5"/>
  <c r="F18" i="11" s="1"/>
  <c r="R22" i="3"/>
  <c r="G5" i="6"/>
  <c r="G25" i="11" s="1"/>
  <c r="S29" i="3"/>
  <c r="M5" i="11"/>
  <c r="M5" i="7"/>
  <c r="D5" i="11"/>
  <c r="D5" i="7"/>
  <c r="O15" i="10"/>
  <c r="K11" i="4"/>
  <c r="W11" i="3"/>
  <c r="H4" i="18"/>
  <c r="P32" i="16"/>
  <c r="P7" i="10"/>
  <c r="H44" i="16"/>
  <c r="H16" i="10"/>
  <c r="H9" i="4"/>
  <c r="T9" i="3"/>
  <c r="M9" i="11"/>
  <c r="M9" i="7"/>
  <c r="V12" i="3"/>
  <c r="J12" i="4"/>
  <c r="J4" i="10"/>
  <c r="I11" i="10"/>
  <c r="K4" i="4"/>
  <c r="W4" i="3"/>
  <c r="S35" i="3"/>
  <c r="G11" i="6"/>
  <c r="G31" i="11" s="1"/>
  <c r="D10" i="11"/>
  <c r="D10" i="7"/>
  <c r="F5" i="18"/>
  <c r="N36" i="16"/>
  <c r="N8" i="10"/>
  <c r="F14" i="4"/>
  <c r="R14" i="3"/>
  <c r="I14" i="10"/>
  <c r="I5" i="11"/>
  <c r="U41" i="3"/>
  <c r="I5" i="7"/>
  <c r="W39" i="3"/>
  <c r="I39" i="8" s="1"/>
  <c r="K15" i="6"/>
  <c r="K35" i="11" s="1"/>
  <c r="W30" i="3"/>
  <c r="I30" i="8" s="1"/>
  <c r="K6" i="6"/>
  <c r="K26" i="11" s="1"/>
  <c r="U14" i="3"/>
  <c r="I14" i="4"/>
  <c r="P10" i="11"/>
  <c r="P10" i="7"/>
  <c r="U37" i="3"/>
  <c r="G37" i="8" s="1"/>
  <c r="I13" i="6"/>
  <c r="I33" i="11" s="1"/>
  <c r="F14" i="6"/>
  <c r="F34" i="11" s="1"/>
  <c r="R38" i="3"/>
  <c r="G7" i="11"/>
  <c r="G7" i="7"/>
  <c r="S43" i="3"/>
  <c r="H15" i="4"/>
  <c r="T15" i="3"/>
  <c r="G8" i="11"/>
  <c r="S44" i="3"/>
  <c r="G8" i="7"/>
  <c r="H15" i="10"/>
  <c r="D7" i="18"/>
  <c r="J7" i="18" s="1"/>
  <c r="O10" i="10"/>
  <c r="C5" i="18"/>
  <c r="N5" i="10"/>
  <c r="N6" i="11"/>
  <c r="N6" i="7"/>
  <c r="I15" i="10"/>
  <c r="T30" i="3"/>
  <c r="H6" i="6"/>
  <c r="H26" i="11" s="1"/>
  <c r="J19" i="10"/>
  <c r="O13" i="10"/>
  <c r="G8" i="6"/>
  <c r="G28" i="11" s="1"/>
  <c r="S32" i="3"/>
  <c r="J9" i="11"/>
  <c r="J9" i="7"/>
  <c r="V45" i="3"/>
  <c r="H45" i="8" s="1"/>
  <c r="K10" i="11"/>
  <c r="W46" i="3"/>
  <c r="I46" i="8" s="1"/>
  <c r="K10" i="7"/>
  <c r="L9" i="11"/>
  <c r="L9" i="7"/>
  <c r="I4" i="10"/>
  <c r="I10" i="10"/>
  <c r="H40" i="16"/>
  <c r="H9" i="10"/>
  <c r="I20" i="10"/>
  <c r="R36" i="3"/>
  <c r="F12" i="6"/>
  <c r="F32" i="11" s="1"/>
  <c r="D11" i="10"/>
  <c r="J20" i="10"/>
  <c r="S36" i="3"/>
  <c r="G12" i="6"/>
  <c r="G32" i="11" s="1"/>
  <c r="H13" i="5"/>
  <c r="H21" i="11" s="1"/>
  <c r="T25" i="3"/>
  <c r="J11" i="10"/>
  <c r="H5" i="10"/>
  <c r="H4" i="11"/>
  <c r="H4" i="7"/>
  <c r="T40" i="3"/>
  <c r="N10" i="11"/>
  <c r="N10" i="7"/>
  <c r="I10" i="4"/>
  <c r="U10" i="3"/>
  <c r="T37" i="3"/>
  <c r="H13" i="6"/>
  <c r="H33" i="11" s="1"/>
  <c r="G11" i="11"/>
  <c r="S47" i="3"/>
  <c r="G11" i="7"/>
  <c r="J11" i="6"/>
  <c r="J31" i="11" s="1"/>
  <c r="V35" i="3"/>
  <c r="H35" i="8" s="1"/>
  <c r="K8" i="11"/>
  <c r="W44" i="3"/>
  <c r="I44" i="8" s="1"/>
  <c r="K8" i="7"/>
  <c r="Q10" i="11"/>
  <c r="Q10" i="7"/>
  <c r="V28" i="3"/>
  <c r="H28" i="8" s="1"/>
  <c r="J4" i="6"/>
  <c r="J24" i="11" s="1"/>
  <c r="C9" i="18"/>
  <c r="N12" i="10"/>
  <c r="F6" i="5"/>
  <c r="F14" i="11" s="1"/>
  <c r="R18" i="3"/>
  <c r="H11" i="6"/>
  <c r="H31" i="11" s="1"/>
  <c r="T35" i="3"/>
  <c r="U39" i="3"/>
  <c r="G39" i="8" s="1"/>
  <c r="I15" i="6"/>
  <c r="I35" i="11" s="1"/>
  <c r="R28" i="3"/>
  <c r="F4" i="6"/>
  <c r="F24" i="11" s="1"/>
  <c r="D8" i="11"/>
  <c r="D8" i="7"/>
  <c r="N15" i="10"/>
  <c r="N5" i="11"/>
  <c r="N5" i="7"/>
  <c r="F4" i="18"/>
  <c r="N32" i="16"/>
  <c r="N7" i="10"/>
  <c r="K6" i="11"/>
  <c r="W42" i="3"/>
  <c r="K6" i="7"/>
  <c r="J11" i="5"/>
  <c r="J19" i="11" s="1"/>
  <c r="V23" i="3"/>
  <c r="K4" i="11"/>
  <c r="K4" i="7"/>
  <c r="W40" i="3"/>
  <c r="Q6" i="11"/>
  <c r="Q6" i="7"/>
  <c r="J4" i="5"/>
  <c r="J12" i="11" s="1"/>
  <c r="V16" i="3"/>
  <c r="H11" i="4"/>
  <c r="T11" i="3"/>
  <c r="L5" i="11"/>
  <c r="L5" i="7"/>
  <c r="U27" i="3"/>
  <c r="I15" i="5"/>
  <c r="I23" i="11" s="1"/>
  <c r="T5" i="3"/>
  <c r="H5" i="4"/>
  <c r="D20" i="10"/>
  <c r="H5" i="6"/>
  <c r="H25" i="11" s="1"/>
  <c r="T29" i="3"/>
  <c r="R39" i="3"/>
  <c r="F15" i="6"/>
  <c r="F35" i="11" s="1"/>
  <c r="G4" i="4"/>
  <c r="S4" i="3"/>
  <c r="S16" i="3"/>
  <c r="G4" i="5"/>
  <c r="G12" i="11" s="1"/>
  <c r="U12" i="3"/>
  <c r="I12" i="4"/>
  <c r="D9" i="11"/>
  <c r="D9" i="7"/>
  <c r="T39" i="3"/>
  <c r="H15" i="6"/>
  <c r="H35" i="11" s="1"/>
  <c r="O14" i="10"/>
  <c r="H8" i="11"/>
  <c r="T44" i="3"/>
  <c r="H8" i="7"/>
  <c r="H5" i="11"/>
  <c r="T41" i="3"/>
  <c r="H5" i="7"/>
  <c r="H11" i="10"/>
  <c r="T20" i="3"/>
  <c r="H8" i="5"/>
  <c r="H16" i="11" s="1"/>
  <c r="F8" i="4"/>
  <c r="R8" i="3"/>
  <c r="H17" i="10"/>
  <c r="H14" i="10"/>
  <c r="H9" i="5"/>
  <c r="H17" i="11" s="1"/>
  <c r="T21" i="3"/>
  <c r="D14" i="10"/>
  <c r="J32" i="16"/>
  <c r="J7" i="10"/>
  <c r="W37" i="3"/>
  <c r="I37" i="8" s="1"/>
  <c r="K13" i="6"/>
  <c r="K33" i="11" s="1"/>
  <c r="K7" i="6"/>
  <c r="K27" i="11" s="1"/>
  <c r="W31" i="3"/>
  <c r="I31" i="8" s="1"/>
  <c r="Q4" i="11"/>
  <c r="Q4" i="7"/>
  <c r="J8" i="6"/>
  <c r="J28" i="11" s="1"/>
  <c r="V32" i="3"/>
  <c r="H32" i="8" s="1"/>
  <c r="P6" i="11"/>
  <c r="P6" i="7"/>
  <c r="F7" i="18"/>
  <c r="N44" i="16"/>
  <c r="N16" i="10"/>
  <c r="W7" i="3"/>
  <c r="K7" i="4"/>
  <c r="J10" i="11"/>
  <c r="V46" i="3"/>
  <c r="H46" i="8" s="1"/>
  <c r="J10" i="7"/>
  <c r="P8" i="11"/>
  <c r="P8" i="7"/>
  <c r="J14" i="5"/>
  <c r="J22" i="11" s="1"/>
  <c r="V26" i="3"/>
  <c r="K11" i="6"/>
  <c r="K31" i="11" s="1"/>
  <c r="W35" i="3"/>
  <c r="I35" i="8" s="1"/>
  <c r="O6" i="11"/>
  <c r="O6" i="7"/>
  <c r="U30" i="3"/>
  <c r="G30" i="8" s="1"/>
  <c r="I6" i="6"/>
  <c r="I26" i="11" s="1"/>
  <c r="W28" i="3"/>
  <c r="I28" i="8" s="1"/>
  <c r="K4" i="6"/>
  <c r="K24" i="11" s="1"/>
  <c r="O11" i="11"/>
  <c r="O11" i="7"/>
  <c r="F11" i="5"/>
  <c r="F19" i="11" s="1"/>
  <c r="R23" i="3"/>
  <c r="M11" i="11"/>
  <c r="M11" i="7"/>
  <c r="S17" i="3"/>
  <c r="G5" i="5"/>
  <c r="G13" i="11" s="1"/>
  <c r="S5" i="3"/>
  <c r="G5" i="4"/>
  <c r="S27" i="3"/>
  <c r="G15" i="5"/>
  <c r="G23" i="11" s="1"/>
  <c r="P20" i="10"/>
  <c r="H7" i="11"/>
  <c r="H7" i="7"/>
  <c r="T43" i="3"/>
  <c r="F5" i="6"/>
  <c r="F25" i="11" s="1"/>
  <c r="R29" i="3"/>
  <c r="H12" i="10"/>
  <c r="D10" i="18"/>
  <c r="J10" i="18" s="1"/>
  <c r="O19" i="10"/>
  <c r="D8" i="18"/>
  <c r="J8" i="18" s="1"/>
  <c r="O11" i="10"/>
  <c r="F11" i="11"/>
  <c r="R47" i="3"/>
  <c r="F11" i="7"/>
  <c r="H11" i="5"/>
  <c r="H19" i="11" s="1"/>
  <c r="T23" i="3"/>
  <c r="U6" i="3"/>
  <c r="I6" i="4"/>
  <c r="R10" i="3"/>
  <c r="F10" i="4"/>
  <c r="H7" i="4"/>
  <c r="T7" i="3"/>
  <c r="F4" i="11"/>
  <c r="F4" i="7"/>
  <c r="R40" i="3"/>
  <c r="R20" i="3"/>
  <c r="F8" i="5"/>
  <c r="F16" i="11" s="1"/>
  <c r="K9" i="4"/>
  <c r="W9" i="3"/>
  <c r="R26" i="3"/>
  <c r="F14" i="5"/>
  <c r="F22" i="11" s="1"/>
  <c r="F8" i="6"/>
  <c r="F28" i="11" s="1"/>
  <c r="R32" i="3"/>
  <c r="H10" i="10"/>
  <c r="U20" i="3"/>
  <c r="I8" i="5"/>
  <c r="I16" i="11" s="1"/>
  <c r="R34" i="3"/>
  <c r="F10" i="6"/>
  <c r="F30" i="11" s="1"/>
  <c r="E9" i="11"/>
  <c r="E9" i="7"/>
  <c r="V38" i="3"/>
  <c r="H38" i="8" s="1"/>
  <c r="J14" i="6"/>
  <c r="J34" i="11" s="1"/>
  <c r="K11" i="5"/>
  <c r="K19" i="11" s="1"/>
  <c r="W23" i="3"/>
  <c r="O10" i="11"/>
  <c r="O10" i="7"/>
  <c r="W16" i="3"/>
  <c r="K4" i="5"/>
  <c r="K12" i="11" s="1"/>
  <c r="J11" i="4"/>
  <c r="V11" i="3"/>
  <c r="F7" i="11"/>
  <c r="F7" i="7"/>
  <c r="R43" i="3"/>
  <c r="N8" i="11"/>
  <c r="N8" i="7"/>
  <c r="U5" i="3"/>
  <c r="I5" i="4"/>
  <c r="R24" i="3"/>
  <c r="F12" i="5"/>
  <c r="F20" i="11" s="1"/>
  <c r="M4" i="11"/>
  <c r="M4" i="7"/>
  <c r="S34" i="3"/>
  <c r="G10" i="6"/>
  <c r="G30" i="11" s="1"/>
  <c r="N14" i="10"/>
  <c r="W15" i="3"/>
  <c r="K15" i="4"/>
  <c r="F6" i="6"/>
  <c r="F26" i="11" s="1"/>
  <c r="R30" i="3"/>
  <c r="H19" i="10"/>
  <c r="I4" i="4"/>
  <c r="U4" i="3"/>
  <c r="T13" i="3"/>
  <c r="H13" i="4"/>
  <c r="D7" i="10"/>
  <c r="R16" i="3"/>
  <c r="F4" i="5"/>
  <c r="F12" i="11" s="1"/>
  <c r="W13" i="3"/>
  <c r="K13" i="4"/>
  <c r="H36" i="16"/>
  <c r="H8" i="10"/>
  <c r="D13" i="10"/>
  <c r="C8" i="18"/>
  <c r="N11" i="10"/>
  <c r="H4" i="4"/>
  <c r="T4" i="3"/>
  <c r="I9" i="5"/>
  <c r="I17" i="11" s="1"/>
  <c r="U21" i="3"/>
  <c r="K5" i="11"/>
  <c r="K5" i="7"/>
  <c r="W41" i="3"/>
  <c r="P11" i="11"/>
  <c r="P11" i="7"/>
  <c r="L11" i="11"/>
  <c r="L11" i="7"/>
  <c r="R33" i="3"/>
  <c r="F9" i="6"/>
  <c r="F29" i="11" s="1"/>
  <c r="G6" i="5"/>
  <c r="G14" i="11" s="1"/>
  <c r="S18" i="3"/>
  <c r="G9" i="6"/>
  <c r="G29" i="11" s="1"/>
  <c r="S33" i="3"/>
  <c r="J6" i="10"/>
  <c r="R27" i="3"/>
  <c r="F15" i="5"/>
  <c r="F23" i="11" s="1"/>
  <c r="L4" i="11"/>
  <c r="L4" i="7"/>
  <c r="E8" i="18"/>
  <c r="K8" i="18" s="1"/>
  <c r="P11" i="10"/>
  <c r="F4" i="4"/>
  <c r="R4" i="3"/>
  <c r="E10" i="18"/>
  <c r="K10" i="18" s="1"/>
  <c r="P19" i="10"/>
  <c r="N9" i="11"/>
  <c r="N9" i="7"/>
  <c r="C7" i="18"/>
  <c r="N10" i="10"/>
  <c r="G7" i="5"/>
  <c r="G15" i="11" s="1"/>
  <c r="S19" i="3"/>
  <c r="T26" i="3"/>
  <c r="H14" i="5"/>
  <c r="H22" i="11" s="1"/>
  <c r="H32" i="16"/>
  <c r="H7" i="10"/>
  <c r="L10" i="11"/>
  <c r="L10" i="7"/>
  <c r="G7" i="4"/>
  <c r="S7" i="3"/>
  <c r="V13" i="3"/>
  <c r="J13" i="4"/>
  <c r="U35" i="3"/>
  <c r="G35" i="8" s="1"/>
  <c r="I11" i="6"/>
  <c r="I31" i="11" s="1"/>
  <c r="G7" i="6"/>
  <c r="G27" i="11" s="1"/>
  <c r="S31" i="3"/>
  <c r="S20" i="3"/>
  <c r="G8" i="5"/>
  <c r="G16" i="11" s="1"/>
  <c r="M10" i="11"/>
  <c r="M10" i="7"/>
  <c r="J6" i="11"/>
  <c r="V42" i="3"/>
  <c r="J6" i="7"/>
  <c r="J7" i="6"/>
  <c r="J27" i="11" s="1"/>
  <c r="V31" i="3"/>
  <c r="H31" i="8" s="1"/>
  <c r="K14" i="5"/>
  <c r="K22" i="11" s="1"/>
  <c r="W26" i="3"/>
  <c r="J5" i="6"/>
  <c r="J25" i="11" s="1"/>
  <c r="V29" i="3"/>
  <c r="H29" i="8" s="1"/>
  <c r="J8" i="11"/>
  <c r="V44" i="3"/>
  <c r="H44" i="8" s="1"/>
  <c r="J8" i="7"/>
  <c r="Q7" i="11"/>
  <c r="Q7" i="7"/>
  <c r="V19" i="3"/>
  <c r="J7" i="5"/>
  <c r="J15" i="11" s="1"/>
  <c r="W38" i="3"/>
  <c r="I38" i="8" s="1"/>
  <c r="K14" i="6"/>
  <c r="K34" i="11" s="1"/>
  <c r="V17" i="3"/>
  <c r="J5" i="5"/>
  <c r="J13" i="11" s="1"/>
  <c r="J4" i="11"/>
  <c r="J4" i="7"/>
  <c r="V40" i="3"/>
  <c r="I9" i="6"/>
  <c r="I29" i="11" s="1"/>
  <c r="U33" i="3"/>
  <c r="G33" i="8" s="1"/>
  <c r="K9" i="11"/>
  <c r="W45" i="3"/>
  <c r="I45" i="8" s="1"/>
  <c r="K9" i="7"/>
  <c r="P7" i="11"/>
  <c r="P7" i="7"/>
  <c r="R17" i="3"/>
  <c r="F5" i="5"/>
  <c r="F13" i="11" s="1"/>
  <c r="J36" i="16"/>
  <c r="J8" i="10"/>
  <c r="D9" i="10"/>
  <c r="T12" i="3"/>
  <c r="H12" i="4"/>
  <c r="O20" i="10"/>
  <c r="H7" i="18"/>
  <c r="P44" i="16"/>
  <c r="P16" i="10"/>
  <c r="E9" i="18"/>
  <c r="K9" i="18" s="1"/>
  <c r="P12" i="10"/>
  <c r="U11" i="3"/>
  <c r="I11" i="4"/>
  <c r="T22" i="3"/>
  <c r="H10" i="5"/>
  <c r="H18" i="11" s="1"/>
  <c r="H10" i="11"/>
  <c r="T46" i="3"/>
  <c r="H10" i="7"/>
  <c r="C10" i="18"/>
  <c r="N19" i="10"/>
  <c r="J13" i="10"/>
  <c r="F9" i="4"/>
  <c r="R9" i="3"/>
  <c r="N4" i="11"/>
  <c r="N4" i="7"/>
  <c r="K10" i="4"/>
  <c r="W10" i="3"/>
  <c r="D12" i="10"/>
  <c r="V15" i="3"/>
  <c r="J15" i="4"/>
  <c r="H7" i="5"/>
  <c r="H15" i="11" s="1"/>
  <c r="T19" i="3"/>
  <c r="I6" i="11"/>
  <c r="U42" i="3"/>
  <c r="I6" i="7"/>
  <c r="V37" i="3"/>
  <c r="H37" i="8" s="1"/>
  <c r="J13" i="6"/>
  <c r="J33" i="11" s="1"/>
  <c r="R35" i="3"/>
  <c r="F11" i="6"/>
  <c r="F31" i="11" s="1"/>
  <c r="D6" i="10"/>
  <c r="I11" i="5"/>
  <c r="I19" i="11" s="1"/>
  <c r="U23" i="3"/>
  <c r="H6" i="11"/>
  <c r="T42" i="3"/>
  <c r="H6" i="7"/>
  <c r="J5" i="18" l="1"/>
  <c r="K7" i="18"/>
  <c r="F22" i="17"/>
  <c r="H10" i="8"/>
  <c r="F45" i="17"/>
  <c r="E33" i="8"/>
  <c r="G59" i="17"/>
  <c r="I23" i="8"/>
  <c r="F62" i="17"/>
  <c r="H26" i="8"/>
  <c r="G32" i="17"/>
  <c r="F20" i="8"/>
  <c r="F28" i="17"/>
  <c r="E16" i="8"/>
  <c r="F52" i="17"/>
  <c r="H16" i="8"/>
  <c r="G64" i="17"/>
  <c r="F40" i="8"/>
  <c r="E50" i="17"/>
  <c r="D38" i="8"/>
  <c r="E14" i="17"/>
  <c r="D14" i="8"/>
  <c r="F40" i="17"/>
  <c r="E28" i="8"/>
  <c r="E53" i="17"/>
  <c r="G17" i="8"/>
  <c r="E25" i="17"/>
  <c r="G13" i="8"/>
  <c r="E6" i="17"/>
  <c r="D6" i="8"/>
  <c r="G6" i="17"/>
  <c r="F6" i="8"/>
  <c r="G26" i="17"/>
  <c r="I14" i="8"/>
  <c r="F73" i="17"/>
  <c r="H41" i="8"/>
  <c r="F70" i="17"/>
  <c r="E46" i="8"/>
  <c r="F61" i="17"/>
  <c r="H25" i="8"/>
  <c r="G53" i="17"/>
  <c r="I17" i="8"/>
  <c r="E32" i="17"/>
  <c r="D20" i="8"/>
  <c r="E75" i="17"/>
  <c r="G43" i="8"/>
  <c r="G36" i="17"/>
  <c r="F24" i="8"/>
  <c r="F11" i="17"/>
  <c r="E11" i="8"/>
  <c r="E13" i="17"/>
  <c r="D13" i="8"/>
  <c r="F49" i="17"/>
  <c r="E37" i="8"/>
  <c r="G75" i="17"/>
  <c r="I43" i="8"/>
  <c r="E15" i="17"/>
  <c r="D15" i="8"/>
  <c r="F53" i="17"/>
  <c r="H17" i="8"/>
  <c r="G8" i="17"/>
  <c r="F8" i="8"/>
  <c r="E51" i="17"/>
  <c r="D39" i="8"/>
  <c r="G72" i="17"/>
  <c r="I40" i="8"/>
  <c r="F69" i="17"/>
  <c r="E45" i="8"/>
  <c r="G30" i="17"/>
  <c r="F18" i="8"/>
  <c r="F51" i="17"/>
  <c r="E39" i="8"/>
  <c r="E5" i="17"/>
  <c r="D5" i="8"/>
  <c r="F66" i="17"/>
  <c r="E42" i="8"/>
  <c r="E62" i="17"/>
  <c r="G26" i="8"/>
  <c r="G12" i="17"/>
  <c r="F12" i="8"/>
  <c r="E28" i="17"/>
  <c r="D16" i="8"/>
  <c r="G69" i="17"/>
  <c r="F45" i="8"/>
  <c r="F15" i="17"/>
  <c r="E15" i="8"/>
  <c r="G56" i="17"/>
  <c r="I20" i="8"/>
  <c r="G13" i="17"/>
  <c r="F13" i="8"/>
  <c r="E35" i="17"/>
  <c r="D23" i="8"/>
  <c r="G31" i="17"/>
  <c r="F19" i="8"/>
  <c r="E57" i="17"/>
  <c r="G21" i="8"/>
  <c r="E16" i="17"/>
  <c r="G4" i="8"/>
  <c r="G41" i="17"/>
  <c r="F29" i="8"/>
  <c r="E40" i="17"/>
  <c r="D28" i="8"/>
  <c r="G37" i="17"/>
  <c r="F25" i="8"/>
  <c r="G57" i="17"/>
  <c r="I21" i="8"/>
  <c r="F75" i="17"/>
  <c r="H43" i="8"/>
  <c r="F56" i="17"/>
  <c r="H20" i="8"/>
  <c r="E7" i="17"/>
  <c r="D7" i="8"/>
  <c r="G50" i="17"/>
  <c r="F38" i="8"/>
  <c r="F4" i="17"/>
  <c r="E4" i="8"/>
  <c r="E34" i="17"/>
  <c r="D22" i="8"/>
  <c r="F65" i="17"/>
  <c r="E41" i="8"/>
  <c r="G70" i="17"/>
  <c r="F46" i="8"/>
  <c r="E17" i="17"/>
  <c r="G5" i="8"/>
  <c r="E29" i="17"/>
  <c r="D17" i="8"/>
  <c r="F55" i="17"/>
  <c r="H19" i="8"/>
  <c r="G38" i="17"/>
  <c r="F26" i="8"/>
  <c r="E39" i="17"/>
  <c r="D27" i="8"/>
  <c r="G7" i="17"/>
  <c r="F7" i="8"/>
  <c r="E41" i="17"/>
  <c r="D29" i="8"/>
  <c r="G68" i="17"/>
  <c r="F44" i="8"/>
  <c r="G54" i="17"/>
  <c r="I18" i="8"/>
  <c r="F14" i="17"/>
  <c r="E14" i="8"/>
  <c r="E12" i="17"/>
  <c r="N6" i="17" s="1"/>
  <c r="D12" i="8"/>
  <c r="E68" i="17"/>
  <c r="D44" i="8"/>
  <c r="F19" i="17"/>
  <c r="H7" i="8"/>
  <c r="F33" i="17"/>
  <c r="E21" i="8"/>
  <c r="F13" i="17"/>
  <c r="E13" i="8"/>
  <c r="G46" i="17"/>
  <c r="F34" i="8"/>
  <c r="E36" i="17"/>
  <c r="D24" i="8"/>
  <c r="F54" i="17"/>
  <c r="H18" i="8"/>
  <c r="K4" i="18"/>
  <c r="G14" i="17"/>
  <c r="F14" i="8"/>
  <c r="F21" i="17"/>
  <c r="H9" i="8"/>
  <c r="G29" i="17"/>
  <c r="F17" i="8"/>
  <c r="G65" i="17"/>
  <c r="F41" i="8"/>
  <c r="F59" i="17"/>
  <c r="H23" i="8"/>
  <c r="E26" i="17"/>
  <c r="G14" i="8"/>
  <c r="F12" i="17"/>
  <c r="E12" i="8"/>
  <c r="G28" i="17"/>
  <c r="P10" i="17" s="1"/>
  <c r="F16" i="8"/>
  <c r="G58" i="17"/>
  <c r="I22" i="8"/>
  <c r="F58" i="17"/>
  <c r="H22" i="8"/>
  <c r="G17" i="17"/>
  <c r="I5" i="8"/>
  <c r="E43" i="17"/>
  <c r="D31" i="8"/>
  <c r="F36" i="17"/>
  <c r="E24" i="8"/>
  <c r="G10" i="17"/>
  <c r="F10" i="8"/>
  <c r="F31" i="17"/>
  <c r="E19" i="8"/>
  <c r="E52" i="17"/>
  <c r="N16" i="17" s="1"/>
  <c r="G16" i="8"/>
  <c r="E56" i="17"/>
  <c r="G20" i="8"/>
  <c r="E10" i="17"/>
  <c r="D10" i="8"/>
  <c r="G33" i="17"/>
  <c r="F21" i="8"/>
  <c r="G5" i="17"/>
  <c r="F5" i="8"/>
  <c r="F68" i="17"/>
  <c r="E44" i="8"/>
  <c r="G16" i="17"/>
  <c r="I4" i="8"/>
  <c r="F10" i="17"/>
  <c r="E10" i="8"/>
  <c r="E65" i="17"/>
  <c r="D41" i="8"/>
  <c r="E66" i="17"/>
  <c r="D42" i="8"/>
  <c r="F17" i="17"/>
  <c r="H5" i="8"/>
  <c r="F74" i="17"/>
  <c r="H42" i="8"/>
  <c r="F30" i="17"/>
  <c r="E18" i="8"/>
  <c r="F23" i="17"/>
  <c r="H11" i="8"/>
  <c r="G51" i="17"/>
  <c r="F39" i="8"/>
  <c r="G74" i="17"/>
  <c r="I42" i="8"/>
  <c r="E30" i="17"/>
  <c r="D18" i="8"/>
  <c r="F44" i="17"/>
  <c r="O14" i="17" s="1"/>
  <c r="E32" i="8"/>
  <c r="E27" i="17"/>
  <c r="G15" i="8"/>
  <c r="F42" i="17"/>
  <c r="E30" i="8"/>
  <c r="E55" i="17"/>
  <c r="G19" i="8"/>
  <c r="E37" i="17"/>
  <c r="D25" i="8"/>
  <c r="G44" i="17"/>
  <c r="F32" i="8"/>
  <c r="E61" i="17"/>
  <c r="G25" i="8"/>
  <c r="G71" i="17"/>
  <c r="F47" i="8"/>
  <c r="E20" i="17"/>
  <c r="G8" i="8"/>
  <c r="G66" i="17"/>
  <c r="F42" i="8"/>
  <c r="F43" i="17"/>
  <c r="E31" i="8"/>
  <c r="G27" i="17"/>
  <c r="I15" i="8"/>
  <c r="E44" i="17"/>
  <c r="D32" i="8"/>
  <c r="E18" i="17"/>
  <c r="G6" i="8"/>
  <c r="E63" i="17"/>
  <c r="G27" i="8"/>
  <c r="G49" i="17"/>
  <c r="F37" i="8"/>
  <c r="G15" i="17"/>
  <c r="F15" i="8"/>
  <c r="E69" i="17"/>
  <c r="D45" i="8"/>
  <c r="F60" i="17"/>
  <c r="H24" i="8"/>
  <c r="G45" i="17"/>
  <c r="F33" i="8"/>
  <c r="E11" i="17"/>
  <c r="D11" i="8"/>
  <c r="F64" i="17"/>
  <c r="E40" i="8"/>
  <c r="K5" i="18"/>
  <c r="G20" i="17"/>
  <c r="I8" i="8"/>
  <c r="F29" i="17"/>
  <c r="E17" i="8"/>
  <c r="F35" i="17"/>
  <c r="E23" i="8"/>
  <c r="G40" i="17"/>
  <c r="F28" i="8"/>
  <c r="E67" i="17"/>
  <c r="D43" i="8"/>
  <c r="E42" i="17"/>
  <c r="D30" i="8"/>
  <c r="G22" i="17"/>
  <c r="I10" i="8"/>
  <c r="E59" i="17"/>
  <c r="G23" i="8"/>
  <c r="G35" i="17"/>
  <c r="F23" i="8"/>
  <c r="E22" i="17"/>
  <c r="G10" i="8"/>
  <c r="E48" i="17"/>
  <c r="D36" i="8"/>
  <c r="E72" i="17"/>
  <c r="G40" i="8"/>
  <c r="G60" i="17"/>
  <c r="I24" i="8"/>
  <c r="F37" i="17"/>
  <c r="E25" i="8"/>
  <c r="F26" i="17"/>
  <c r="H14" i="8"/>
  <c r="F50" i="17"/>
  <c r="E38" i="8"/>
  <c r="E70" i="17"/>
  <c r="D46" i="8"/>
  <c r="G9" i="17"/>
  <c r="F9" i="8"/>
  <c r="E64" i="17"/>
  <c r="D40" i="8"/>
  <c r="G34" i="17"/>
  <c r="F22" i="8"/>
  <c r="E46" i="17"/>
  <c r="D34" i="8"/>
  <c r="F8" i="17"/>
  <c r="E8" i="8"/>
  <c r="F27" i="17"/>
  <c r="H15" i="8"/>
  <c r="F32" i="17"/>
  <c r="E20" i="8"/>
  <c r="G67" i="17"/>
  <c r="F43" i="8"/>
  <c r="G52" i="17"/>
  <c r="P16" i="17" s="1"/>
  <c r="I16" i="8"/>
  <c r="F67" i="17"/>
  <c r="E43" i="8"/>
  <c r="E73" i="17"/>
  <c r="G41" i="8"/>
  <c r="G39" i="17"/>
  <c r="F27" i="8"/>
  <c r="F6" i="17"/>
  <c r="E6" i="8"/>
  <c r="F63" i="17"/>
  <c r="H27" i="8"/>
  <c r="J4" i="18"/>
  <c r="E21" i="17"/>
  <c r="G9" i="8"/>
  <c r="E60" i="17"/>
  <c r="N18" i="17" s="1"/>
  <c r="G24" i="8"/>
  <c r="G43" i="17"/>
  <c r="F31" i="8"/>
  <c r="E58" i="17"/>
  <c r="G22" i="8"/>
  <c r="G18" i="17"/>
  <c r="I6" i="8"/>
  <c r="G55" i="17"/>
  <c r="I19" i="8"/>
  <c r="G73" i="17"/>
  <c r="I41" i="8"/>
  <c r="E74" i="17"/>
  <c r="G42" i="8"/>
  <c r="E33" i="17"/>
  <c r="D21" i="8"/>
  <c r="G4" i="17"/>
  <c r="F4" i="8"/>
  <c r="G63" i="17"/>
  <c r="I27" i="8"/>
  <c r="F48" i="17"/>
  <c r="E36" i="8"/>
  <c r="F38" i="17"/>
  <c r="E26" i="8"/>
  <c r="F39" i="17"/>
  <c r="E27" i="8"/>
  <c r="E9" i="17"/>
  <c r="D9" i="8"/>
  <c r="F72" i="17"/>
  <c r="O21" i="17" s="1"/>
  <c r="H40" i="8"/>
  <c r="E38" i="17"/>
  <c r="D26" i="8"/>
  <c r="E24" i="17"/>
  <c r="G12" i="8"/>
  <c r="G11" i="17"/>
  <c r="F11" i="8"/>
  <c r="F24" i="17"/>
  <c r="O9" i="17" s="1"/>
  <c r="H12" i="8"/>
  <c r="F18" i="17"/>
  <c r="H6" i="8"/>
  <c r="F20" i="17"/>
  <c r="H8" i="8"/>
  <c r="E31" i="17"/>
  <c r="D19" i="8"/>
  <c r="F57" i="17"/>
  <c r="H21" i="8"/>
  <c r="E54" i="17"/>
  <c r="G18" i="8"/>
  <c r="G61" i="17"/>
  <c r="I25" i="8"/>
  <c r="F9" i="17"/>
  <c r="E9" i="8"/>
  <c r="G19" i="17"/>
  <c r="I7" i="8"/>
  <c r="G47" i="17"/>
  <c r="F35" i="8"/>
  <c r="F71" i="17"/>
  <c r="E47" i="8"/>
  <c r="F47" i="17"/>
  <c r="E35" i="8"/>
  <c r="G23" i="17"/>
  <c r="I11" i="8"/>
  <c r="F16" i="17"/>
  <c r="H4" i="8"/>
  <c r="E23" i="17"/>
  <c r="G11" i="8"/>
  <c r="E45" i="17"/>
  <c r="D33" i="8"/>
  <c r="E8" i="17"/>
  <c r="N5" i="17" s="1"/>
  <c r="D8" i="8"/>
  <c r="G62" i="17"/>
  <c r="I26" i="8"/>
  <c r="F25" i="17"/>
  <c r="H13" i="8"/>
  <c r="F46" i="17"/>
  <c r="E34" i="8"/>
  <c r="E47" i="17"/>
  <c r="D35" i="8"/>
  <c r="F7" i="17"/>
  <c r="E7" i="8"/>
  <c r="E4" i="17"/>
  <c r="D4" i="8"/>
  <c r="G25" i="17"/>
  <c r="I13" i="8"/>
  <c r="G21" i="17"/>
  <c r="I9" i="8"/>
  <c r="E71" i="17"/>
  <c r="D47" i="8"/>
  <c r="F5" i="17"/>
  <c r="E5" i="8"/>
  <c r="G42" i="17"/>
  <c r="F30" i="8"/>
  <c r="F41" i="17"/>
  <c r="E29" i="8"/>
  <c r="G24" i="17"/>
  <c r="I12" i="8"/>
  <c r="E49" i="17"/>
  <c r="D37" i="8"/>
  <c r="J9" i="18"/>
  <c r="J6" i="18"/>
  <c r="F34" i="17"/>
  <c r="E22" i="8"/>
  <c r="E19" i="17"/>
  <c r="G7" i="8"/>
  <c r="G48" i="17"/>
  <c r="F36" i="8"/>
  <c r="P4" i="17" l="1"/>
  <c r="N4" i="17"/>
  <c r="O15" i="17"/>
  <c r="N19" i="17"/>
  <c r="N15" i="17"/>
  <c r="N7" i="17"/>
  <c r="N10" i="17"/>
  <c r="P21" i="17"/>
  <c r="P14" i="17"/>
  <c r="O20" i="17"/>
  <c r="O12" i="17"/>
  <c r="N8" i="17"/>
  <c r="N17" i="17"/>
  <c r="P6" i="17"/>
  <c r="P12" i="17"/>
  <c r="O16" i="17"/>
  <c r="N20" i="17"/>
  <c r="N9" i="17"/>
  <c r="P8" i="17"/>
  <c r="O17" i="17"/>
  <c r="P5" i="17"/>
  <c r="O10" i="17"/>
  <c r="O7" i="17"/>
  <c r="O6" i="17"/>
  <c r="N12" i="17"/>
  <c r="N11" i="17"/>
  <c r="P11" i="17"/>
  <c r="P7" i="17"/>
  <c r="P20" i="17"/>
  <c r="P19" i="17"/>
  <c r="O11" i="17"/>
  <c r="O5" i="17"/>
  <c r="P17" i="17"/>
  <c r="O13" i="17"/>
  <c r="P9" i="17"/>
  <c r="O19" i="17"/>
  <c r="N14" i="17"/>
  <c r="P15" i="17"/>
  <c r="O8" i="17"/>
  <c r="P18" i="17"/>
  <c r="N13" i="17"/>
  <c r="O18" i="17"/>
  <c r="N21" i="17"/>
  <c r="P13" i="17"/>
  <c r="O4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6A9A25-541B-44CC-9052-DF656E1F3C4D}" keepAlive="1" name="Query - k_fold_2stage_output" description="Connection to the 'k_fold_2stage_output' query in the workbook." type="5" refreshedVersion="0" background="1">
    <dbPr connection="Provider=Microsoft.Mashup.OleDb.1;Data Source=$Workbook$;Location=k_fold_2stage_output;Extended Properties=&quot;&quot;" command="SELECT * FROM [k_fold_2stage_output]"/>
  </connection>
  <connection id="2" xr16:uid="{0400AC6D-A76A-4549-9D69-333F37022DF8}" keepAlive="1" name="Query - k_fold_2stage_output (2)" description="Connection to the 'k_fold_2stage_output (2)' query in the workbook." type="5" refreshedVersion="8" background="1" saveData="1">
    <dbPr connection="Provider=Microsoft.Mashup.OleDb.1;Data Source=$Workbook$;Location=&quot;k_fold_2stage_output (2)&quot;;Extended Properties=&quot;&quot;" command="SELECT * FROM [k_fold_2stage_output (2)]"/>
  </connection>
  <connection id="3" xr16:uid="{CD91A326-FA02-4892-A79B-652889E2AB04}" keepAlive="1" name="Query - k_fold_luna16db_output" description="Connection to the 'k_fold_luna16db_output' query in the workbook." type="5" refreshedVersion="8" background="1" saveData="1">
    <dbPr connection="Provider=Microsoft.Mashup.OleDb.1;Data Source=$Workbook$;Location=k_fold_luna16db_output;Extended Properties=&quot;&quot;" command="SELECT * FROM [k_fold_luna16db_output]"/>
  </connection>
  <connection id="4" xr16:uid="{AA5EF996-2348-45C5-98F1-7FFE4F2F0D8B}" keepAlive="1" name="Query - k_fold_luna16db_output (2)" description="Connection to the 'k_fold_luna16db_output (2)' query in the workbook." type="5" refreshedVersion="0" background="1">
    <dbPr connection="Provider=Microsoft.Mashup.OleDb.1;Data Source=$Workbook$;Location=&quot;k_fold_luna16db_output (2)&quot;;Extended Properties=&quot;&quot;" command="SELECT * FROM [k_fold_luna16db_output (2)]"/>
  </connection>
  <connection id="5" xr16:uid="{DC676531-02F8-4501-8FE6-6FCA0A126AFF}" keepAlive="1" name="Query - luna16_k_fold_output" description="Connection to the 'luna16_k_fold_output' query in the workbook." type="5" refreshedVersion="8" background="1" saveData="1">
    <dbPr connection="Provider=Microsoft.Mashup.OleDb.1;Data Source=$Workbook$;Location=luna16_k_fold_output;Extended Properties=&quot;&quot;" command="SELECT * FROM [luna16_k_fold_outpu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<sst xmlns="http://schemas.openxmlformats.org/spreadsheetml/2006/main" count="3755" uniqueCount="165">
  <si>
    <t>Model</t>
  </si>
  <si>
    <t>Accuracy</t>
  </si>
  <si>
    <t>Precision</t>
  </si>
  <si>
    <t>Recall</t>
  </si>
  <si>
    <t>F1</t>
  </si>
  <si>
    <t>AUROC</t>
  </si>
  <si>
    <t>Average Precision</t>
  </si>
  <si>
    <t>TN</t>
  </si>
  <si>
    <t>FP</t>
  </si>
  <si>
    <t>FN</t>
  </si>
  <si>
    <t>TP</t>
  </si>
  <si>
    <t>Confusion Matrix</t>
  </si>
  <si>
    <t>Fold</t>
  </si>
  <si>
    <t>Validation</t>
  </si>
  <si>
    <t>Test</t>
  </si>
  <si>
    <t>Type</t>
  </si>
  <si>
    <t>Name</t>
  </si>
  <si>
    <t>Depth</t>
  </si>
  <si>
    <t>medicalnet</t>
  </si>
  <si>
    <t>Fresh</t>
  </si>
  <si>
    <t>Medical-pretrained</t>
  </si>
  <si>
    <t>resnet3d</t>
  </si>
  <si>
    <t>resnet3d (1ch)</t>
  </si>
  <si>
    <t>resnet3d (3ch)</t>
  </si>
  <si>
    <t>Video-pretrained</t>
  </si>
  <si>
    <t>ViViT (1ch)</t>
  </si>
  <si>
    <t>ViViT (3ch)</t>
  </si>
  <si>
    <t>ViViT</t>
  </si>
  <si>
    <t>Best Epoch</t>
  </si>
  <si>
    <t>vivit_random_3ch</t>
  </si>
  <si>
    <t>vivit_random</t>
  </si>
  <si>
    <t>vivit_pretrained</t>
  </si>
  <si>
    <t>resnet3d-50</t>
  </si>
  <si>
    <t>resnet3d-34</t>
  </si>
  <si>
    <t>resnet3d-18</t>
  </si>
  <si>
    <t>medicalnet-50</t>
  </si>
  <si>
    <t>medicalnet-34</t>
  </si>
  <si>
    <t>medicalnet-18</t>
  </si>
  <si>
    <t>fresh-resnet3d-50-3ch</t>
  </si>
  <si>
    <t>fresh-resnet3d-50-1ch</t>
  </si>
  <si>
    <t>fresh-resnet3d-34-3ch</t>
  </si>
  <si>
    <t>fresh-resnet3d-34-1ch</t>
  </si>
  <si>
    <t>fresh-resnet3d-18-3ch</t>
  </si>
  <si>
    <t>fresh-resnet3d-18-1ch</t>
  </si>
  <si>
    <t>fresh-medicalnet-50</t>
  </si>
  <si>
    <t>fresh-medicalnet-34</t>
  </si>
  <si>
    <t>fresh-medicalnet-18</t>
  </si>
  <si>
    <t>test_TP</t>
  </si>
  <si>
    <t>test_FN</t>
  </si>
  <si>
    <t>test_FP</t>
  </si>
  <si>
    <t>test_TN</t>
  </si>
  <si>
    <t>test_average_precision</t>
  </si>
  <si>
    <t>test_auroc</t>
  </si>
  <si>
    <t>test_f1</t>
  </si>
  <si>
    <t>test_recall</t>
  </si>
  <si>
    <t>test_precision</t>
  </si>
  <si>
    <t>test_accuracy</t>
  </si>
  <si>
    <t>validate_TP</t>
  </si>
  <si>
    <t>validate_FN</t>
  </si>
  <si>
    <t>validate_FP</t>
  </si>
  <si>
    <t>validate_TN</t>
  </si>
  <si>
    <t>validate_average_precision</t>
  </si>
  <si>
    <t>validate_auroc</t>
  </si>
  <si>
    <t>validate_f1</t>
  </si>
  <si>
    <t>validate_recall</t>
  </si>
  <si>
    <t>validate_precision</t>
  </si>
  <si>
    <t>validate_accuracy</t>
  </si>
  <si>
    <t>best_epoch</t>
  </si>
  <si>
    <t>fold</t>
  </si>
  <si>
    <t>model_name</t>
  </si>
  <si>
    <t>AP</t>
  </si>
  <si>
    <t>Pretrained</t>
  </si>
  <si>
    <t>Training</t>
  </si>
  <si>
    <t>Fresh Epoch</t>
  </si>
  <si>
    <t>Pretrained Epoch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</si>
  <si>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</si>
  <si>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</si>
  <si>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</si>
  <si>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</si>
  <si>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</si>
  <si>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</si>
  <si>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</si>
  <si>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</si>
  <si>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</si>
  <si>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</si>
  <si>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</si>
  <si>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Resnet3d (1ch)</t>
  </si>
  <si>
    <t>Resnet3d (3ch)</t>
  </si>
  <si>
    <t>1ch</t>
  </si>
  <si>
    <t>3ch</t>
  </si>
  <si>
    <t>Epoch (d18)</t>
  </si>
  <si>
    <t>Epoch (d34)</t>
  </si>
  <si>
    <t>Epoch (d50)</t>
  </si>
  <si>
    <t>Epoch (1ch)</t>
  </si>
  <si>
    <t>Epoch (3ch)</t>
  </si>
  <si>
    <t>Drop</t>
  </si>
  <si>
    <t>Drop (Validate - Test)</t>
  </si>
  <si>
    <t>resnet3d(1ch)</t>
  </si>
  <si>
    <t>resnet3d(3ch)</t>
  </si>
  <si>
    <t>ViViT 1ch</t>
  </si>
  <si>
    <t>ViViT 3ch</t>
  </si>
  <si>
    <t>MedicalNet</t>
  </si>
  <si>
    <t>ResNet3D (1ch)</t>
  </si>
  <si>
    <t>ResNet3D (3ch)</t>
  </si>
  <si>
    <t>ResNet3D</t>
  </si>
  <si>
    <t>ViViT x Resnet3D-18 (pretrained)</t>
  </si>
  <si>
    <t>ResNet3D-18</t>
  </si>
  <si>
    <t>medicalnet-18-2stage</t>
  </si>
  <si>
    <t>medicalnet-34-2stage</t>
  </si>
  <si>
    <t>medicalnet-50-2stage</t>
  </si>
  <si>
    <t>resnet3d-18-2stage</t>
  </si>
  <si>
    <t>resnet3d-34-2stage</t>
  </si>
  <si>
    <t>resnet3d-50-2stage</t>
  </si>
  <si>
    <t>vivit_pretrained-2stage</t>
  </si>
  <si>
    <t>Medical-pretrained (2stage)</t>
  </si>
  <si>
    <t>Video-pretrained (2stage)</t>
  </si>
  <si>
    <t>FT</t>
  </si>
  <si>
    <t>LPFT</t>
  </si>
  <si>
    <t>Medicalnet</t>
  </si>
  <si>
    <t>Resnet3d</t>
  </si>
  <si>
    <t>MedicalNet-18</t>
  </si>
  <si>
    <t>MedicalNet-34</t>
  </si>
  <si>
    <t>MedicalNet-50</t>
  </si>
  <si>
    <t>ResNet3D-34</t>
  </si>
  <si>
    <t>ResNet3D-50</t>
  </si>
  <si>
    <t>Y axis</t>
  </si>
  <si>
    <t>AUROC diff</t>
  </si>
  <si>
    <t>AP Diff</t>
  </si>
  <si>
    <t>Title AUROC</t>
  </si>
  <si>
    <t>Title AP</t>
  </si>
  <si>
    <t>External</t>
  </si>
  <si>
    <t>External (LUNA16)</t>
  </si>
  <si>
    <t>Resnet</t>
  </si>
  <si>
    <t>LUNA16</t>
  </si>
  <si>
    <t>MEAN</t>
  </si>
  <si>
    <t>SD</t>
  </si>
  <si>
    <t>FRESH</t>
  </si>
  <si>
    <t>PRETRAINED</t>
  </si>
  <si>
    <t>Pearson (ALL)</t>
  </si>
  <si>
    <t>Pearson (Resnets)</t>
  </si>
  <si>
    <t>t-Test: Paired Two Sample for Means</t>
  </si>
  <si>
    <t>medicalnet-18-luna16double</t>
  </si>
  <si>
    <t>medicalnet-34-luna16double</t>
  </si>
  <si>
    <t>medicalnet-50-luna16double</t>
  </si>
  <si>
    <t>resnet3d-18-luna16double</t>
  </si>
  <si>
    <t>resnet3d-34-luna16double</t>
  </si>
  <si>
    <t>resnet3d-50-luna16double</t>
  </si>
  <si>
    <t>vivit_pretrained-luna16double</t>
  </si>
  <si>
    <t>LUNA15-26</t>
  </si>
  <si>
    <t>Double</t>
  </si>
  <si>
    <t>Medicalnet50 - AUROC</t>
  </si>
  <si>
    <t>MedicalNet50 - AP</t>
  </si>
  <si>
    <t>Variable 1</t>
  </si>
  <si>
    <t>Variable 2</t>
  </si>
  <si>
    <t>ResNet50 - F1</t>
  </si>
  <si>
    <t>ResNet50 - AP</t>
  </si>
  <si>
    <t>ResNet50 - AUROC</t>
  </si>
  <si>
    <t>Video</t>
  </si>
  <si>
    <t>Medical</t>
  </si>
  <si>
    <t>AUROC18</t>
  </si>
  <si>
    <t>AUROC34</t>
  </si>
  <si>
    <t>AUROC50</t>
  </si>
  <si>
    <t>AP18</t>
  </si>
  <si>
    <t>AP34</t>
  </si>
  <si>
    <t>AP50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</si>
</sst>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C9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39997558519241921"/>
        <bgColor indexed="65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theme="4" tint="0.499984740745262"/>
      </bottom>
      <diagonal/>
    </border>
    <border>
      <left/>
      <right style="thin">
        <color indexed="64"/>
      </right>
      <top style="thin">
        <color indexed="64"/>
      </top>
      <bottom style="thick">
        <color theme="4" tint="0.499984740745262"/>
      </bottom>
      <diagonal/>
    </border>
    <border>
      <left/>
      <right style="thin">
        <color indexed="64"/>
      </right>
      <top/>
      <bottom style="thick">
        <color theme="4" tint="0.499984740745262"/>
      </bottom>
      <diagonal/>
    </border>
    <border>
      <left/>
      <right/>
      <top style="thick">
        <color theme="4" tint="0.499984740745262"/>
      </top>
      <bottom style="medium">
        <color indexed="64"/>
      </bottom>
      <diagonal/>
    </border>
    <border>
      <left/>
      <right style="thin">
        <color indexed="64"/>
      </right>
      <top style="thick">
        <color theme="4" tint="0.499984740745262"/>
      </top>
      <bottom style="medium">
        <color indexed="64"/>
      </bottom>
      <diagonal/>
    </border>
  </borders>
  <cellStyleXfs count="19">
    <xf numFmtId="0" fontId="0" fillId="0" borderId="0"/>
    <xf numFmtId="0" fontId="5" fillId="12" borderId="20" applyNumberFormat="0" applyAlignment="0" applyProtection="0"/>
    <xf numFmtId="0" fontId="6" fillId="17" borderId="0" applyNumberFormat="0" applyBorder="0" applyAlignment="0" applyProtection="0"/>
    <xf numFmtId="0" fontId="8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8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9" fillId="0" borderId="37" applyNumberFormat="0" applyFill="0" applyAlignment="0" applyProtection="0"/>
    <xf numFmtId="0" fontId="10" fillId="0" borderId="0" applyNumberFormat="0" applyFill="0" applyBorder="0" applyAlignment="0" applyProtection="0"/>
    <xf numFmtId="0" fontId="6" fillId="25" borderId="0" applyNumberFormat="0" applyBorder="0" applyAlignment="0" applyProtection="0"/>
    <xf numFmtId="0" fontId="8" fillId="26" borderId="0" applyNumberFormat="0" applyBorder="0" applyAlignment="0" applyProtection="0"/>
    <xf numFmtId="0" fontId="6" fillId="27" borderId="0" applyNumberFormat="0" applyBorder="0" applyAlignment="0" applyProtection="0"/>
    <xf numFmtId="0" fontId="8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</cellStyleXfs>
  <cellXfs count="2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5" xfId="0" applyBorder="1"/>
    <xf numFmtId="0" fontId="0" fillId="3" borderId="6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0" borderId="9" xfId="0" applyBorder="1"/>
    <xf numFmtId="0" fontId="0" fillId="0" borderId="1" xfId="0" applyBorder="1"/>
    <xf numFmtId="0" fontId="0" fillId="0" borderId="11" xfId="0" applyBorder="1"/>
    <xf numFmtId="0" fontId="0" fillId="0" borderId="13" xfId="0" applyBorder="1"/>
    <xf numFmtId="0" fontId="0" fillId="0" borderId="3" xfId="0" applyBorder="1"/>
    <xf numFmtId="0" fontId="0" fillId="0" borderId="10" xfId="0" applyBorder="1"/>
    <xf numFmtId="0" fontId="0" fillId="0" borderId="6" xfId="0" applyBorder="1"/>
    <xf numFmtId="0" fontId="0" fillId="0" borderId="7" xfId="0" applyBorder="1"/>
    <xf numFmtId="0" fontId="0" fillId="0" borderId="0" xfId="0" quotePrefix="1"/>
    <xf numFmtId="0" fontId="1" fillId="0" borderId="0" xfId="0" applyFont="1"/>
    <xf numFmtId="0" fontId="0" fillId="0" borderId="19" xfId="0" applyBorder="1"/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/>
    <xf numFmtId="0" fontId="0" fillId="11" borderId="0" xfId="0" applyFill="1"/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2" xfId="0" applyBorder="1"/>
    <xf numFmtId="0" fontId="0" fillId="0" borderId="21" xfId="0" applyBorder="1"/>
    <xf numFmtId="0" fontId="0" fillId="0" borderId="23" xfId="0" applyBorder="1"/>
    <xf numFmtId="0" fontId="0" fillId="0" borderId="14" xfId="0" applyBorder="1"/>
    <xf numFmtId="0" fontId="5" fillId="12" borderId="20" xfId="1"/>
    <xf numFmtId="0" fontId="0" fillId="0" borderId="24" xfId="0" applyBorder="1"/>
    <xf numFmtId="0" fontId="0" fillId="0" borderId="2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14" borderId="0" xfId="0" applyFill="1"/>
    <xf numFmtId="0" fontId="0" fillId="14" borderId="19" xfId="0" applyFill="1" applyBorder="1"/>
    <xf numFmtId="0" fontId="0" fillId="14" borderId="1" xfId="0" applyFill="1" applyBorder="1"/>
    <xf numFmtId="0" fontId="0" fillId="16" borderId="0" xfId="0" applyFill="1"/>
    <xf numFmtId="0" fontId="0" fillId="0" borderId="5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0" xfId="0" applyBorder="1" applyAlignment="1">
      <alignment vertical="center"/>
    </xf>
    <xf numFmtId="0" fontId="8" fillId="18" borderId="6" xfId="3" applyBorder="1" applyAlignment="1">
      <alignment horizontal="center"/>
    </xf>
    <xf numFmtId="0" fontId="0" fillId="0" borderId="27" xfId="0" applyBorder="1"/>
    <xf numFmtId="0" fontId="6" fillId="17" borderId="9" xfId="2" applyBorder="1"/>
    <xf numFmtId="0" fontId="6" fillId="17" borderId="10" xfId="2" applyBorder="1"/>
    <xf numFmtId="0" fontId="6" fillId="17" borderId="0" xfId="2"/>
    <xf numFmtId="0" fontId="6" fillId="17" borderId="5" xfId="2" applyBorder="1"/>
    <xf numFmtId="0" fontId="6" fillId="17" borderId="1" xfId="2" applyBorder="1"/>
    <xf numFmtId="0" fontId="6" fillId="17" borderId="11" xfId="2" applyBorder="1"/>
    <xf numFmtId="0" fontId="6" fillId="17" borderId="13" xfId="2" applyBorder="1"/>
    <xf numFmtId="0" fontId="6" fillId="17" borderId="3" xfId="2" applyBorder="1"/>
    <xf numFmtId="0" fontId="6" fillId="21" borderId="0" xfId="6"/>
    <xf numFmtId="0" fontId="6" fillId="21" borderId="9" xfId="6" applyBorder="1"/>
    <xf numFmtId="0" fontId="6" fillId="21" borderId="10" xfId="6" applyBorder="1"/>
    <xf numFmtId="0" fontId="6" fillId="21" borderId="5" xfId="6" applyBorder="1"/>
    <xf numFmtId="0" fontId="6" fillId="21" borderId="1" xfId="6" applyBorder="1"/>
    <xf numFmtId="0" fontId="6" fillId="21" borderId="11" xfId="6" applyBorder="1"/>
    <xf numFmtId="0" fontId="6" fillId="21" borderId="13" xfId="6" applyBorder="1"/>
    <xf numFmtId="0" fontId="6" fillId="19" borderId="27" xfId="4" applyBorder="1"/>
    <xf numFmtId="0" fontId="6" fillId="19" borderId="0" xfId="4" applyBorder="1"/>
    <xf numFmtId="0" fontId="6" fillId="19" borderId="5" xfId="4" applyBorder="1"/>
    <xf numFmtId="0" fontId="6" fillId="19" borderId="24" xfId="4" applyBorder="1"/>
    <xf numFmtId="0" fontId="6" fillId="19" borderId="1" xfId="4" applyBorder="1"/>
    <xf numFmtId="0" fontId="6" fillId="19" borderId="11" xfId="4" applyBorder="1"/>
    <xf numFmtId="0" fontId="0" fillId="0" borderId="28" xfId="0" applyBorder="1"/>
    <xf numFmtId="0" fontId="0" fillId="0" borderId="25" xfId="0" applyBorder="1"/>
    <xf numFmtId="0" fontId="0" fillId="0" borderId="18" xfId="0" applyBorder="1"/>
    <xf numFmtId="0" fontId="0" fillId="0" borderId="32" xfId="0" applyBorder="1"/>
    <xf numFmtId="0" fontId="0" fillId="0" borderId="34" xfId="0" applyBorder="1"/>
    <xf numFmtId="0" fontId="6" fillId="23" borderId="31" xfId="8" applyBorder="1"/>
    <xf numFmtId="0" fontId="6" fillId="23" borderId="32" xfId="8" applyBorder="1"/>
    <xf numFmtId="0" fontId="6" fillId="23" borderId="33" xfId="8" applyBorder="1"/>
    <xf numFmtId="0" fontId="6" fillId="23" borderId="34" xfId="8" applyBorder="1"/>
    <xf numFmtId="0" fontId="0" fillId="0" borderId="30" xfId="0" applyBorder="1"/>
    <xf numFmtId="0" fontId="6" fillId="24" borderId="31" xfId="9" applyBorder="1"/>
    <xf numFmtId="0" fontId="6" fillId="24" borderId="32" xfId="9" applyBorder="1"/>
    <xf numFmtId="0" fontId="6" fillId="24" borderId="33" xfId="9" applyBorder="1"/>
    <xf numFmtId="0" fontId="6" fillId="24" borderId="34" xfId="9" applyBorder="1"/>
    <xf numFmtId="0" fontId="6" fillId="30" borderId="28" xfId="17" applyBorder="1"/>
    <xf numFmtId="0" fontId="6" fillId="30" borderId="9" xfId="17" applyBorder="1"/>
    <xf numFmtId="0" fontId="6" fillId="30" borderId="10" xfId="17" applyBorder="1"/>
    <xf numFmtId="0" fontId="6" fillId="30" borderId="27" xfId="17" applyBorder="1"/>
    <xf numFmtId="0" fontId="6" fillId="30" borderId="0" xfId="17" applyBorder="1"/>
    <xf numFmtId="0" fontId="6" fillId="30" borderId="5" xfId="17" applyBorder="1"/>
    <xf numFmtId="0" fontId="6" fillId="29" borderId="28" xfId="16" applyBorder="1"/>
    <xf numFmtId="0" fontId="6" fillId="29" borderId="9" xfId="16" applyBorder="1"/>
    <xf numFmtId="0" fontId="6" fillId="29" borderId="10" xfId="16" applyBorder="1"/>
    <xf numFmtId="0" fontId="6" fillId="29" borderId="27" xfId="16" applyBorder="1"/>
    <xf numFmtId="0" fontId="6" fillId="29" borderId="0" xfId="16" applyBorder="1"/>
    <xf numFmtId="0" fontId="6" fillId="29" borderId="5" xfId="16" applyBorder="1"/>
    <xf numFmtId="0" fontId="6" fillId="17" borderId="28" xfId="2" applyBorder="1"/>
    <xf numFmtId="0" fontId="6" fillId="17" borderId="27" xfId="2" applyBorder="1"/>
    <xf numFmtId="0" fontId="6" fillId="17" borderId="0" xfId="2" applyBorder="1"/>
    <xf numFmtId="0" fontId="6" fillId="30" borderId="24" xfId="17" applyBorder="1"/>
    <xf numFmtId="0" fontId="6" fillId="30" borderId="1" xfId="17" applyBorder="1"/>
    <xf numFmtId="0" fontId="6" fillId="30" borderId="11" xfId="17" applyBorder="1"/>
    <xf numFmtId="0" fontId="6" fillId="29" borderId="24" xfId="16" applyBorder="1"/>
    <xf numFmtId="0" fontId="6" fillId="29" borderId="1" xfId="16" applyBorder="1"/>
    <xf numFmtId="0" fontId="6" fillId="29" borderId="11" xfId="16" applyBorder="1"/>
    <xf numFmtId="0" fontId="6" fillId="17" borderId="24" xfId="2" applyBorder="1"/>
    <xf numFmtId="0" fontId="2" fillId="0" borderId="38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7" fillId="18" borderId="16" xfId="3" applyFont="1" applyBorder="1" applyAlignment="1">
      <alignment horizontal="center"/>
    </xf>
    <xf numFmtId="0" fontId="7" fillId="18" borderId="12" xfId="3" applyFont="1" applyBorder="1" applyAlignment="1">
      <alignment horizontal="center"/>
    </xf>
    <xf numFmtId="0" fontId="7" fillId="18" borderId="4" xfId="3" applyFont="1" applyBorder="1" applyAlignment="1">
      <alignment horizontal="center"/>
    </xf>
    <xf numFmtId="0" fontId="6" fillId="20" borderId="2" xfId="5" applyBorder="1" applyAlignment="1">
      <alignment horizontal="center" vertical="center"/>
    </xf>
    <xf numFmtId="0" fontId="6" fillId="20" borderId="6" xfId="5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7" borderId="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8" fillId="18" borderId="4" xfId="3" applyBorder="1" applyAlignment="1">
      <alignment horizontal="center"/>
    </xf>
    <xf numFmtId="0" fontId="8" fillId="18" borderId="2" xfId="3" applyBorder="1" applyAlignment="1">
      <alignment horizontal="center"/>
    </xf>
    <xf numFmtId="0" fontId="8" fillId="18" borderId="4" xfId="3" applyBorder="1" applyAlignment="1">
      <alignment horizontal="center" vertical="center"/>
    </xf>
    <xf numFmtId="0" fontId="8" fillId="18" borderId="7" xfId="3" applyBorder="1" applyAlignment="1">
      <alignment horizontal="center" vertical="center"/>
    </xf>
    <xf numFmtId="0" fontId="8" fillId="18" borderId="2" xfId="3" applyBorder="1" applyAlignment="1">
      <alignment horizontal="center" vertical="center"/>
    </xf>
    <xf numFmtId="0" fontId="8" fillId="18" borderId="6" xfId="3" applyBorder="1" applyAlignment="1">
      <alignment horizontal="center" vertical="center"/>
    </xf>
    <xf numFmtId="0" fontId="1" fillId="4" borderId="16" xfId="0" applyFont="1" applyFill="1" applyBorder="1" applyAlignment="1">
      <alignment horizontal="center"/>
    </xf>
    <xf numFmtId="0" fontId="6" fillId="20" borderId="4" xfId="5" applyBorder="1" applyAlignment="1">
      <alignment horizontal="center" vertical="center"/>
    </xf>
    <xf numFmtId="0" fontId="6" fillId="20" borderId="7" xfId="5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10" borderId="24" xfId="0" applyFont="1" applyFill="1" applyBorder="1" applyAlignment="1">
      <alignment horizontal="center"/>
    </xf>
    <xf numFmtId="0" fontId="0" fillId="7" borderId="25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1" fillId="10" borderId="16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10" fillId="0" borderId="0" xfId="1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9" fillId="0" borderId="39" xfId="10" applyBorder="1" applyAlignment="1">
      <alignment horizontal="center"/>
    </xf>
    <xf numFmtId="0" fontId="9" fillId="0" borderId="40" xfId="10" applyBorder="1" applyAlignment="1">
      <alignment horizontal="center"/>
    </xf>
    <xf numFmtId="0" fontId="9" fillId="0" borderId="37" xfId="10" applyAlignment="1">
      <alignment horizontal="center"/>
    </xf>
    <xf numFmtId="0" fontId="9" fillId="0" borderId="41" xfId="10" applyBorder="1" applyAlignment="1">
      <alignment horizontal="center"/>
    </xf>
    <xf numFmtId="0" fontId="8" fillId="22" borderId="24" xfId="7" applyBorder="1" applyAlignment="1">
      <alignment horizontal="center"/>
    </xf>
    <xf numFmtId="0" fontId="8" fillId="22" borderId="1" xfId="7" applyBorder="1" applyAlignment="1">
      <alignment horizontal="center"/>
    </xf>
    <xf numFmtId="0" fontId="8" fillId="28" borderId="24" xfId="15" applyBorder="1" applyAlignment="1">
      <alignment horizontal="center"/>
    </xf>
    <xf numFmtId="0" fontId="8" fillId="28" borderId="1" xfId="15" applyBorder="1" applyAlignment="1">
      <alignment horizontal="center"/>
    </xf>
    <xf numFmtId="0" fontId="8" fillId="26" borderId="24" xfId="13" applyBorder="1" applyAlignment="1">
      <alignment horizontal="center"/>
    </xf>
    <xf numFmtId="0" fontId="8" fillId="26" borderId="1" xfId="13" applyBorder="1" applyAlignment="1">
      <alignment horizontal="center"/>
    </xf>
    <xf numFmtId="0" fontId="6" fillId="31" borderId="2" xfId="18" applyBorder="1" applyAlignment="1">
      <alignment horizontal="center" vertical="center"/>
    </xf>
    <xf numFmtId="0" fontId="6" fillId="31" borderId="6" xfId="18" applyBorder="1" applyAlignment="1">
      <alignment horizontal="center" vertical="center"/>
    </xf>
    <xf numFmtId="0" fontId="6" fillId="27" borderId="2" xfId="14" applyBorder="1" applyAlignment="1">
      <alignment horizontal="center" vertical="center"/>
    </xf>
    <xf numFmtId="0" fontId="6" fillId="27" borderId="6" xfId="14" applyBorder="1" applyAlignment="1">
      <alignment horizontal="center" vertical="center"/>
    </xf>
    <xf numFmtId="0" fontId="6" fillId="25" borderId="2" xfId="12" applyBorder="1" applyAlignment="1">
      <alignment horizontal="center" vertical="center"/>
    </xf>
    <xf numFmtId="0" fontId="6" fillId="25" borderId="6" xfId="12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8" borderId="4" xfId="0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0" fillId="8" borderId="3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22" borderId="0" xfId="7" applyAlignment="1">
      <alignment horizontal="center"/>
    </xf>
    <xf numFmtId="0" fontId="8" fillId="22" borderId="13" xfId="7" applyBorder="1" applyAlignment="1">
      <alignment horizontal="center"/>
    </xf>
    <xf numFmtId="0" fontId="0" fillId="24" borderId="29" xfId="9" applyFont="1" applyBorder="1" applyAlignment="1">
      <alignment horizontal="center"/>
    </xf>
    <xf numFmtId="0" fontId="6" fillId="24" borderId="30" xfId="9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23" borderId="29" xfId="8" applyFont="1" applyBorder="1" applyAlignment="1">
      <alignment horizontal="center"/>
    </xf>
    <xf numFmtId="0" fontId="6" fillId="23" borderId="30" xfId="8" applyBorder="1" applyAlignment="1">
      <alignment horizontal="center"/>
    </xf>
    <xf numFmtId="0" fontId="8" fillId="18" borderId="16" xfId="3" applyBorder="1" applyAlignment="1">
      <alignment horizontal="center"/>
    </xf>
    <xf numFmtId="0" fontId="0" fillId="14" borderId="14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13" borderId="16" xfId="0" applyFont="1" applyFill="1" applyBorder="1" applyAlignment="1">
      <alignment horizontal="center"/>
    </xf>
    <xf numFmtId="0" fontId="1" fillId="13" borderId="12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15" borderId="16" xfId="0" applyFont="1" applyFill="1" applyBorder="1" applyAlignment="1">
      <alignment horizontal="center"/>
    </xf>
    <xf numFmtId="0" fontId="1" fillId="15" borderId="12" xfId="0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0" fontId="0" fillId="16" borderId="14" xfId="0" applyFill="1" applyBorder="1" applyAlignment="1">
      <alignment horizontal="center" vertical="center"/>
    </xf>
    <xf numFmtId="0" fontId="0" fillId="16" borderId="15" xfId="0" applyFill="1" applyBorder="1" applyAlignment="1">
      <alignment horizontal="center" vertical="center"/>
    </xf>
    <xf numFmtId="0" fontId="0" fillId="0" borderId="0" xfId="0" applyFill="1" applyBorder="1" applyAlignment="1"/>
    <xf numFmtId="0" fontId="0" fillId="0" borderId="19" xfId="0" applyFill="1" applyBorder="1" applyAlignment="1"/>
    <xf numFmtId="0" fontId="2" fillId="0" borderId="8" xfId="0" applyFont="1" applyFill="1" applyBorder="1" applyAlignment="1">
      <alignment horizontal="center"/>
    </xf>
  </cellXfs>
  <cellStyles count="19">
    <cellStyle name="20% - Accent2" xfId="2" builtinId="34"/>
    <cellStyle name="20% - Accent3" xfId="16" builtinId="38"/>
    <cellStyle name="20% - Accent4" xfId="17" builtinId="42"/>
    <cellStyle name="20% - Accent5" xfId="4" builtinId="46"/>
    <cellStyle name="20% - Accent6" xfId="6" builtinId="50"/>
    <cellStyle name="40% - Accent1" xfId="12" builtinId="31"/>
    <cellStyle name="40% - Accent2" xfId="8" builtinId="35"/>
    <cellStyle name="40% - Accent3" xfId="9" builtinId="39"/>
    <cellStyle name="60% - Accent2" xfId="14" builtinId="36"/>
    <cellStyle name="60% - Accent5" xfId="5" builtinId="48"/>
    <cellStyle name="60% - Accent6" xfId="18" builtinId="52"/>
    <cellStyle name="Accent1" xfId="7" builtinId="29"/>
    <cellStyle name="Accent2" xfId="13" builtinId="33"/>
    <cellStyle name="Accent3" xfId="15" builtinId="37"/>
    <cellStyle name="Accent5" xfId="3" builtinId="45"/>
    <cellStyle name="Heading 2" xfId="10" builtinId="17"/>
    <cellStyle name="Heading 4" xfId="11" builtinId="19"/>
    <cellStyle name="Input" xfId="1" builtinId="20"/>
    <cellStyle name="Normal" xfId="0" builtinId="0"/>
  </cellStyles>
  <dxfs count="8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AUROC Comparison Between Fresh and Pretrained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881815863630449E-2"/>
          <c:y val="0.13312673484605766"/>
          <c:w val="0.69749238461980578"/>
          <c:h val="0.80163256279469342"/>
        </c:manualLayout>
      </c:layout>
      <c:scatterChart>
        <c:scatterStyle val="lineMarker"/>
        <c:varyColors val="0"/>
        <c:ser>
          <c:idx val="0"/>
          <c:order val="0"/>
          <c:tx>
            <c:v>Fresh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76200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numFmt formatCode="0.0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18B-46FF-8162-26B17A5DA0A9}"/>
                </c:ext>
              </c:extLst>
            </c:dLbl>
            <c:numFmt formatCode="0.000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x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'Dumbbell Plot'!$J$4:$J$10</c:f>
                <c:numCache>
                  <c:formatCode>General</c:formatCode>
                  <c:ptCount val="7"/>
                  <c:pt idx="0">
                    <c:v>-4.5794546604157604E-3</c:v>
                  </c:pt>
                  <c:pt idx="1">
                    <c:v>-2.6455357670783775E-2</c:v>
                  </c:pt>
                  <c:pt idx="2">
                    <c:v>4.0429621934890636E-2</c:v>
                  </c:pt>
                  <c:pt idx="3">
                    <c:v>-4.4388979673385509E-2</c:v>
                  </c:pt>
                  <c:pt idx="4">
                    <c:v>-2.5513455271720664E-2</c:v>
                  </c:pt>
                  <c:pt idx="5">
                    <c:v>-3.5993576049804799E-2</c:v>
                  </c:pt>
                  <c:pt idx="6">
                    <c:v>-0.12463192641735077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'Dumbbell Plot'!$D$4:$D$10</c:f>
              <c:numCache>
                <c:formatCode>General</c:formatCode>
                <c:ptCount val="7"/>
                <c:pt idx="0">
                  <c:v>0.82562293112277929</c:v>
                </c:pt>
                <c:pt idx="1">
                  <c:v>0.82021479308605172</c:v>
                </c:pt>
                <c:pt idx="2">
                  <c:v>0.85186120867729132</c:v>
                </c:pt>
                <c:pt idx="3">
                  <c:v>0.82078206539154031</c:v>
                </c:pt>
                <c:pt idx="4">
                  <c:v>0.82679703831672624</c:v>
                </c:pt>
                <c:pt idx="5">
                  <c:v>0.82725766301155024</c:v>
                </c:pt>
                <c:pt idx="6">
                  <c:v>0.68312256038188868</c:v>
                </c:pt>
              </c:numCache>
            </c:numRef>
          </c:xVal>
          <c:yVal>
            <c:numRef>
              <c:f>'Dumbbell Plot'!$I$4:$I$10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8B-46FF-8162-26B17A5DA0A9}"/>
            </c:ext>
          </c:extLst>
        </c:ser>
        <c:ser>
          <c:idx val="1"/>
          <c:order val="1"/>
          <c:tx>
            <c:v>Video-pretrained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76200">
                <a:solidFill>
                  <a:schemeClr val="accent2"/>
                </a:solidFill>
              </a:ln>
              <a:effectLst/>
            </c:spPr>
          </c:marker>
          <c:dLbls>
            <c:numFmt formatCode="0.000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'Dumbbell Plot'!$G$7:$G$10</c:f>
              <c:numCache>
                <c:formatCode>General</c:formatCode>
                <c:ptCount val="4"/>
                <c:pt idx="0">
                  <c:v>0.86517104506492581</c:v>
                </c:pt>
                <c:pt idx="1">
                  <c:v>0.8523104935884469</c:v>
                </c:pt>
                <c:pt idx="2">
                  <c:v>0.86325123906135504</c:v>
                </c:pt>
                <c:pt idx="3">
                  <c:v>0.80775448679923945</c:v>
                </c:pt>
              </c:numCache>
            </c:numRef>
          </c:xVal>
          <c:yVal>
            <c:numRef>
              <c:f>'Dumbbell Plot'!$I$7:$I$10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8B-46FF-8162-26B17A5DA0A9}"/>
            </c:ext>
          </c:extLst>
        </c:ser>
        <c:ser>
          <c:idx val="2"/>
          <c:order val="2"/>
          <c:tx>
            <c:v>Medical-pretrained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76200">
                <a:solidFill>
                  <a:schemeClr val="accent6"/>
                </a:solidFill>
              </a:ln>
              <a:effectLst/>
            </c:spPr>
          </c:marker>
          <c:dLbls>
            <c:dLbl>
              <c:idx val="2"/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8B-46FF-8162-26B17A5DA0A9}"/>
                </c:ext>
              </c:extLst>
            </c:dLbl>
            <c:numFmt formatCode="0.000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'Dumbbell Plot'!$G$4:$G$6</c:f>
              <c:numCache>
                <c:formatCode>General</c:formatCode>
                <c:ptCount val="3"/>
                <c:pt idx="0">
                  <c:v>0.83020238578319505</c:v>
                </c:pt>
                <c:pt idx="1">
                  <c:v>0.84667015075683549</c:v>
                </c:pt>
                <c:pt idx="2">
                  <c:v>0.81143158674240068</c:v>
                </c:pt>
              </c:numCache>
            </c:numRef>
          </c:xVal>
          <c:yVal>
            <c:numRef>
              <c:f>'Dumbbell Plot'!$I$4:$I$6</c:f>
              <c:numCache>
                <c:formatCode>General</c:formatCode>
                <c:ptCount val="3"/>
                <c:pt idx="0">
                  <c:v>7</c:v>
                </c:pt>
                <c:pt idx="1">
                  <c:v>6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8B-46FF-8162-26B17A5DA0A9}"/>
            </c:ext>
          </c:extLst>
        </c:ser>
        <c:ser>
          <c:idx val="3"/>
          <c:order val="3"/>
          <c:tx>
            <c:strRef>
              <c:f>'Dumbbell Plot'!$L$3</c:f>
              <c:strCache>
                <c:ptCount val="1"/>
                <c:pt idx="0">
                  <c:v>Title AUROC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3">
                    <a:alpha val="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14C38B5-2C7A-4338-B32D-B160A373192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D18B-46FF-8162-26B17A5DA0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D4B6A07-52F7-4CEE-BABD-5C8122FDBCB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18B-46FF-8162-26B17A5DA0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079A89E-2047-44AE-9F3E-D5C6A50B0CE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18B-46FF-8162-26B17A5DA0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998231F-5C55-4611-960C-3813998CE89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18B-46FF-8162-26B17A5DA0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A8437A8-8420-46C6-9C59-DEEF95A3E12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18B-46FF-8162-26B17A5DA0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D06FE45-99A1-4F97-B659-4561C95E3E3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18B-46FF-8162-26B17A5DA0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1A18288-F69E-4F8A-8785-AC30B473EC3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18B-46FF-8162-26B17A5DA0A9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'Dumbbell Plot'!$L$4:$L$10</c:f>
              <c:numCache>
                <c:formatCode>General</c:formatCode>
                <c:ptCount val="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</c:numCache>
            </c:numRef>
          </c:xVal>
          <c:yVal>
            <c:numRef>
              <c:f>'Dumbbell Plot'!$I$4:$I$10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'Dumbbell Plot'!$A$13:$A$19</c15:f>
                <c15:dlblRangeCache>
                  <c:ptCount val="7"/>
                  <c:pt idx="0">
                    <c:v>MedicalNet-18</c:v>
                  </c:pt>
                  <c:pt idx="1">
                    <c:v>MedicalNet-34</c:v>
                  </c:pt>
                  <c:pt idx="2">
                    <c:v>MedicalNet-50</c:v>
                  </c:pt>
                  <c:pt idx="3">
                    <c:v>ResNet3D-18</c:v>
                  </c:pt>
                  <c:pt idx="4">
                    <c:v>ResNet3D-34</c:v>
                  </c:pt>
                  <c:pt idx="5">
                    <c:v>ResNet3D-50</c:v>
                  </c:pt>
                  <c:pt idx="6">
                    <c:v>ViViT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D18B-46FF-8162-26B17A5DA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380527"/>
        <c:axId val="705044111"/>
      </c:scatterChart>
      <c:valAx>
        <c:axId val="1124380527"/>
        <c:scaling>
          <c:orientation val="minMax"/>
          <c:min val="0.6000000000000000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044111"/>
        <c:crosses val="autoZero"/>
        <c:crossBetween val="midCat"/>
      </c:valAx>
      <c:valAx>
        <c:axId val="705044111"/>
        <c:scaling>
          <c:orientation val="minMax"/>
          <c:max val="7.5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124380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77609977584918677"/>
          <c:y val="0.40088899125516175"/>
          <c:w val="0.21046628421012858"/>
          <c:h val="0.18266165736513923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AP Comparison Between Fresh and Pretrained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881815863630449E-2"/>
          <c:y val="0.13312673484605766"/>
          <c:w val="0.69749238461980578"/>
          <c:h val="0.80163256279469342"/>
        </c:manualLayout>
      </c:layout>
      <c:scatterChart>
        <c:scatterStyle val="lineMarker"/>
        <c:varyColors val="0"/>
        <c:ser>
          <c:idx val="0"/>
          <c:order val="0"/>
          <c:tx>
            <c:v>Fresh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76200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numFmt formatCode="0.0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66-49EB-8409-A09AA5B5D231}"/>
                </c:ext>
              </c:extLst>
            </c:dLbl>
            <c:numFmt formatCode="0.000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x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'Dumbbell Plot'!$K$4:$K$10</c:f>
                <c:numCache>
                  <c:formatCode>General</c:formatCode>
                  <c:ptCount val="7"/>
                  <c:pt idx="0">
                    <c:v>-1.0923214256763514E-2</c:v>
                  </c:pt>
                  <c:pt idx="1">
                    <c:v>-5.1598675549030082E-2</c:v>
                  </c:pt>
                  <c:pt idx="2">
                    <c:v>8.0277401953935679E-2</c:v>
                  </c:pt>
                  <c:pt idx="3">
                    <c:v>-7.8133270144462752E-2</c:v>
                  </c:pt>
                  <c:pt idx="4">
                    <c:v>-3.6957830190658236E-2</c:v>
                  </c:pt>
                  <c:pt idx="5">
                    <c:v>-0.10788505524396924</c:v>
                  </c:pt>
                  <c:pt idx="6">
                    <c:v>-0.13358171284198778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'Dumbbell Plot'!$E$4:$E$10</c:f>
              <c:numCache>
                <c:formatCode>General</c:formatCode>
                <c:ptCount val="7"/>
                <c:pt idx="0">
                  <c:v>0.331073477864265</c:v>
                </c:pt>
                <c:pt idx="1">
                  <c:v>0.29959116131067248</c:v>
                </c:pt>
                <c:pt idx="2">
                  <c:v>0.35931050777435247</c:v>
                </c:pt>
                <c:pt idx="3">
                  <c:v>0.33581732958555177</c:v>
                </c:pt>
                <c:pt idx="4">
                  <c:v>0.34977200627326926</c:v>
                </c:pt>
                <c:pt idx="5">
                  <c:v>0.32651930302381449</c:v>
                </c:pt>
                <c:pt idx="6">
                  <c:v>0.154462050646543</c:v>
                </c:pt>
              </c:numCache>
            </c:numRef>
          </c:xVal>
          <c:yVal>
            <c:numRef>
              <c:f>'Dumbbell Plot'!$I$4:$I$10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66-49EB-8409-A09AA5B5D231}"/>
            </c:ext>
          </c:extLst>
        </c:ser>
        <c:ser>
          <c:idx val="1"/>
          <c:order val="1"/>
          <c:tx>
            <c:v>Video-pretrained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76200">
                <a:solidFill>
                  <a:schemeClr val="accent2"/>
                </a:solidFill>
              </a:ln>
              <a:effectLst/>
            </c:spPr>
          </c:marker>
          <c:dLbls>
            <c:numFmt formatCode="0.000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'Dumbbell Plot'!$H$7:$H$10</c:f>
              <c:numCache>
                <c:formatCode>General</c:formatCode>
                <c:ptCount val="4"/>
                <c:pt idx="0">
                  <c:v>0.41395059973001452</c:v>
                </c:pt>
                <c:pt idx="1">
                  <c:v>0.3867298364639275</c:v>
                </c:pt>
                <c:pt idx="2">
                  <c:v>0.43440435826778373</c:v>
                </c:pt>
                <c:pt idx="3">
                  <c:v>0.28804376348853078</c:v>
                </c:pt>
              </c:numCache>
            </c:numRef>
          </c:xVal>
          <c:yVal>
            <c:numRef>
              <c:f>'Dumbbell Plot'!$I$7:$I$10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66-49EB-8409-A09AA5B5D231}"/>
            </c:ext>
          </c:extLst>
        </c:ser>
        <c:ser>
          <c:idx val="2"/>
          <c:order val="2"/>
          <c:tx>
            <c:v>Medical-pretrained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76200">
                <a:solidFill>
                  <a:schemeClr val="accent6"/>
                </a:solidFill>
              </a:ln>
              <a:effectLst/>
            </c:spPr>
          </c:marker>
          <c:dLbls>
            <c:dLbl>
              <c:idx val="2"/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66-49EB-8409-A09AA5B5D231}"/>
                </c:ext>
              </c:extLst>
            </c:dLbl>
            <c:numFmt formatCode="0.000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'Dumbbell Plot'!$H$4:$H$6</c:f>
              <c:numCache>
                <c:formatCode>General</c:formatCode>
                <c:ptCount val="3"/>
                <c:pt idx="0">
                  <c:v>0.34199669212102851</c:v>
                </c:pt>
                <c:pt idx="1">
                  <c:v>0.35118983685970256</c:v>
                </c:pt>
                <c:pt idx="2">
                  <c:v>0.27903310582041679</c:v>
                </c:pt>
              </c:numCache>
            </c:numRef>
          </c:xVal>
          <c:yVal>
            <c:numRef>
              <c:f>'Dumbbell Plot'!$I$4:$I$6</c:f>
              <c:numCache>
                <c:formatCode>General</c:formatCode>
                <c:ptCount val="3"/>
                <c:pt idx="0">
                  <c:v>7</c:v>
                </c:pt>
                <c:pt idx="1">
                  <c:v>6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66-49EB-8409-A09AA5B5D231}"/>
            </c:ext>
          </c:extLst>
        </c:ser>
        <c:ser>
          <c:idx val="3"/>
          <c:order val="3"/>
          <c:tx>
            <c:strRef>
              <c:f>'Dumbbell Plot'!$M$3</c:f>
              <c:strCache>
                <c:ptCount val="1"/>
                <c:pt idx="0">
                  <c:v>Title AP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3">
                    <a:alpha val="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01654A2-1BA5-4D4C-8361-DA2441AA6121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866-49EB-8409-A09AA5B5D23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436C3AB-C42F-4A5F-84BD-A33C8EB24D7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866-49EB-8409-A09AA5B5D23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31BC43A-E84C-45A1-B8E9-4068281123B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866-49EB-8409-A09AA5B5D23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AC58F4D-84C0-4021-AE53-16FA5F5C7FA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866-49EB-8409-A09AA5B5D23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98D3345-D5BB-4D0A-A2A4-FF650FB00F3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866-49EB-8409-A09AA5B5D23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601A7B4-C49B-4E57-A5D2-8CA0F9AF0FD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866-49EB-8409-A09AA5B5D23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256DB79-7F28-4287-B2BF-D9DAA956427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866-49EB-8409-A09AA5B5D231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'Dumbbell Plot'!$M$4:$M$10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'Dumbbell Plot'!$I$4:$I$10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'Dumbbell Plot'!$A$13:$A$19</c15:f>
                <c15:dlblRangeCache>
                  <c:ptCount val="7"/>
                  <c:pt idx="0">
                    <c:v>MedicalNet-18</c:v>
                  </c:pt>
                  <c:pt idx="1">
                    <c:v>MedicalNet-34</c:v>
                  </c:pt>
                  <c:pt idx="2">
                    <c:v>MedicalNet-50</c:v>
                  </c:pt>
                  <c:pt idx="3">
                    <c:v>ResNet3D-18</c:v>
                  </c:pt>
                  <c:pt idx="4">
                    <c:v>ResNet3D-34</c:v>
                  </c:pt>
                  <c:pt idx="5">
                    <c:v>ResNet3D-50</c:v>
                  </c:pt>
                  <c:pt idx="6">
                    <c:v>ViViT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1866-49EB-8409-A09AA5B5D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380527"/>
        <c:axId val="705044111"/>
      </c:scatterChart>
      <c:valAx>
        <c:axId val="1124380527"/>
        <c:scaling>
          <c:orientation val="minMax"/>
          <c:max val="0.5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044111"/>
        <c:crosses val="autoZero"/>
        <c:crossBetween val="midCat"/>
      </c:valAx>
      <c:valAx>
        <c:axId val="705044111"/>
        <c:scaling>
          <c:orientation val="minMax"/>
          <c:max val="7.5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124380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77609977584918677"/>
          <c:y val="0.40088899125516175"/>
          <c:w val="0.21046628421012858"/>
          <c:h val="0.18266165736513923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193806</xdr:colOff>
      <xdr:row>2</xdr:row>
      <xdr:rowOff>122613</xdr:rowOff>
    </xdr:from>
    <xdr:to>
      <xdr:col>23</xdr:col>
      <xdr:colOff>254000</xdr:colOff>
      <xdr:row>20</xdr:row>
      <xdr:rowOff>189872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692A2C6-EEF7-74D6-94DB-75A5F6EE1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190499</xdr:colOff>
      <xdr:row>22</xdr:row>
      <xdr:rowOff>106387</xdr:rowOff>
    </xdr:from>
    <xdr:to>
      <xdr:col>23</xdr:col>
      <xdr:colOff>249953</xdr:colOff>
      <xdr:row>41</xdr:row>
      <xdr:rowOff>22493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C0DE4D-488A-49CA-8318-5A3CFAFEEB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0.03041</cdr:x>
      <cdr:y>0.87948</cdr:y>
    </cdr:from>
    <cdr:to>
      <cdr:x>0.15693</cdr:x>
      <cdr:y>0.94714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A9968709-28D8-962F-F3E2-C2BE67DDDFEC}"/>
            </a:ext>
          </a:extLst>
        </cdr:cNvPr>
        <cdr:cNvSpPr/>
      </cdr:nvSpPr>
      <cdr:spPr>
        <a:xfrm xmlns:a="http://schemas.openxmlformats.org/drawingml/2006/main">
          <a:off x="187817" y="3110163"/>
          <a:ext cx="781429" cy="23925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0.00827</cdr:x>
      <cdr:y>0.0144</cdr:y>
    </cdr:from>
    <cdr:to>
      <cdr:x>0.12233</cdr:x>
      <cdr:y>0.08205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D44B512E-A309-B65E-F457-20894C72C769}"/>
            </a:ext>
          </a:extLst>
        </cdr:cNvPr>
        <cdr:cNvSpPr/>
      </cdr:nvSpPr>
      <cdr:spPr>
        <a:xfrm xmlns:a="http://schemas.openxmlformats.org/drawingml/2006/main">
          <a:off x="50800" y="50800"/>
          <a:ext cx="700279" cy="23873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0.00827</cdr:x>
      <cdr:y>0.0144</cdr:y>
    </cdr:from>
    <cdr:to>
      <cdr:x>0.12233</cdr:x>
      <cdr:y>0.08205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232F117E-8A5F-AFBE-9646-C2CF0BF59A01}"/>
            </a:ext>
          </a:extLst>
        </cdr:cNvPr>
        <cdr:cNvSpPr/>
      </cdr:nvSpPr>
      <cdr:spPr>
        <a:xfrm xmlns:a="http://schemas.openxmlformats.org/drawingml/2006/main">
          <a:off x="50800" y="50800"/>
          <a:ext cx="700279" cy="23873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0.00827</cdr:x>
      <cdr:y>0.0144</cdr:y>
    </cdr:from>
    <cdr:to>
      <cdr:x>0.14174</cdr:x>
      <cdr:y>0.08205</cdr:y>
    </cdr:to>
    <cdr:sp macro="" textlink="">
      <cdr:nvSpPr>
        <cdr:cNvPr id="5" name="Rectangle 4">
          <a:extLst xmlns:a="http://schemas.openxmlformats.org/drawingml/2006/main">
            <a:ext uri="{FF2B5EF4-FFF2-40B4-BE49-F238E27FC236}">
              <a16:creationId xmlns:a16="http://schemas.microsoft.com/office/drawing/2014/main" id="{03E2050B-3AB4-0438-B6C5-F69288584120}"/>
            </a:ext>
          </a:extLst>
        </cdr:cNvPr>
        <cdr:cNvSpPr/>
      </cdr:nvSpPr>
      <cdr:spPr>
        <a:xfrm xmlns:a="http://schemas.openxmlformats.org/drawingml/2006/main">
          <a:off x="50800" y="50800"/>
          <a:ext cx="819493" cy="23873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0.01134</cdr:x>
      <cdr:y>0.92207</cdr:y>
    </cdr:from>
    <cdr:to>
      <cdr:x>0.07406</cdr:x>
      <cdr:y>0.99443</cdr:y>
    </cdr:to>
    <cdr:sp macro="" textlink="">
      <cdr:nvSpPr>
        <cdr:cNvPr id="6" name="Rectangle 5">
          <a:extLst xmlns:a="http://schemas.openxmlformats.org/drawingml/2006/main">
            <a:ext uri="{FF2B5EF4-FFF2-40B4-BE49-F238E27FC236}">
              <a16:creationId xmlns:a16="http://schemas.microsoft.com/office/drawing/2014/main" id="{E0066EFE-56E9-C4CF-A906-08DC2A6665B8}"/>
            </a:ext>
          </a:extLst>
        </cdr:cNvPr>
        <cdr:cNvSpPr/>
      </cdr:nvSpPr>
      <cdr:spPr>
        <a:xfrm xmlns:a="http://schemas.openxmlformats.org/drawingml/2006/main">
          <a:off x="69652" y="3253696"/>
          <a:ext cx="385053" cy="255351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GB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0.02435</cdr:x>
      <cdr:y>0.91565</cdr:y>
    </cdr:from>
    <cdr:to>
      <cdr:x>0.09417</cdr:x>
      <cdr:y>0.99506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696D1CD-AA79-2396-FDAE-4D3BFD56BA73}"/>
            </a:ext>
          </a:extLst>
        </cdr:cNvPr>
        <cdr:cNvSpPr/>
      </cdr:nvSpPr>
      <cdr:spPr>
        <a:xfrm xmlns:a="http://schemas.openxmlformats.org/drawingml/2006/main">
          <a:off x="150396" y="3237390"/>
          <a:ext cx="431132" cy="280736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0.07468</cdr:x>
      <cdr:y>0.88871</cdr:y>
    </cdr:from>
    <cdr:to>
      <cdr:x>0.1795</cdr:x>
      <cdr:y>0.94827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14857174-456C-0429-2A88-EEDB4DE68ABB}"/>
            </a:ext>
          </a:extLst>
        </cdr:cNvPr>
        <cdr:cNvSpPr/>
      </cdr:nvSpPr>
      <cdr:spPr>
        <a:xfrm xmlns:a="http://schemas.openxmlformats.org/drawingml/2006/main">
          <a:off x="459713" y="3142140"/>
          <a:ext cx="645187" cy="210552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GB" kern="1200"/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4337EB22-4144-4761-B615-8CD699BF9210}" autoFormatId="16" applyNumberFormats="0" applyBorderFormats="0" applyFontFormats="0" applyPatternFormats="0" applyAlignmentFormats="0" applyWidthHeightFormats="0">
  <queryTableRefresh nextId="24">
    <queryTableFields count="12">
      <queryTableField id="1" name="model_name" tableColumnId="1"/>
      <queryTableField id="2" name="fold" tableColumnId="2"/>
      <queryTableField id="14" name="test_accuracy" tableColumnId="14"/>
      <queryTableField id="15" name="test_precision" tableColumnId="15"/>
      <queryTableField id="16" name="test_recall" tableColumnId="16"/>
      <queryTableField id="17" name="test_f1" tableColumnId="17"/>
      <queryTableField id="18" name="test_auroc" tableColumnId="18"/>
      <queryTableField id="19" name="test_average_precision" tableColumnId="19"/>
      <queryTableField id="20" name="test_TN" tableColumnId="20"/>
      <queryTableField id="21" name="test_FP" tableColumnId="21"/>
      <queryTableField id="22" name="test_FN" tableColumnId="22"/>
      <queryTableField id="23" name="test_TP" tableColumnId="23"/>
    </queryTableFields>
    <queryTableDeletedFields count="11">
      <deletedField name="best_epoch"/>
      <deletedField name="validate_accuracy"/>
      <deletedField name="validate_precision"/>
      <deletedField name="validate_recall"/>
      <deletedField name="validate_f1"/>
      <deletedField name="validate_auroc"/>
      <deletedField name="validate_average_precision"/>
      <deletedField name="validate_TN"/>
      <deletedField name="validate_FP"/>
      <deletedField name="validate_FN"/>
      <deletedField name="validate_TP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CB045C5-D225-4373-8F76-1A228516C438}" autoFormatId="16" applyNumberFormats="0" applyBorderFormats="0" applyFontFormats="0" applyPatternFormats="0" applyAlignmentFormats="0" applyWidthHeightFormats="0">
  <queryTableRefresh nextId="24">
    <queryTableFields count="23">
      <queryTableField id="1" name="model_name" tableColumnId="1"/>
      <queryTableField id="2" name="fold" tableColumnId="2"/>
      <queryTableField id="3" name="best_epoch" tableColumnId="3"/>
      <queryTableField id="4" name="validate_accuracy" tableColumnId="4"/>
      <queryTableField id="5" name="validate_precision" tableColumnId="5"/>
      <queryTableField id="6" name="validate_recall" tableColumnId="6"/>
      <queryTableField id="7" name="validate_f1" tableColumnId="7"/>
      <queryTableField id="8" name="validate_auroc" tableColumnId="8"/>
      <queryTableField id="9" name="validate_average_precision" tableColumnId="9"/>
      <queryTableField id="10" name="validate_TN" tableColumnId="10"/>
      <queryTableField id="11" name="validate_FP" tableColumnId="11"/>
      <queryTableField id="12" name="validate_FN" tableColumnId="12"/>
      <queryTableField id="13" name="validate_TP" tableColumnId="13"/>
      <queryTableField id="14" name="test_accuracy" tableColumnId="14"/>
      <queryTableField id="15" name="test_precision" tableColumnId="15"/>
      <queryTableField id="16" name="test_recall" tableColumnId="16"/>
      <queryTableField id="17" name="test_f1" tableColumnId="17"/>
      <queryTableField id="18" name="test_auroc" tableColumnId="18"/>
      <queryTableField id="19" name="test_average_precision" tableColumnId="19"/>
      <queryTableField id="20" name="test_TN" tableColumnId="20"/>
      <queryTableField id="21" name="test_FP" tableColumnId="21"/>
      <queryTableField id="22" name="test_FN" tableColumnId="22"/>
      <queryTableField id="23" name="test_TP" tableColumnId="2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7B3E8A5-B695-4B7F-9B76-19F5EB2FC638}" autoFormatId="16" applyNumberFormats="0" applyBorderFormats="0" applyFontFormats="0" applyPatternFormats="0" applyAlignmentFormats="0" applyWidthHeightFormats="0">
  <queryTableRefresh nextId="24">
    <queryTableFields count="23">
      <queryTableField id="1" name="model_name" tableColumnId="1"/>
      <queryTableField id="2" name="fold" tableColumnId="2"/>
      <queryTableField id="3" name="best_epoch" tableColumnId="3"/>
      <queryTableField id="4" name="validate_accuracy" tableColumnId="4"/>
      <queryTableField id="5" name="validate_precision" tableColumnId="5"/>
      <queryTableField id="6" name="validate_recall" tableColumnId="6"/>
      <queryTableField id="7" name="validate_f1" tableColumnId="7"/>
      <queryTableField id="8" name="validate_auroc" tableColumnId="8"/>
      <queryTableField id="9" name="validate_average_precision" tableColumnId="9"/>
      <queryTableField id="10" name="validate_TN" tableColumnId="10"/>
      <queryTableField id="11" name="validate_FP" tableColumnId="11"/>
      <queryTableField id="12" name="validate_FN" tableColumnId="12"/>
      <queryTableField id="13" name="validate_TP" tableColumnId="13"/>
      <queryTableField id="14" name="test_accuracy" tableColumnId="14"/>
      <queryTableField id="15" name="test_precision" tableColumnId="15"/>
      <queryTableField id="16" name="test_recall" tableColumnId="16"/>
      <queryTableField id="17" name="test_f1" tableColumnId="17"/>
      <queryTableField id="18" name="test_auroc" tableColumnId="18"/>
      <queryTableField id="19" name="test_average_precision" tableColumnId="19"/>
      <queryTableField id="20" name="test_TN" tableColumnId="20"/>
      <queryTableField id="21" name="test_FP" tableColumnId="21"/>
      <queryTableField id="22" name="test_FN" tableColumnId="22"/>
      <queryTableField id="23" name="test_TP" tableColumnId="2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CCCD7D-5348-4B26-91D3-C9A188F0BAA0}" name="Table3" displayName="Table3" ref="A1:W73" totalsRowShown="0">
  <autoFilter ref="A1:W73" xr:uid="{D8CCCD7D-5348-4B26-91D3-C9A188F0BAA0}"/>
  <tableColumns count="23">
    <tableColumn id="1" xr3:uid="{52DB1496-5686-4E66-BE7E-B3744949AEEC}" name="model_name"/>
    <tableColumn id="2" xr3:uid="{8F42E5DB-6D66-4A28-8DDB-34D5AF5DA6A3}" name="fold"/>
    <tableColumn id="3" xr3:uid="{3421E030-9529-4AEE-850B-B254D4FCC435}" name="best_epoch"/>
    <tableColumn id="4" xr3:uid="{AC608C1E-60A5-477B-AE0A-CD0312056A7B}" name="validate_accuracy"/>
    <tableColumn id="5" xr3:uid="{839411A0-AA0C-42D1-900F-844177C85891}" name="validate_precision"/>
    <tableColumn id="6" xr3:uid="{B94A8C01-97BB-4991-9544-467D0D310EB2}" name="validate_recall"/>
    <tableColumn id="7" xr3:uid="{39CAADA7-E77C-49B5-84B8-C93F9CA725A2}" name="validate_f1"/>
    <tableColumn id="8" xr3:uid="{931887B2-7970-4B25-A07F-361E189C3742}" name="validate_auroc"/>
    <tableColumn id="9" xr3:uid="{757D0EB8-8535-42B4-ABB1-87D5D4EECC58}" name="validate_average_precision"/>
    <tableColumn id="10" xr3:uid="{B2E699B1-3AB6-4C69-B630-38F175E04100}" name="validate_TN"/>
    <tableColumn id="11" xr3:uid="{7986E82D-14C6-48C4-9DD6-3814922B2B2C}" name="validate_FP"/>
    <tableColumn id="12" xr3:uid="{F51D42AD-AFC0-4850-BBF2-EF27917B8CD8}" name="validate_FN"/>
    <tableColumn id="13" xr3:uid="{D543AC0D-5506-4F2F-B11A-D3A526A4D9F4}" name="validate_TP"/>
    <tableColumn id="14" xr3:uid="{D1BE9CE3-B91E-4D9C-AFB5-E154050205BA}" name="test_accuracy"/>
    <tableColumn id="15" xr3:uid="{73EEA602-1760-471F-A852-3AD643DBAA46}" name="test_precision"/>
    <tableColumn id="16" xr3:uid="{6B795475-B70E-4FC9-884B-A08DB61671D2}" name="test_recall"/>
    <tableColumn id="17" xr3:uid="{DF6401E8-48A3-48BC-8820-0D953A02DAD9}" name="test_f1"/>
    <tableColumn id="18" xr3:uid="{CA287E5A-9AA0-430F-8926-D9ADF801C1CF}" name="test_auroc"/>
    <tableColumn id="19" xr3:uid="{42AE74AC-B9C5-40D0-846A-FB0AB8739BBB}" name="test_average_precision"/>
    <tableColumn id="20" xr3:uid="{13AA5E72-80AA-4B2A-A833-45BFE8FD553F}" name="test_TN"/>
    <tableColumn id="21" xr3:uid="{702B526E-C7C0-4089-A9B0-ACD59F6B6F13}" name="test_FP"/>
    <tableColumn id="22" xr3:uid="{88995E5E-0F9A-49E4-8A20-149E5C104AC5}" name="test_FN"/>
    <tableColumn id="23" xr3:uid="{9204317A-679A-4DFB-B984-7969A0075B59}" name="test_TP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4CBD0E-DA0A-482E-8C3E-9D1D166C2601}" name="luna16_k_fold_output" displayName="luna16_k_fold_output" ref="A1:L73" tableType="queryTable" totalsRowShown="0">
  <autoFilter ref="A1:L73" xr:uid="{BB4CBD0E-DA0A-482E-8C3E-9D1D166C2601}"/>
  <tableColumns count="12">
    <tableColumn id="1" xr3:uid="{AFB8699F-976E-4CEB-9CE2-1E282BE47E06}" uniqueName="1" name="model_name" queryTableFieldId="1" dataDxfId="810"/>
    <tableColumn id="2" xr3:uid="{A7009DB1-932D-44D4-964C-0BDF24127D94}" uniqueName="2" name="fold" queryTableFieldId="2"/>
    <tableColumn id="14" xr3:uid="{1A3D7F16-00A7-4835-8FA2-0EC5CF1951A7}" uniqueName="14" name="test_accuracy" queryTableFieldId="14"/>
    <tableColumn id="15" xr3:uid="{8DDA9C13-0047-4779-B097-E5B567D4BF41}" uniqueName="15" name="test_precision" queryTableFieldId="15"/>
    <tableColumn id="16" xr3:uid="{E08776A7-3452-4AE4-BE59-CEA9BD55E0D9}" uniqueName="16" name="test_recall" queryTableFieldId="16"/>
    <tableColumn id="17" xr3:uid="{6C4CC7C9-0BB0-41D1-87BF-FF5D1D257947}" uniqueName="17" name="test_f1" queryTableFieldId="17"/>
    <tableColumn id="18" xr3:uid="{2D7597FD-DBD4-49C6-81D2-52CDA231D3B4}" uniqueName="18" name="test_auroc" queryTableFieldId="18"/>
    <tableColumn id="19" xr3:uid="{F5944983-C133-4428-97B3-8D2D14AF3438}" uniqueName="19" name="test_average_precision" queryTableFieldId="19"/>
    <tableColumn id="20" xr3:uid="{C0A38774-A539-489C-91EE-34BD0A8CB6DC}" uniqueName="20" name="test_TN" queryTableFieldId="20"/>
    <tableColumn id="21" xr3:uid="{3434C251-FBCA-463A-825E-83BAB1CE8647}" uniqueName="21" name="test_FP" queryTableFieldId="21"/>
    <tableColumn id="22" xr3:uid="{33A63489-FC00-4F70-BAAB-FEB36D1F4179}" uniqueName="22" name="test_FN" queryTableFieldId="22"/>
    <tableColumn id="23" xr3:uid="{53706C63-7930-4AD3-B50F-415759AD8E9D}" uniqueName="23" name="test_TP" queryTableFieldId="2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17A3A8-870A-43B7-9FFF-006932CC6362}" name="k_fold_2stage_output__2" displayName="k_fold_2stage_output__2" ref="A1:W29" tableType="queryTable" totalsRowShown="0">
  <autoFilter ref="A1:W29" xr:uid="{9B17A3A8-870A-43B7-9FFF-006932CC6362}"/>
  <tableColumns count="23">
    <tableColumn id="1" xr3:uid="{E1378339-0AD2-44F0-9CC5-414825BCFF42}" uniqueName="1" name="model_name" queryTableFieldId="1" dataDxfId="809"/>
    <tableColumn id="2" xr3:uid="{FF3AA4D5-1D7B-40D0-81FF-37D7353CAEB5}" uniqueName="2" name="fold" queryTableFieldId="2"/>
    <tableColumn id="3" xr3:uid="{06D947F2-8BF5-4B91-B943-CF9207A467C0}" uniqueName="3" name="best_epoch" queryTableFieldId="3"/>
    <tableColumn id="4" xr3:uid="{B8E7C410-235F-43C8-9EAE-3710F8849F32}" uniqueName="4" name="validate_accuracy" queryTableFieldId="4"/>
    <tableColumn id="5" xr3:uid="{AD27F57E-9177-4980-B4C6-712CDD30D006}" uniqueName="5" name="validate_precision" queryTableFieldId="5"/>
    <tableColumn id="6" xr3:uid="{00152221-7B32-4ABE-A9D2-E2B2EBE926CB}" uniqueName="6" name="validate_recall" queryTableFieldId="6"/>
    <tableColumn id="7" xr3:uid="{04A86950-FF5B-4F9A-9186-8332BCB4772A}" uniqueName="7" name="validate_f1" queryTableFieldId="7"/>
    <tableColumn id="8" xr3:uid="{1C433021-3F0A-450A-95E9-9EA9882B522D}" uniqueName="8" name="validate_auroc" queryTableFieldId="8"/>
    <tableColumn id="9" xr3:uid="{DC2B4EA2-7757-4DC6-82E8-0A223C5311A0}" uniqueName="9" name="validate_average_precision" queryTableFieldId="9"/>
    <tableColumn id="10" xr3:uid="{2660C5AD-BBC6-4CD6-8712-32273C44D22E}" uniqueName="10" name="validate_TN" queryTableFieldId="10"/>
    <tableColumn id="11" xr3:uid="{5D209463-35F1-4708-95D0-A5ADBACA32F2}" uniqueName="11" name="validate_FP" queryTableFieldId="11"/>
    <tableColumn id="12" xr3:uid="{D5D30C6D-32C2-4B24-8DAF-4B133531DC4B}" uniqueName="12" name="validate_FN" queryTableFieldId="12"/>
    <tableColumn id="13" xr3:uid="{3EBA5C22-DE53-43B3-B3D9-2BEB9402591D}" uniqueName="13" name="validate_TP" queryTableFieldId="13"/>
    <tableColumn id="14" xr3:uid="{FB9E37EF-9345-4423-8141-B4AFE854FBC9}" uniqueName="14" name="test_accuracy" queryTableFieldId="14"/>
    <tableColumn id="15" xr3:uid="{B89D4DE3-ABD2-4369-B34B-B4F4FAACE0A8}" uniqueName="15" name="test_precision" queryTableFieldId="15"/>
    <tableColumn id="16" xr3:uid="{099F86AD-D066-49D0-8CF5-61E6E064F987}" uniqueName="16" name="test_recall" queryTableFieldId="16"/>
    <tableColumn id="17" xr3:uid="{FC1D3776-8FD8-4328-82CD-B8913144C9D9}" uniqueName="17" name="test_f1" queryTableFieldId="17"/>
    <tableColumn id="18" xr3:uid="{434CBFCB-A300-45F9-9147-14E6EE260D3B}" uniqueName="18" name="test_auroc" queryTableFieldId="18"/>
    <tableColumn id="19" xr3:uid="{717AFECB-ECBB-4538-95AD-4ED40B0B2CAF}" uniqueName="19" name="test_average_precision" queryTableFieldId="19"/>
    <tableColumn id="20" xr3:uid="{B4B1F276-3FF4-41CA-B5B5-7053A6946D42}" uniqueName="20" name="test_TN" queryTableFieldId="20"/>
    <tableColumn id="21" xr3:uid="{76EEA2F1-E261-4CF6-9AE8-E00E4CEC24E9}" uniqueName="21" name="test_FP" queryTableFieldId="21"/>
    <tableColumn id="22" xr3:uid="{6FD31005-3FFB-4F17-9775-8FB2E71557BE}" uniqueName="22" name="test_FN" queryTableFieldId="22"/>
    <tableColumn id="23" xr3:uid="{70F44972-1AB0-4C5C-B21D-DED7D985D193}" uniqueName="23" name="test_TP" queryTableField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942CC3-464C-44FF-8B9C-0858AD8B183D}" name="k_fold_luna16db_output" displayName="k_fold_luna16db_output" ref="A1:W29" tableType="queryTable" totalsRowShown="0">
  <autoFilter ref="A1:W29" xr:uid="{98942CC3-464C-44FF-8B9C-0858AD8B183D}"/>
  <tableColumns count="23">
    <tableColumn id="1" xr3:uid="{6CE236A2-4B2D-4AB5-AEB6-7FA90388D921}" uniqueName="1" name="model_name" queryTableFieldId="1" dataDxfId="808"/>
    <tableColumn id="2" xr3:uid="{04B57D4C-9BC3-4A05-95F2-55813D5E8633}" uniqueName="2" name="fold" queryTableFieldId="2"/>
    <tableColumn id="3" xr3:uid="{4AC2F00B-F627-4FDE-8CFD-E68C92873906}" uniqueName="3" name="best_epoch" queryTableFieldId="3"/>
    <tableColumn id="4" xr3:uid="{92324896-C3C7-49EC-9312-E9D68DFB13A7}" uniqueName="4" name="validate_accuracy" queryTableFieldId="4"/>
    <tableColumn id="5" xr3:uid="{DDC47A40-69B8-40C4-87C2-A47C8A10CE32}" uniqueName="5" name="validate_precision" queryTableFieldId="5"/>
    <tableColumn id="6" xr3:uid="{82596A5D-3D8E-4A30-AAC4-3F68F81893B5}" uniqueName="6" name="validate_recall" queryTableFieldId="6"/>
    <tableColumn id="7" xr3:uid="{59181840-3CA4-44A4-9250-2E15169C46AD}" uniqueName="7" name="validate_f1" queryTableFieldId="7"/>
    <tableColumn id="8" xr3:uid="{1ADA853A-D4FF-437E-97CC-4FD2EC72F1F9}" uniqueName="8" name="validate_auroc" queryTableFieldId="8"/>
    <tableColumn id="9" xr3:uid="{0B87FB09-3AD2-4D85-A3EA-E0BC2EE9DFFB}" uniqueName="9" name="validate_average_precision" queryTableFieldId="9"/>
    <tableColumn id="10" xr3:uid="{6BEA27EA-94F1-40EA-BDAF-F07B6D2557C9}" uniqueName="10" name="validate_TN" queryTableFieldId="10"/>
    <tableColumn id="11" xr3:uid="{A0B2530E-234B-47AE-88B4-078E2027F7B0}" uniqueName="11" name="validate_FP" queryTableFieldId="11"/>
    <tableColumn id="12" xr3:uid="{4D4ED5C6-2DEC-46BD-AE12-F2A2D56CB8EC}" uniqueName="12" name="validate_FN" queryTableFieldId="12"/>
    <tableColumn id="13" xr3:uid="{BED4BCAF-3455-4D0D-97AD-C2F51F3F1B0A}" uniqueName="13" name="validate_TP" queryTableFieldId="13"/>
    <tableColumn id="14" xr3:uid="{EEB8D2B1-C660-45F2-A8DA-72772AB5BAE2}" uniqueName="14" name="test_accuracy" queryTableFieldId="14"/>
    <tableColumn id="15" xr3:uid="{11149F40-5C06-432C-A658-2304AFC5EBDD}" uniqueName="15" name="test_precision" queryTableFieldId="15"/>
    <tableColumn id="16" xr3:uid="{444F0ABA-B48D-49B7-A82D-6CCC7E3EC7B9}" uniqueName="16" name="test_recall" queryTableFieldId="16"/>
    <tableColumn id="17" xr3:uid="{7791976A-9DB8-4DA3-BE94-2831A1B3B61E}" uniqueName="17" name="test_f1" queryTableFieldId="17"/>
    <tableColumn id="18" xr3:uid="{2FC5CF78-5C69-414C-A5BE-A563FE20FDE6}" uniqueName="18" name="test_auroc" queryTableFieldId="18"/>
    <tableColumn id="19" xr3:uid="{CB01CBF9-1392-4D1A-A3FC-442F4A2AB014}" uniqueName="19" name="test_average_precision" queryTableFieldId="19"/>
    <tableColumn id="20" xr3:uid="{B6ADE8E6-E6A5-4D1E-9082-88E7E4CEB9E9}" uniqueName="20" name="test_TN" queryTableFieldId="20"/>
    <tableColumn id="21" xr3:uid="{18D7D35C-0E19-4B3F-B49F-5F5D3BE928A4}" uniqueName="21" name="test_FP" queryTableFieldId="21"/>
    <tableColumn id="22" xr3:uid="{D199494B-50A9-4C21-B699-A20A5C404256}" uniqueName="22" name="test_FN" queryTableFieldId="22"/>
    <tableColumn id="23" xr3:uid="{32BF72E8-FEDF-4980-B116-963B286D981C}" uniqueName="23" name="test_TP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E4BB-0B6B-4EB1-907C-C7FF3546AB80}">
  <sheetPr>
    <tabColor theme="3" tint="0.249977111117893"/>
  </sheetPr>
  <dimension ref="A1:W73"/>
  <sheetViews>
    <sheetView workbookViewId="0">
      <selection activeCell="P84" sqref="P84"/>
    </sheetView>
  </sheetViews>
  <sheetFormatPr defaultRowHeight="15" x14ac:dyDescent="0.25"/>
  <cols>
    <col min="1" max="1" width="21.7109375" customWidth="1"/>
    <col min="2" max="3" width="15.7109375" customWidth="1"/>
    <col min="4" max="4" width="19" customWidth="1"/>
    <col min="5" max="5" width="19.28515625" customWidth="1"/>
    <col min="6" max="6" width="16" customWidth="1"/>
    <col min="7" max="7" width="15.7109375" customWidth="1"/>
    <col min="8" max="8" width="16.140625" customWidth="1"/>
    <col min="9" max="9" width="27" customWidth="1"/>
    <col min="10" max="18" width="15.7109375" customWidth="1"/>
    <col min="19" max="19" width="23.140625" customWidth="1"/>
    <col min="20" max="23" width="15.7109375" customWidth="1"/>
  </cols>
  <sheetData>
    <row r="1" spans="1:23" x14ac:dyDescent="0.25">
      <c r="A1" t="s">
        <v>69</v>
      </c>
      <c r="B1" t="s">
        <v>68</v>
      </c>
      <c r="C1" t="s">
        <v>67</v>
      </c>
      <c r="D1" t="s">
        <v>66</v>
      </c>
      <c r="E1" t="s">
        <v>65</v>
      </c>
      <c r="F1" t="s">
        <v>64</v>
      </c>
      <c r="G1" t="s">
        <v>63</v>
      </c>
      <c r="H1" t="s">
        <v>62</v>
      </c>
      <c r="I1" t="s">
        <v>61</v>
      </c>
      <c r="J1" t="s">
        <v>60</v>
      </c>
      <c r="K1" t="s">
        <v>59</v>
      </c>
      <c r="L1" t="s">
        <v>58</v>
      </c>
      <c r="M1" t="s">
        <v>57</v>
      </c>
      <c r="N1" t="s">
        <v>56</v>
      </c>
      <c r="O1" t="s">
        <v>55</v>
      </c>
      <c r="P1" t="s">
        <v>54</v>
      </c>
      <c r="Q1" t="s">
        <v>53</v>
      </c>
      <c r="R1" t="s">
        <v>52</v>
      </c>
      <c r="S1" t="s">
        <v>51</v>
      </c>
      <c r="T1" t="s">
        <v>50</v>
      </c>
      <c r="U1" t="s">
        <v>49</v>
      </c>
      <c r="V1" t="s">
        <v>48</v>
      </c>
      <c r="W1" t="s">
        <v>47</v>
      </c>
    </row>
    <row r="2" spans="1:23" x14ac:dyDescent="0.25">
      <c r="A2" t="s">
        <v>46</v>
      </c>
      <c r="B2">
        <v>1</v>
      </c>
      <c r="C2">
        <v>34</v>
      </c>
      <c r="D2">
        <v>0.84313726425170898</v>
      </c>
      <c r="E2" s="14">
        <v>0.324175834655761</v>
      </c>
      <c r="F2" s="14">
        <v>0.49166667461395203</v>
      </c>
      <c r="G2" s="14">
        <v>0.39072847366333002</v>
      </c>
      <c r="H2" s="14">
        <v>0.82061576843261697</v>
      </c>
      <c r="I2" s="14">
        <v>0.29654428362846302</v>
      </c>
      <c r="J2">
        <v>930</v>
      </c>
      <c r="K2">
        <v>123</v>
      </c>
      <c r="L2">
        <v>61</v>
      </c>
      <c r="M2">
        <v>59</v>
      </c>
      <c r="N2">
        <v>0.86605781316757202</v>
      </c>
      <c r="O2" s="14">
        <v>0.322580635547637</v>
      </c>
      <c r="P2" s="14">
        <v>0.545454561710357</v>
      </c>
      <c r="Q2" s="14">
        <v>0.40540540218353199</v>
      </c>
      <c r="R2" s="14">
        <v>0.84757626056671098</v>
      </c>
      <c r="S2" s="14">
        <v>0.37488147616386402</v>
      </c>
      <c r="T2">
        <v>1078</v>
      </c>
      <c r="U2">
        <v>126</v>
      </c>
      <c r="V2">
        <v>50</v>
      </c>
      <c r="W2">
        <v>60</v>
      </c>
    </row>
    <row r="3" spans="1:23" x14ac:dyDescent="0.25">
      <c r="A3" t="s">
        <v>46</v>
      </c>
      <c r="B3">
        <v>2</v>
      </c>
      <c r="C3">
        <v>24</v>
      </c>
      <c r="D3" s="14">
        <v>0.87479674816131503</v>
      </c>
      <c r="E3" s="14">
        <v>0.386363625526428</v>
      </c>
      <c r="F3" s="14">
        <v>0.59649121761321999</v>
      </c>
      <c r="G3" s="14">
        <v>0.46896553039550698</v>
      </c>
      <c r="H3" s="14">
        <v>0.88657021522521895</v>
      </c>
      <c r="I3" s="14">
        <v>0.47210073471069303</v>
      </c>
      <c r="J3">
        <v>1008</v>
      </c>
      <c r="K3">
        <v>108</v>
      </c>
      <c r="L3">
        <v>46</v>
      </c>
      <c r="M3">
        <v>68</v>
      </c>
      <c r="N3" s="14">
        <v>0.83789956569671598</v>
      </c>
      <c r="O3" s="14">
        <v>0.25821596384048401</v>
      </c>
      <c r="P3">
        <v>0.5</v>
      </c>
      <c r="Q3" s="14">
        <v>0.34055727720260598</v>
      </c>
      <c r="R3" s="14">
        <v>0.78593331575393599</v>
      </c>
      <c r="S3" s="14">
        <v>0.299771457910537</v>
      </c>
      <c r="T3">
        <v>1046</v>
      </c>
      <c r="U3">
        <v>158</v>
      </c>
      <c r="V3">
        <v>55</v>
      </c>
      <c r="W3">
        <v>55</v>
      </c>
    </row>
    <row r="4" spans="1:23" x14ac:dyDescent="0.25">
      <c r="A4" t="s">
        <v>46</v>
      </c>
      <c r="B4">
        <v>3</v>
      </c>
      <c r="C4">
        <v>36</v>
      </c>
      <c r="D4" s="14">
        <v>0.882587850093841</v>
      </c>
      <c r="E4" s="14">
        <v>0.34482759237289401</v>
      </c>
      <c r="F4" s="14">
        <v>0.36036035418510398</v>
      </c>
      <c r="G4" s="14">
        <v>0.35242289304733199</v>
      </c>
      <c r="H4" s="14">
        <v>0.83903002738952603</v>
      </c>
      <c r="I4" s="14">
        <v>0.363223016262054</v>
      </c>
      <c r="J4">
        <v>1065</v>
      </c>
      <c r="K4">
        <v>76</v>
      </c>
      <c r="L4">
        <v>71</v>
      </c>
      <c r="M4">
        <v>40</v>
      </c>
      <c r="N4">
        <v>0.87899541854858398</v>
      </c>
      <c r="O4" s="14">
        <v>0.33986929059028598</v>
      </c>
      <c r="P4" s="14">
        <v>0.47272726893424899</v>
      </c>
      <c r="Q4" s="14">
        <v>0.39543727040290799</v>
      </c>
      <c r="R4" s="14">
        <v>0.814791560173034</v>
      </c>
      <c r="S4" s="14">
        <v>0.29309141635894698</v>
      </c>
      <c r="T4">
        <v>1103</v>
      </c>
      <c r="U4">
        <v>101</v>
      </c>
      <c r="V4">
        <v>58</v>
      </c>
      <c r="W4">
        <v>52</v>
      </c>
    </row>
    <row r="5" spans="1:23" x14ac:dyDescent="0.25">
      <c r="A5" t="s">
        <v>46</v>
      </c>
      <c r="B5">
        <v>4</v>
      </c>
      <c r="C5">
        <v>34</v>
      </c>
      <c r="D5">
        <v>0.87688440084457397</v>
      </c>
      <c r="E5" s="14">
        <v>0.370165735483169</v>
      </c>
      <c r="F5" s="14">
        <v>0.67000001668929998</v>
      </c>
      <c r="G5" s="14">
        <v>0.47686833143234197</v>
      </c>
      <c r="H5">
        <v>0.87851005792617798</v>
      </c>
      <c r="I5" s="14">
        <v>0.55413776636123602</v>
      </c>
      <c r="J5">
        <v>980</v>
      </c>
      <c r="K5">
        <v>114</v>
      </c>
      <c r="L5">
        <v>33</v>
      </c>
      <c r="M5">
        <v>67</v>
      </c>
      <c r="N5">
        <v>0.844748854637146</v>
      </c>
      <c r="O5" s="14">
        <v>0.29565218091010997</v>
      </c>
      <c r="P5" s="14">
        <v>0.61818182468414296</v>
      </c>
      <c r="Q5" s="14">
        <v>0.40000000596046398</v>
      </c>
      <c r="R5" s="14">
        <v>0.85419058799743597</v>
      </c>
      <c r="S5" s="14">
        <v>0.35654956102371199</v>
      </c>
      <c r="T5">
        <v>1042</v>
      </c>
      <c r="U5">
        <v>162</v>
      </c>
      <c r="V5">
        <v>42</v>
      </c>
      <c r="W5">
        <v>68</v>
      </c>
    </row>
    <row r="6" spans="1:23" x14ac:dyDescent="0.25">
      <c r="A6" t="s">
        <v>45</v>
      </c>
      <c r="B6">
        <v>1</v>
      </c>
      <c r="C6">
        <v>47</v>
      </c>
      <c r="D6" s="14">
        <v>0.86104005575179998</v>
      </c>
      <c r="E6" s="14">
        <v>0.37572255730628901</v>
      </c>
      <c r="F6" s="14">
        <v>0.54166668653488104</v>
      </c>
      <c r="G6" s="14">
        <v>0.44368600845336897</v>
      </c>
      <c r="H6" s="14">
        <v>0.83456790447235096</v>
      </c>
      <c r="I6" s="14">
        <v>0.41071850061416598</v>
      </c>
      <c r="J6">
        <v>945</v>
      </c>
      <c r="K6">
        <v>108</v>
      </c>
      <c r="L6">
        <v>55</v>
      </c>
      <c r="M6">
        <v>65</v>
      </c>
      <c r="N6" s="14">
        <v>0.86529678106307895</v>
      </c>
      <c r="O6" s="14">
        <v>0.31693989038467402</v>
      </c>
      <c r="P6" s="14">
        <v>0.52727270126342696</v>
      </c>
      <c r="Q6" s="14">
        <v>0.395904451608657</v>
      </c>
      <c r="R6" s="14">
        <v>0.842698574066162</v>
      </c>
      <c r="S6" s="14">
        <v>0.35345256328582703</v>
      </c>
      <c r="T6">
        <v>1079</v>
      </c>
      <c r="U6">
        <v>125</v>
      </c>
      <c r="V6">
        <v>52</v>
      </c>
      <c r="W6">
        <v>58</v>
      </c>
    </row>
    <row r="7" spans="1:23" x14ac:dyDescent="0.25">
      <c r="A7" t="s">
        <v>45</v>
      </c>
      <c r="B7">
        <v>2</v>
      </c>
      <c r="C7">
        <v>46</v>
      </c>
      <c r="D7" s="14">
        <v>0.91707319021224898</v>
      </c>
      <c r="E7" s="14">
        <v>0.57317072153091397</v>
      </c>
      <c r="F7" s="14">
        <v>0.41228070855140603</v>
      </c>
      <c r="G7" s="14">
        <v>0.47959184646606401</v>
      </c>
      <c r="H7" s="14">
        <v>0.88806360960006703</v>
      </c>
      <c r="I7" s="14">
        <v>0.51720136404037398</v>
      </c>
      <c r="J7">
        <v>1081</v>
      </c>
      <c r="K7">
        <v>35</v>
      </c>
      <c r="L7">
        <v>67</v>
      </c>
      <c r="M7">
        <v>47</v>
      </c>
      <c r="N7" s="14">
        <v>0.89726024866104104</v>
      </c>
      <c r="O7" s="14">
        <v>0.32394367456436102</v>
      </c>
      <c r="P7" s="14">
        <v>0.20909090340137401</v>
      </c>
      <c r="Q7" s="14">
        <v>0.25414365530013999</v>
      </c>
      <c r="R7">
        <v>0.78586530685424805</v>
      </c>
      <c r="S7">
        <v>0.270405113697052</v>
      </c>
      <c r="T7">
        <v>1156</v>
      </c>
      <c r="U7">
        <v>48</v>
      </c>
      <c r="V7">
        <v>87</v>
      </c>
      <c r="W7">
        <v>23</v>
      </c>
    </row>
    <row r="8" spans="1:23" x14ac:dyDescent="0.25">
      <c r="A8" t="s">
        <v>45</v>
      </c>
      <c r="B8">
        <v>3</v>
      </c>
      <c r="C8">
        <v>22</v>
      </c>
      <c r="D8" s="14">
        <v>0.88658148050308205</v>
      </c>
      <c r="E8" s="14">
        <v>0.37190082669258101</v>
      </c>
      <c r="F8" s="14">
        <v>0.40540540218353199</v>
      </c>
      <c r="G8" s="14">
        <v>0.387931048870086</v>
      </c>
      <c r="H8" s="14">
        <v>0.84649145603179898</v>
      </c>
      <c r="I8">
        <v>0.33777293562889099</v>
      </c>
      <c r="J8">
        <v>1065</v>
      </c>
      <c r="K8">
        <v>76</v>
      </c>
      <c r="L8">
        <v>66</v>
      </c>
      <c r="M8">
        <v>45</v>
      </c>
      <c r="N8" s="14">
        <v>0.87975645065307595</v>
      </c>
      <c r="O8" s="14">
        <v>0.30645161867141701</v>
      </c>
      <c r="P8" s="14">
        <v>0.34545454382896401</v>
      </c>
      <c r="Q8" s="14">
        <v>0.32478633522987299</v>
      </c>
      <c r="R8" s="14">
        <v>0.81576555967330899</v>
      </c>
      <c r="S8" s="14">
        <v>0.30284184217452997</v>
      </c>
      <c r="T8">
        <v>1118</v>
      </c>
      <c r="U8">
        <v>86</v>
      </c>
      <c r="V8">
        <v>72</v>
      </c>
      <c r="W8">
        <v>38</v>
      </c>
    </row>
    <row r="9" spans="1:23" x14ac:dyDescent="0.25">
      <c r="A9" t="s">
        <v>45</v>
      </c>
      <c r="B9">
        <v>4</v>
      </c>
      <c r="C9">
        <v>43</v>
      </c>
      <c r="D9" s="14">
        <v>0.92294806241989102</v>
      </c>
      <c r="E9" s="14">
        <v>0.557142853736877</v>
      </c>
      <c r="F9" s="14">
        <v>0.38999998569488498</v>
      </c>
      <c r="G9" s="14">
        <v>0.458823531866073</v>
      </c>
      <c r="H9" s="14">
        <v>0.86962527036666804</v>
      </c>
      <c r="I9" s="14">
        <v>0.48580339550971902</v>
      </c>
      <c r="J9">
        <v>1063</v>
      </c>
      <c r="K9">
        <v>31</v>
      </c>
      <c r="L9">
        <v>61</v>
      </c>
      <c r="M9">
        <v>39</v>
      </c>
      <c r="N9" s="14">
        <v>0.89117199182510298</v>
      </c>
      <c r="O9" s="14">
        <v>0.24615384638309401</v>
      </c>
      <c r="P9">
        <v>0.14545454084873199</v>
      </c>
      <c r="Q9" s="14">
        <v>0.182857140898704</v>
      </c>
      <c r="R9" s="14">
        <v>0.83652973175048795</v>
      </c>
      <c r="S9" s="14">
        <v>0.27166512608528098</v>
      </c>
      <c r="T9">
        <v>1155</v>
      </c>
      <c r="U9">
        <v>49</v>
      </c>
      <c r="V9">
        <v>94</v>
      </c>
      <c r="W9">
        <v>16</v>
      </c>
    </row>
    <row r="10" spans="1:23" x14ac:dyDescent="0.25">
      <c r="A10" t="s">
        <v>44</v>
      </c>
      <c r="B10">
        <v>1</v>
      </c>
      <c r="C10">
        <v>28</v>
      </c>
      <c r="D10" s="14">
        <v>0.89002555608749301</v>
      </c>
      <c r="E10" s="14">
        <v>0.45945945382118197</v>
      </c>
      <c r="F10" s="14">
        <v>0.42500001192092801</v>
      </c>
      <c r="G10" s="14">
        <v>0.44155845046043302</v>
      </c>
      <c r="H10" s="14">
        <v>0.83556497097015303</v>
      </c>
      <c r="I10" s="14">
        <v>0.42802810668945301</v>
      </c>
      <c r="J10">
        <v>993</v>
      </c>
      <c r="K10">
        <v>60</v>
      </c>
      <c r="L10">
        <v>69</v>
      </c>
      <c r="M10">
        <v>51</v>
      </c>
      <c r="N10" s="14">
        <v>0.89345508813857999</v>
      </c>
      <c r="O10">
        <v>0.3828125</v>
      </c>
      <c r="P10" s="14">
        <v>0.44545453786849898</v>
      </c>
      <c r="Q10" s="14">
        <v>0.41176471114158603</v>
      </c>
      <c r="R10" s="14">
        <v>0.85384315252303999</v>
      </c>
      <c r="S10" s="14">
        <v>0.37506282329559298</v>
      </c>
      <c r="T10">
        <v>1125</v>
      </c>
      <c r="U10">
        <v>79</v>
      </c>
      <c r="V10">
        <v>61</v>
      </c>
      <c r="W10">
        <v>49</v>
      </c>
    </row>
    <row r="11" spans="1:23" x14ac:dyDescent="0.25">
      <c r="A11" t="s">
        <v>44</v>
      </c>
      <c r="B11">
        <v>2</v>
      </c>
      <c r="C11">
        <v>9</v>
      </c>
      <c r="D11" s="14">
        <v>0.90894311666488603</v>
      </c>
      <c r="E11">
        <v>0.51190477609634399</v>
      </c>
      <c r="F11" s="14">
        <v>0.37719297409057601</v>
      </c>
      <c r="G11" s="14">
        <v>0.43434342741966198</v>
      </c>
      <c r="H11" s="14">
        <v>0.88175189495086603</v>
      </c>
      <c r="I11" s="14">
        <v>0.459152221679687</v>
      </c>
      <c r="J11">
        <v>1075</v>
      </c>
      <c r="K11">
        <v>41</v>
      </c>
      <c r="L11">
        <v>71</v>
      </c>
      <c r="M11">
        <v>43</v>
      </c>
      <c r="N11" s="14">
        <v>0.90258753299713101</v>
      </c>
      <c r="O11" s="14">
        <v>0.39024388790130599</v>
      </c>
      <c r="P11">
        <v>0.29090908169746399</v>
      </c>
      <c r="Q11" s="14">
        <v>0.33333334326744002</v>
      </c>
      <c r="R11" s="14">
        <v>0.85286170244216897</v>
      </c>
      <c r="S11" s="14">
        <v>0.33635324239730802</v>
      </c>
      <c r="T11">
        <v>1154</v>
      </c>
      <c r="U11">
        <v>50</v>
      </c>
      <c r="V11">
        <v>78</v>
      </c>
      <c r="W11">
        <v>32</v>
      </c>
    </row>
    <row r="12" spans="1:23" x14ac:dyDescent="0.25">
      <c r="A12" t="s">
        <v>44</v>
      </c>
      <c r="B12">
        <v>3</v>
      </c>
      <c r="C12">
        <v>18</v>
      </c>
      <c r="D12" s="14">
        <v>0.90575081110000599</v>
      </c>
      <c r="E12" s="14">
        <v>0.45333334803581199</v>
      </c>
      <c r="F12" s="14">
        <v>0.306306302547454</v>
      </c>
      <c r="G12" s="14">
        <v>0.36559140682220398</v>
      </c>
      <c r="H12" s="14">
        <v>0.82869464159011796</v>
      </c>
      <c r="I12" s="14">
        <v>0.39162975549697798</v>
      </c>
      <c r="J12">
        <v>1100</v>
      </c>
      <c r="K12">
        <v>41</v>
      </c>
      <c r="L12">
        <v>77</v>
      </c>
      <c r="M12">
        <v>34</v>
      </c>
      <c r="N12" s="14">
        <v>0.90410959720611495</v>
      </c>
      <c r="O12" s="14">
        <v>0.37096774578094399</v>
      </c>
      <c r="P12" s="14">
        <v>0.20909090340137401</v>
      </c>
      <c r="Q12" s="14">
        <v>0.26744186878204301</v>
      </c>
      <c r="R12" s="14">
        <v>0.84774994850158603</v>
      </c>
      <c r="S12" s="14">
        <v>0.320197343826293</v>
      </c>
      <c r="T12">
        <v>1165</v>
      </c>
      <c r="U12">
        <v>39</v>
      </c>
      <c r="V12">
        <v>87</v>
      </c>
      <c r="W12">
        <v>23</v>
      </c>
    </row>
    <row r="13" spans="1:23" x14ac:dyDescent="0.25">
      <c r="A13" t="s">
        <v>44</v>
      </c>
      <c r="B13">
        <v>4</v>
      </c>
      <c r="C13">
        <v>16</v>
      </c>
      <c r="D13" s="14">
        <v>0.89782243967056197</v>
      </c>
      <c r="E13" s="14">
        <v>0.40983605384826599</v>
      </c>
      <c r="F13">
        <v>0.5</v>
      </c>
      <c r="G13" s="14">
        <v>0.450450450181961</v>
      </c>
      <c r="H13" s="14">
        <v>0.86980807781219405</v>
      </c>
      <c r="I13" s="14">
        <v>0.52274638414382901</v>
      </c>
      <c r="J13">
        <v>1022</v>
      </c>
      <c r="K13">
        <v>72</v>
      </c>
      <c r="L13">
        <v>50</v>
      </c>
      <c r="M13">
        <v>50</v>
      </c>
      <c r="N13" s="14">
        <v>0.90639269351959195</v>
      </c>
      <c r="O13" s="14">
        <v>0.44144144654273898</v>
      </c>
      <c r="P13" s="14">
        <v>0.44545453786849898</v>
      </c>
      <c r="Q13" s="14">
        <v>0.44343891739845198</v>
      </c>
      <c r="R13" s="14">
        <v>0.85299003124237005</v>
      </c>
      <c r="S13" s="14">
        <v>0.405628621578216</v>
      </c>
      <c r="T13">
        <v>1142</v>
      </c>
      <c r="U13">
        <v>62</v>
      </c>
      <c r="V13">
        <v>61</v>
      </c>
      <c r="W13">
        <v>49</v>
      </c>
    </row>
    <row r="14" spans="1:23" x14ac:dyDescent="0.25">
      <c r="A14" t="s">
        <v>43</v>
      </c>
      <c r="B14">
        <v>1</v>
      </c>
      <c r="C14">
        <v>18</v>
      </c>
      <c r="D14" s="14">
        <v>0.85421997308731001</v>
      </c>
      <c r="E14" s="14">
        <v>0.350877195596694</v>
      </c>
      <c r="F14">
        <v>0.5</v>
      </c>
      <c r="G14" s="14">
        <v>0.41237112879753102</v>
      </c>
      <c r="H14" s="14">
        <v>0.82613962888717596</v>
      </c>
      <c r="I14" s="14">
        <v>0.37366023659706099</v>
      </c>
      <c r="J14">
        <v>942</v>
      </c>
      <c r="K14">
        <v>111</v>
      </c>
      <c r="L14">
        <v>60</v>
      </c>
      <c r="M14">
        <v>60</v>
      </c>
      <c r="N14" s="14">
        <v>0.87975645065307595</v>
      </c>
      <c r="O14" s="14">
        <v>0.346153855323791</v>
      </c>
      <c r="P14" s="14">
        <v>0.49090909957885698</v>
      </c>
      <c r="Q14" s="14">
        <v>0.40601503849029502</v>
      </c>
      <c r="R14" s="14">
        <v>0.83245998620986905</v>
      </c>
      <c r="S14" s="14">
        <v>0.38715964555740301</v>
      </c>
      <c r="T14">
        <v>1102</v>
      </c>
      <c r="U14">
        <v>102</v>
      </c>
      <c r="V14">
        <v>56</v>
      </c>
      <c r="W14">
        <v>54</v>
      </c>
    </row>
    <row r="15" spans="1:23" x14ac:dyDescent="0.25">
      <c r="A15" t="s">
        <v>43</v>
      </c>
      <c r="B15">
        <v>2</v>
      </c>
      <c r="C15">
        <v>4</v>
      </c>
      <c r="D15" s="14">
        <v>0.88455283641815097</v>
      </c>
      <c r="E15" s="14">
        <v>0.38709676265716497</v>
      </c>
      <c r="F15" s="14">
        <v>0.42105263471603299</v>
      </c>
      <c r="G15" s="14">
        <v>0.40336135029792702</v>
      </c>
      <c r="H15" s="14">
        <v>0.85889452695846502</v>
      </c>
      <c r="I15" s="14">
        <v>0.35103896260261502</v>
      </c>
      <c r="J15">
        <v>1040</v>
      </c>
      <c r="K15">
        <v>76</v>
      </c>
      <c r="L15">
        <v>66</v>
      </c>
      <c r="M15">
        <v>48</v>
      </c>
      <c r="N15" s="14">
        <v>0.88203954696655196</v>
      </c>
      <c r="O15" s="14">
        <v>0.33082705736160201</v>
      </c>
      <c r="P15" s="14">
        <v>0.40000000596046398</v>
      </c>
      <c r="Q15" s="14">
        <v>0.36213991045951799</v>
      </c>
      <c r="R15" s="14">
        <v>0.813964784145355</v>
      </c>
      <c r="S15" s="14">
        <v>0.27334547042846602</v>
      </c>
      <c r="T15">
        <v>1115</v>
      </c>
      <c r="U15">
        <v>89</v>
      </c>
      <c r="V15">
        <v>66</v>
      </c>
      <c r="W15">
        <v>44</v>
      </c>
    </row>
    <row r="16" spans="1:23" x14ac:dyDescent="0.25">
      <c r="A16" t="s">
        <v>43</v>
      </c>
      <c r="B16">
        <v>3</v>
      </c>
      <c r="C16">
        <v>24</v>
      </c>
      <c r="D16" s="14">
        <v>0.890575051307678</v>
      </c>
      <c r="E16" s="14">
        <v>0.37962964177131597</v>
      </c>
      <c r="F16" s="14">
        <v>0.36936935782432501</v>
      </c>
      <c r="G16" s="14">
        <v>0.37442922592163003</v>
      </c>
      <c r="H16" s="14">
        <v>0.846088826656341</v>
      </c>
      <c r="I16" s="14">
        <v>0.34211677312850902</v>
      </c>
      <c r="J16">
        <v>1074</v>
      </c>
      <c r="K16">
        <v>67</v>
      </c>
      <c r="L16">
        <v>70</v>
      </c>
      <c r="M16">
        <v>41</v>
      </c>
      <c r="N16" s="14">
        <v>0.88432270288467396</v>
      </c>
      <c r="O16" s="14">
        <v>0.322033911943435</v>
      </c>
      <c r="P16" s="14">
        <v>0.34545454382896401</v>
      </c>
      <c r="Q16" s="14">
        <v>0.33333334326744002</v>
      </c>
      <c r="R16" s="14">
        <v>0.82397317886352495</v>
      </c>
      <c r="S16" s="14">
        <v>0.33387562632560702</v>
      </c>
      <c r="T16">
        <v>1124</v>
      </c>
      <c r="U16">
        <v>80</v>
      </c>
      <c r="V16">
        <v>72</v>
      </c>
      <c r="W16">
        <v>38</v>
      </c>
    </row>
    <row r="17" spans="1:23" x14ac:dyDescent="0.25">
      <c r="A17" t="s">
        <v>43</v>
      </c>
      <c r="B17">
        <v>4</v>
      </c>
      <c r="C17">
        <v>29</v>
      </c>
      <c r="D17" s="14">
        <v>0.90368509292602495</v>
      </c>
      <c r="E17" s="14">
        <v>0.43243244290351801</v>
      </c>
      <c r="F17" s="14">
        <v>0.479999989271163</v>
      </c>
      <c r="G17" s="14">
        <v>0.45497629046440102</v>
      </c>
      <c r="H17" s="14">
        <v>0.86467093229293801</v>
      </c>
      <c r="I17">
        <v>0.495308518409729</v>
      </c>
      <c r="J17">
        <v>1031</v>
      </c>
      <c r="K17">
        <v>63</v>
      </c>
      <c r="L17">
        <v>52</v>
      </c>
      <c r="M17">
        <v>48</v>
      </c>
      <c r="N17" s="14">
        <v>0.88051748275756803</v>
      </c>
      <c r="O17" s="14">
        <v>0.33333334326744002</v>
      </c>
      <c r="P17" s="14">
        <v>0.42727273702621399</v>
      </c>
      <c r="Q17" s="14">
        <v>0.374502003192901</v>
      </c>
      <c r="R17" s="14">
        <v>0.812730312347412</v>
      </c>
      <c r="S17" s="14">
        <v>0.34888857603073098</v>
      </c>
      <c r="T17">
        <v>1110</v>
      </c>
      <c r="U17">
        <v>94</v>
      </c>
      <c r="V17">
        <v>63</v>
      </c>
      <c r="W17">
        <v>47</v>
      </c>
    </row>
    <row r="18" spans="1:23" x14ac:dyDescent="0.25">
      <c r="A18" t="s">
        <v>42</v>
      </c>
      <c r="B18">
        <v>1</v>
      </c>
      <c r="C18">
        <v>11</v>
      </c>
      <c r="D18" s="14">
        <v>0.86786019802093495</v>
      </c>
      <c r="E18" s="14">
        <v>0.38410595059394798</v>
      </c>
      <c r="F18" s="14">
        <v>0.483333319425582</v>
      </c>
      <c r="G18" s="14">
        <v>0.42804428935050898</v>
      </c>
      <c r="H18" s="14">
        <v>0.84235513210296598</v>
      </c>
      <c r="I18" s="14">
        <v>0.397595584392547</v>
      </c>
      <c r="J18">
        <v>960</v>
      </c>
      <c r="K18">
        <v>93</v>
      </c>
      <c r="L18">
        <v>62</v>
      </c>
      <c r="M18">
        <v>58</v>
      </c>
      <c r="N18" s="14">
        <v>0.86834096908569303</v>
      </c>
      <c r="O18" s="14">
        <v>0.301886796951293</v>
      </c>
      <c r="P18" s="14">
        <v>0.43636363744735701</v>
      </c>
      <c r="Q18" s="14">
        <v>0.35687732696533198</v>
      </c>
      <c r="R18" s="14">
        <v>0.84149795770645097</v>
      </c>
      <c r="S18" s="14">
        <v>0.35585039854049599</v>
      </c>
      <c r="T18">
        <v>1093</v>
      </c>
      <c r="U18">
        <v>111</v>
      </c>
      <c r="V18">
        <v>62</v>
      </c>
      <c r="W18">
        <v>48</v>
      </c>
    </row>
    <row r="19" spans="1:23" x14ac:dyDescent="0.25">
      <c r="A19" t="s">
        <v>42</v>
      </c>
      <c r="B19">
        <v>2</v>
      </c>
      <c r="C19">
        <v>7</v>
      </c>
      <c r="D19" s="14">
        <v>0.89593493938446001</v>
      </c>
      <c r="E19" s="14">
        <v>0.42391303181648199</v>
      </c>
      <c r="F19" s="14">
        <v>0.34210526943206698</v>
      </c>
      <c r="G19" s="14">
        <v>0.37864077091217002</v>
      </c>
      <c r="H19" s="14">
        <v>0.85435140132903997</v>
      </c>
      <c r="I19" s="14">
        <v>0.363403290510177</v>
      </c>
      <c r="J19">
        <v>1063</v>
      </c>
      <c r="K19">
        <v>53</v>
      </c>
      <c r="L19">
        <v>75</v>
      </c>
      <c r="M19">
        <v>39</v>
      </c>
      <c r="N19" s="14">
        <v>0.88660579919814997</v>
      </c>
      <c r="O19" s="14">
        <v>0.33043476939201299</v>
      </c>
      <c r="P19" s="14">
        <v>0.34545454382896401</v>
      </c>
      <c r="Q19" s="14">
        <v>0.33777776360511702</v>
      </c>
      <c r="R19" s="14">
        <v>0.80677282810211104</v>
      </c>
      <c r="S19" s="14">
        <v>0.269260644912719</v>
      </c>
      <c r="T19">
        <v>1127</v>
      </c>
      <c r="U19">
        <v>77</v>
      </c>
      <c r="V19">
        <v>72</v>
      </c>
      <c r="W19">
        <v>38</v>
      </c>
    </row>
    <row r="20" spans="1:23" x14ac:dyDescent="0.25">
      <c r="A20" t="s">
        <v>42</v>
      </c>
      <c r="B20">
        <v>3</v>
      </c>
      <c r="C20">
        <v>25</v>
      </c>
      <c r="D20" s="14">
        <v>0.89616614580154397</v>
      </c>
      <c r="E20" s="14">
        <v>0.40404039621353099</v>
      </c>
      <c r="F20" s="14">
        <v>0.36036035418510398</v>
      </c>
      <c r="G20">
        <v>0.380952388048172</v>
      </c>
      <c r="H20" s="14">
        <v>0.84852075576782204</v>
      </c>
      <c r="I20" s="14">
        <v>0.37949493527412398</v>
      </c>
      <c r="J20">
        <v>1082</v>
      </c>
      <c r="K20">
        <v>59</v>
      </c>
      <c r="L20">
        <v>71</v>
      </c>
      <c r="M20">
        <v>40</v>
      </c>
      <c r="N20" s="14">
        <v>0.90410959720611495</v>
      </c>
      <c r="O20" s="14">
        <v>0.40476191043853699</v>
      </c>
      <c r="P20" s="14">
        <v>0.30909091234207098</v>
      </c>
      <c r="Q20" s="14">
        <v>0.35051545500755299</v>
      </c>
      <c r="R20" s="14">
        <v>0.83388704061508101</v>
      </c>
      <c r="S20" s="14">
        <v>0.32921004295349099</v>
      </c>
      <c r="T20">
        <v>1154</v>
      </c>
      <c r="U20">
        <v>50</v>
      </c>
      <c r="V20">
        <v>76</v>
      </c>
      <c r="W20">
        <v>34</v>
      </c>
    </row>
    <row r="21" spans="1:23" x14ac:dyDescent="0.25">
      <c r="A21" t="s">
        <v>42</v>
      </c>
      <c r="B21">
        <v>4</v>
      </c>
      <c r="C21">
        <v>19</v>
      </c>
      <c r="D21" s="14">
        <v>0.871021747589111</v>
      </c>
      <c r="E21" s="14">
        <v>0.35789474844932501</v>
      </c>
      <c r="F21" s="14">
        <v>0.68000000715255704</v>
      </c>
      <c r="G21" s="14">
        <v>0.46896553039550698</v>
      </c>
      <c r="H21">
        <v>0.87818098068237305</v>
      </c>
      <c r="I21" s="14">
        <v>0.48726895451545699</v>
      </c>
      <c r="J21">
        <v>972</v>
      </c>
      <c r="K21">
        <v>122</v>
      </c>
      <c r="L21">
        <v>32</v>
      </c>
      <c r="M21">
        <v>68</v>
      </c>
      <c r="N21" s="14">
        <v>0.83789956569671598</v>
      </c>
      <c r="O21">
        <v>0.27896994352340698</v>
      </c>
      <c r="P21" s="14">
        <v>0.59090906381607</v>
      </c>
      <c r="Q21" s="14">
        <v>0.37900874018669101</v>
      </c>
      <c r="R21">
        <v>0.84830111265182495</v>
      </c>
      <c r="S21">
        <v>0.36820226907730103</v>
      </c>
      <c r="T21">
        <v>1036</v>
      </c>
      <c r="U21">
        <v>168</v>
      </c>
      <c r="V21">
        <v>45</v>
      </c>
      <c r="W21">
        <v>65</v>
      </c>
    </row>
    <row r="22" spans="1:23" x14ac:dyDescent="0.25">
      <c r="A22" t="s">
        <v>41</v>
      </c>
      <c r="B22">
        <v>1</v>
      </c>
      <c r="C22">
        <v>24</v>
      </c>
      <c r="D22" s="14">
        <v>0.85592496395110995</v>
      </c>
      <c r="E22" s="14">
        <v>0.361581921577453</v>
      </c>
      <c r="F22" s="14">
        <v>0.53333336114883401</v>
      </c>
      <c r="G22" s="14">
        <v>0.43097642064094499</v>
      </c>
      <c r="H22" s="14">
        <v>0.84165871143340998</v>
      </c>
      <c r="I22" s="14">
        <v>0.37042039632797202</v>
      </c>
      <c r="J22">
        <v>940</v>
      </c>
      <c r="K22">
        <v>113</v>
      </c>
      <c r="L22">
        <v>56</v>
      </c>
      <c r="M22">
        <v>64</v>
      </c>
      <c r="N22" s="14">
        <v>0.87290716171264604</v>
      </c>
      <c r="O22" s="14">
        <v>0.35078534483909601</v>
      </c>
      <c r="P22" s="14">
        <v>0.60909092426300004</v>
      </c>
      <c r="Q22" s="14">
        <v>0.44518271088600098</v>
      </c>
      <c r="R22" s="14">
        <v>0.83746600151062001</v>
      </c>
      <c r="S22" s="14">
        <v>0.35077840089797901</v>
      </c>
      <c r="T22">
        <v>1080</v>
      </c>
      <c r="U22">
        <v>124</v>
      </c>
      <c r="V22">
        <v>43</v>
      </c>
      <c r="W22">
        <v>67</v>
      </c>
    </row>
    <row r="23" spans="1:23" x14ac:dyDescent="0.25">
      <c r="A23" t="s">
        <v>41</v>
      </c>
      <c r="B23">
        <v>2</v>
      </c>
      <c r="C23">
        <v>31</v>
      </c>
      <c r="D23" s="14">
        <v>0.88617885112762396</v>
      </c>
      <c r="E23" s="14">
        <v>0.40972220897674499</v>
      </c>
      <c r="F23" s="14">
        <v>0.51754385232925404</v>
      </c>
      <c r="G23" s="14">
        <v>0.45736435055732699</v>
      </c>
      <c r="H23" s="14">
        <v>0.86739140748977595</v>
      </c>
      <c r="I23" s="14">
        <v>0.45576864480972201</v>
      </c>
      <c r="J23">
        <v>1031</v>
      </c>
      <c r="K23">
        <v>85</v>
      </c>
      <c r="L23">
        <v>55</v>
      </c>
      <c r="M23">
        <v>59</v>
      </c>
      <c r="N23" s="14">
        <v>0.86529678106307895</v>
      </c>
      <c r="O23" s="14">
        <v>0.28662419319152799</v>
      </c>
      <c r="P23" s="14">
        <v>0.409090906381607</v>
      </c>
      <c r="Q23" s="14">
        <v>0.33707866072654702</v>
      </c>
      <c r="R23" s="14">
        <v>0.80572330951690596</v>
      </c>
      <c r="S23" s="14">
        <v>0.30210384726524298</v>
      </c>
      <c r="T23">
        <v>1092</v>
      </c>
      <c r="U23">
        <v>112</v>
      </c>
      <c r="V23">
        <v>65</v>
      </c>
      <c r="W23">
        <v>45</v>
      </c>
    </row>
    <row r="24" spans="1:23" x14ac:dyDescent="0.25">
      <c r="A24" t="s">
        <v>41</v>
      </c>
      <c r="B24">
        <v>3</v>
      </c>
      <c r="C24">
        <v>45</v>
      </c>
      <c r="D24">
        <v>0.90974438190460205</v>
      </c>
      <c r="E24" s="14">
        <v>0.49056604504585199</v>
      </c>
      <c r="F24" s="14">
        <v>0.468468457460403</v>
      </c>
      <c r="G24" s="14">
        <v>0.47926267981529203</v>
      </c>
      <c r="H24" s="14">
        <v>0.85060513019561701</v>
      </c>
      <c r="I24" s="14">
        <v>0.44406235218048001</v>
      </c>
      <c r="J24">
        <v>1087</v>
      </c>
      <c r="K24">
        <v>54</v>
      </c>
      <c r="L24">
        <v>59</v>
      </c>
      <c r="M24">
        <v>52</v>
      </c>
      <c r="N24" s="14">
        <v>0.89878237247466997</v>
      </c>
      <c r="O24" s="14">
        <v>0.39252337813377303</v>
      </c>
      <c r="P24" s="14">
        <v>0.38181817531585599</v>
      </c>
      <c r="Q24" s="14">
        <v>0.38709676265716497</v>
      </c>
      <c r="R24" s="14">
        <v>0.82949256896972601</v>
      </c>
      <c r="S24" s="14">
        <v>0.378551036119461</v>
      </c>
      <c r="T24">
        <v>1139</v>
      </c>
      <c r="U24">
        <v>65</v>
      </c>
      <c r="V24">
        <v>68</v>
      </c>
      <c r="W24">
        <v>42</v>
      </c>
    </row>
    <row r="25" spans="1:23" x14ac:dyDescent="0.25">
      <c r="A25" t="s">
        <v>41</v>
      </c>
      <c r="B25">
        <v>4</v>
      </c>
      <c r="C25">
        <v>20</v>
      </c>
      <c r="D25">
        <v>0.91038525104522705</v>
      </c>
      <c r="E25" s="14">
        <v>0.46464645862579301</v>
      </c>
      <c r="F25" s="14">
        <v>0.46000000834464999</v>
      </c>
      <c r="G25" s="14">
        <v>0.46231156587600702</v>
      </c>
      <c r="H25" s="14">
        <v>0.86663621664047197</v>
      </c>
      <c r="I25" s="14">
        <v>0.51087421178817705</v>
      </c>
      <c r="J25">
        <v>1041</v>
      </c>
      <c r="K25">
        <v>53</v>
      </c>
      <c r="L25">
        <v>54</v>
      </c>
      <c r="M25">
        <v>46</v>
      </c>
      <c r="N25" s="14">
        <v>0.90182650089263905</v>
      </c>
      <c r="O25" s="14">
        <v>0.40000000596046398</v>
      </c>
      <c r="P25" s="14">
        <v>0.34545454382896401</v>
      </c>
      <c r="Q25" s="14">
        <v>0.370731711387634</v>
      </c>
      <c r="R25" s="14">
        <v>0.83450627326965299</v>
      </c>
      <c r="S25" s="14">
        <v>0.36765474081039401</v>
      </c>
      <c r="T25">
        <v>1147</v>
      </c>
      <c r="U25">
        <v>57</v>
      </c>
      <c r="V25">
        <v>72</v>
      </c>
      <c r="W25">
        <v>38</v>
      </c>
    </row>
    <row r="26" spans="1:23" x14ac:dyDescent="0.25">
      <c r="A26" t="s">
        <v>40</v>
      </c>
      <c r="B26">
        <v>1</v>
      </c>
      <c r="C26">
        <v>24</v>
      </c>
      <c r="D26" s="14">
        <v>0.84995734691619795</v>
      </c>
      <c r="E26" s="14">
        <v>0.35714286565780601</v>
      </c>
      <c r="F26" s="14">
        <v>0.58333331346511796</v>
      </c>
      <c r="G26" s="14">
        <v>0.44303798675537098</v>
      </c>
      <c r="H26" s="14">
        <v>0.85094964504241899</v>
      </c>
      <c r="I26" s="14">
        <v>0.37610369920730502</v>
      </c>
      <c r="J26">
        <v>927</v>
      </c>
      <c r="K26">
        <v>126</v>
      </c>
      <c r="L26">
        <v>50</v>
      </c>
      <c r="M26">
        <v>70</v>
      </c>
      <c r="N26" s="14">
        <v>0.86073058843612604</v>
      </c>
      <c r="O26" s="14">
        <v>0.32367148995399397</v>
      </c>
      <c r="P26" s="14">
        <v>0.60909092426300004</v>
      </c>
      <c r="Q26" s="14">
        <v>0.422712922096252</v>
      </c>
      <c r="R26" s="14">
        <v>0.842426717281341</v>
      </c>
      <c r="S26">
        <v>0.362184077501297</v>
      </c>
      <c r="T26">
        <v>1064</v>
      </c>
      <c r="U26">
        <v>140</v>
      </c>
      <c r="V26">
        <v>43</v>
      </c>
      <c r="W26">
        <v>67</v>
      </c>
    </row>
    <row r="27" spans="1:23" x14ac:dyDescent="0.25">
      <c r="A27" t="s">
        <v>40</v>
      </c>
      <c r="B27">
        <v>2</v>
      </c>
      <c r="C27">
        <v>21</v>
      </c>
      <c r="D27" s="14">
        <v>0.90243899822235096</v>
      </c>
      <c r="E27" s="14">
        <v>0.47222220897674499</v>
      </c>
      <c r="F27" s="14">
        <v>0.44736841320991499</v>
      </c>
      <c r="G27" s="14">
        <v>0.45945945382118197</v>
      </c>
      <c r="H27" s="14">
        <v>0.87553453445434504</v>
      </c>
      <c r="I27" s="14">
        <v>0.44040283560752802</v>
      </c>
      <c r="J27">
        <v>1059</v>
      </c>
      <c r="K27">
        <v>57</v>
      </c>
      <c r="L27">
        <v>63</v>
      </c>
      <c r="M27">
        <v>51</v>
      </c>
      <c r="N27">
        <v>0.87899541854858398</v>
      </c>
      <c r="O27" s="14">
        <v>0.31851851940155002</v>
      </c>
      <c r="P27" s="14">
        <v>0.39090910553932101</v>
      </c>
      <c r="Q27" s="14">
        <v>0.35102039575576699</v>
      </c>
      <c r="R27" s="14">
        <v>0.83720934391021695</v>
      </c>
      <c r="S27" s="14">
        <v>0.345467388629913</v>
      </c>
      <c r="T27">
        <v>1112</v>
      </c>
      <c r="U27">
        <v>92</v>
      </c>
      <c r="V27">
        <v>67</v>
      </c>
      <c r="W27">
        <v>43</v>
      </c>
    </row>
    <row r="28" spans="1:23" x14ac:dyDescent="0.25">
      <c r="A28" t="s">
        <v>40</v>
      </c>
      <c r="B28">
        <v>3</v>
      </c>
      <c r="C28">
        <v>48</v>
      </c>
      <c r="D28" s="14">
        <v>0.90255588293075495</v>
      </c>
      <c r="E28" s="14">
        <v>0.44444444775581299</v>
      </c>
      <c r="F28" s="14">
        <v>0.39639639854431102</v>
      </c>
      <c r="G28" s="14">
        <v>0.41904762387275601</v>
      </c>
      <c r="H28" s="14">
        <v>0.85144215822219804</v>
      </c>
      <c r="I28" s="14">
        <v>0.40989235043525601</v>
      </c>
      <c r="J28">
        <v>1086</v>
      </c>
      <c r="K28">
        <v>55</v>
      </c>
      <c r="L28">
        <v>67</v>
      </c>
      <c r="M28">
        <v>44</v>
      </c>
      <c r="N28" s="14">
        <v>0.89726024866104104</v>
      </c>
      <c r="O28" s="14">
        <v>0.36559140682220398</v>
      </c>
      <c r="P28" s="14">
        <v>0.30909091234207098</v>
      </c>
      <c r="Q28" s="14">
        <v>0.33497536182403498</v>
      </c>
      <c r="R28" s="14">
        <v>0.796375691890716</v>
      </c>
      <c r="S28" s="14">
        <v>0.305653095245361</v>
      </c>
      <c r="T28">
        <v>1145</v>
      </c>
      <c r="U28">
        <v>59</v>
      </c>
      <c r="V28">
        <v>76</v>
      </c>
      <c r="W28">
        <v>34</v>
      </c>
    </row>
    <row r="29" spans="1:23" x14ac:dyDescent="0.25">
      <c r="A29" t="s">
        <v>40</v>
      </c>
      <c r="B29">
        <v>4</v>
      </c>
      <c r="C29">
        <v>33</v>
      </c>
      <c r="D29" s="14">
        <v>0.89782243967056197</v>
      </c>
      <c r="E29" s="14">
        <v>0.42028984427451999</v>
      </c>
      <c r="F29" s="14">
        <v>0.57999998331069902</v>
      </c>
      <c r="G29" s="14">
        <v>0.487394958734512</v>
      </c>
      <c r="H29" s="14">
        <v>0.86129802465438798</v>
      </c>
      <c r="I29" s="14">
        <v>0.50594079494476296</v>
      </c>
      <c r="J29">
        <v>1014</v>
      </c>
      <c r="K29">
        <v>80</v>
      </c>
      <c r="L29">
        <v>42</v>
      </c>
      <c r="M29">
        <v>58</v>
      </c>
      <c r="N29" s="14">
        <v>0.87595129013061501</v>
      </c>
      <c r="O29">
        <v>0.33121019601821899</v>
      </c>
      <c r="P29" s="14">
        <v>0.47272726893424899</v>
      </c>
      <c r="Q29" s="14">
        <v>0.38951310515403698</v>
      </c>
      <c r="R29">
        <v>0.83793413639068604</v>
      </c>
      <c r="S29" s="14">
        <v>0.357453793287277</v>
      </c>
      <c r="T29">
        <v>1099</v>
      </c>
      <c r="U29">
        <v>105</v>
      </c>
      <c r="V29">
        <v>58</v>
      </c>
      <c r="W29">
        <v>52</v>
      </c>
    </row>
    <row r="30" spans="1:23" x14ac:dyDescent="0.25">
      <c r="A30" t="s">
        <v>39</v>
      </c>
      <c r="B30">
        <v>1</v>
      </c>
      <c r="C30">
        <v>13</v>
      </c>
      <c r="D30" s="14">
        <v>0.86530262231826705</v>
      </c>
      <c r="E30" s="14">
        <v>0.37333333492278997</v>
      </c>
      <c r="F30" s="14">
        <v>0.46666666865348799</v>
      </c>
      <c r="G30" s="14">
        <v>0.41481480002403198</v>
      </c>
      <c r="H30" s="14">
        <v>0.825838923454284</v>
      </c>
      <c r="I30" s="14">
        <v>0.42227467894554099</v>
      </c>
      <c r="J30">
        <v>959</v>
      </c>
      <c r="K30">
        <v>94</v>
      </c>
      <c r="L30">
        <v>64</v>
      </c>
      <c r="M30">
        <v>56</v>
      </c>
      <c r="N30" s="14">
        <v>0.871385097503662</v>
      </c>
      <c r="O30" s="14">
        <v>0.33142855763435303</v>
      </c>
      <c r="P30" s="14">
        <v>0.52727270126342696</v>
      </c>
      <c r="Q30" s="14">
        <v>0.40701752901077198</v>
      </c>
      <c r="R30" s="14">
        <v>0.86419510841369596</v>
      </c>
      <c r="S30" s="14">
        <v>0.38425895571708601</v>
      </c>
      <c r="T30">
        <v>1087</v>
      </c>
      <c r="U30">
        <v>117</v>
      </c>
      <c r="V30">
        <v>52</v>
      </c>
      <c r="W30">
        <v>58</v>
      </c>
    </row>
    <row r="31" spans="1:23" x14ac:dyDescent="0.25">
      <c r="A31" t="s">
        <v>39</v>
      </c>
      <c r="B31">
        <v>2</v>
      </c>
      <c r="C31">
        <v>25</v>
      </c>
      <c r="D31" s="14">
        <v>0.89999997615814198</v>
      </c>
      <c r="E31" s="14">
        <v>0.43999999761581399</v>
      </c>
      <c r="F31" s="14">
        <v>0.28947368264198298</v>
      </c>
      <c r="G31" s="14">
        <v>0.34920635819435097</v>
      </c>
      <c r="H31" s="14">
        <v>0.85023266077041604</v>
      </c>
      <c r="I31" s="14">
        <v>0.41191568970680198</v>
      </c>
      <c r="J31">
        <v>1074</v>
      </c>
      <c r="K31">
        <v>42</v>
      </c>
      <c r="L31">
        <v>81</v>
      </c>
      <c r="M31">
        <v>33</v>
      </c>
      <c r="N31" s="14">
        <v>0.89726024866104104</v>
      </c>
      <c r="O31" s="14">
        <v>0.36842104792594899</v>
      </c>
      <c r="P31" s="14">
        <v>0.318181812763214</v>
      </c>
      <c r="Q31" s="14">
        <v>0.34146341681480402</v>
      </c>
      <c r="R31" s="14">
        <v>0.80423593521118097</v>
      </c>
      <c r="S31" s="14">
        <v>0.30751499533653198</v>
      </c>
      <c r="T31">
        <v>1144</v>
      </c>
      <c r="U31">
        <v>60</v>
      </c>
      <c r="V31">
        <v>75</v>
      </c>
      <c r="W31">
        <v>35</v>
      </c>
    </row>
    <row r="32" spans="1:23" x14ac:dyDescent="0.25">
      <c r="A32" t="s">
        <v>39</v>
      </c>
      <c r="B32">
        <v>3</v>
      </c>
      <c r="C32">
        <v>29</v>
      </c>
      <c r="D32" s="14">
        <v>0.898562312126159</v>
      </c>
      <c r="E32" s="14">
        <v>0.40697672963142301</v>
      </c>
      <c r="F32">
        <v>0.31531530618667603</v>
      </c>
      <c r="G32" s="14">
        <v>0.35532996058464</v>
      </c>
      <c r="H32" s="14">
        <v>0.84073555469512895</v>
      </c>
      <c r="I32" s="14">
        <v>0.41208741068839999</v>
      </c>
      <c r="J32">
        <v>1090</v>
      </c>
      <c r="K32">
        <v>51</v>
      </c>
      <c r="L32">
        <v>76</v>
      </c>
      <c r="M32">
        <v>35</v>
      </c>
      <c r="N32">
        <v>0.89193302392959595</v>
      </c>
      <c r="O32" s="14">
        <v>0.33333334326744002</v>
      </c>
      <c r="P32">
        <v>0.29090908169746399</v>
      </c>
      <c r="Q32" s="14">
        <v>0.31067961454391402</v>
      </c>
      <c r="R32" s="14">
        <v>0.80970251560211104</v>
      </c>
      <c r="S32" s="14">
        <v>0.29779574275016701</v>
      </c>
      <c r="T32">
        <v>1140</v>
      </c>
      <c r="U32">
        <v>64</v>
      </c>
      <c r="V32">
        <v>78</v>
      </c>
      <c r="W32">
        <v>32</v>
      </c>
    </row>
    <row r="33" spans="1:23" x14ac:dyDescent="0.25">
      <c r="A33" t="s">
        <v>39</v>
      </c>
      <c r="B33">
        <v>4</v>
      </c>
      <c r="C33">
        <v>16</v>
      </c>
      <c r="D33" s="14">
        <v>0.91708540916442804</v>
      </c>
      <c r="E33" s="14">
        <v>0.50588238239288297</v>
      </c>
      <c r="F33" s="14">
        <v>0.43000000715255698</v>
      </c>
      <c r="G33" s="14">
        <v>0.46486485004424999</v>
      </c>
      <c r="H33" s="14">
        <v>0.88147175312042203</v>
      </c>
      <c r="I33" s="14">
        <v>0.49897056818008401</v>
      </c>
      <c r="J33">
        <v>1052</v>
      </c>
      <c r="K33">
        <v>42</v>
      </c>
      <c r="L33">
        <v>57</v>
      </c>
      <c r="M33">
        <v>43</v>
      </c>
      <c r="N33" s="14">
        <v>0.89649921655654896</v>
      </c>
      <c r="O33" s="14">
        <v>0.36458334326744002</v>
      </c>
      <c r="P33" s="14">
        <v>0.318181812763214</v>
      </c>
      <c r="Q33" s="14">
        <v>0.33980581164360002</v>
      </c>
      <c r="R33" s="14">
        <v>0.83089709281921298</v>
      </c>
      <c r="S33" s="14">
        <v>0.316507518291473</v>
      </c>
      <c r="T33">
        <v>1143</v>
      </c>
      <c r="U33">
        <v>61</v>
      </c>
      <c r="V33">
        <v>75</v>
      </c>
      <c r="W33">
        <v>35</v>
      </c>
    </row>
    <row r="34" spans="1:23" x14ac:dyDescent="0.25">
      <c r="A34" t="s">
        <v>38</v>
      </c>
      <c r="B34">
        <v>1</v>
      </c>
      <c r="C34">
        <v>8</v>
      </c>
      <c r="D34" s="14">
        <v>0.90025573968887296</v>
      </c>
      <c r="E34" s="14">
        <v>0.55555558204650801</v>
      </c>
      <c r="F34">
        <v>0.125</v>
      </c>
      <c r="G34" s="14">
        <v>0.20408163964748299</v>
      </c>
      <c r="H34" s="14">
        <v>0.81001901626586903</v>
      </c>
      <c r="I34" s="14">
        <v>0.39950579404830899</v>
      </c>
      <c r="J34">
        <v>1041</v>
      </c>
      <c r="K34">
        <v>12</v>
      </c>
      <c r="L34">
        <v>105</v>
      </c>
      <c r="M34">
        <v>15</v>
      </c>
      <c r="N34" s="14">
        <v>0.91856926679611195</v>
      </c>
      <c r="O34" s="14">
        <v>0.57894736528396595</v>
      </c>
      <c r="P34" s="14">
        <v>0.10000000149011599</v>
      </c>
      <c r="Q34" s="14">
        <v>0.170542642474174</v>
      </c>
      <c r="R34" s="14">
        <v>0.80191028118133501</v>
      </c>
      <c r="S34" s="14">
        <v>0.330825746059417</v>
      </c>
      <c r="T34">
        <v>1196</v>
      </c>
      <c r="U34">
        <v>8</v>
      </c>
      <c r="V34">
        <v>99</v>
      </c>
      <c r="W34">
        <v>11</v>
      </c>
    </row>
    <row r="35" spans="1:23" x14ac:dyDescent="0.25">
      <c r="A35" t="s">
        <v>38</v>
      </c>
      <c r="B35">
        <v>2</v>
      </c>
      <c r="C35">
        <v>15</v>
      </c>
      <c r="D35" s="14">
        <v>0.91869920492172197</v>
      </c>
      <c r="E35" s="14">
        <v>0.69444441795349099</v>
      </c>
      <c r="F35" s="14">
        <v>0.21929824352264399</v>
      </c>
      <c r="G35" s="14">
        <v>0.33333334326744002</v>
      </c>
      <c r="H35" s="14">
        <v>0.87028390169143599</v>
      </c>
      <c r="I35" s="14">
        <v>0.48008829355239802</v>
      </c>
      <c r="J35">
        <v>1105</v>
      </c>
      <c r="K35">
        <v>11</v>
      </c>
      <c r="L35">
        <v>89</v>
      </c>
      <c r="M35">
        <v>25</v>
      </c>
      <c r="N35">
        <v>0.91324198246002197</v>
      </c>
      <c r="O35" s="14">
        <v>0.44736841320991499</v>
      </c>
      <c r="P35" s="14">
        <v>0.15454545617103499</v>
      </c>
      <c r="Q35" s="14">
        <v>0.22972972691059099</v>
      </c>
      <c r="R35" s="14">
        <v>0.821707904338836</v>
      </c>
      <c r="S35" s="14">
        <v>0.33657336235046298</v>
      </c>
      <c r="T35">
        <v>1183</v>
      </c>
      <c r="U35">
        <v>21</v>
      </c>
      <c r="V35">
        <v>93</v>
      </c>
      <c r="W35">
        <v>17</v>
      </c>
    </row>
    <row r="36" spans="1:23" x14ac:dyDescent="0.25">
      <c r="A36" t="s">
        <v>38</v>
      </c>
      <c r="B36">
        <v>3</v>
      </c>
      <c r="C36">
        <v>14</v>
      </c>
      <c r="D36" s="14">
        <v>0.91613417863845803</v>
      </c>
      <c r="E36" s="14">
        <v>0.58823531866073597</v>
      </c>
      <c r="F36" s="14">
        <v>0.18018017709255199</v>
      </c>
      <c r="G36" s="14">
        <v>0.27586206793785001</v>
      </c>
      <c r="H36" s="14">
        <v>0.84948408603668202</v>
      </c>
      <c r="I36" s="14">
        <v>0.395836651325225</v>
      </c>
      <c r="J36">
        <v>1127</v>
      </c>
      <c r="K36">
        <v>14</v>
      </c>
      <c r="L36">
        <v>91</v>
      </c>
      <c r="M36">
        <v>20</v>
      </c>
      <c r="N36" s="14">
        <v>0.91476410627365101</v>
      </c>
      <c r="O36" s="14">
        <v>0.477272719144821</v>
      </c>
      <c r="P36" s="14">
        <v>0.19090908765792799</v>
      </c>
      <c r="Q36" s="14">
        <v>0.272727280855178</v>
      </c>
      <c r="R36" s="14">
        <v>0.844623982906341</v>
      </c>
      <c r="S36" s="14">
        <v>0.33928376436233498</v>
      </c>
      <c r="T36">
        <v>1181</v>
      </c>
      <c r="U36">
        <v>23</v>
      </c>
      <c r="V36">
        <v>89</v>
      </c>
      <c r="W36">
        <v>21</v>
      </c>
    </row>
    <row r="37" spans="1:23" x14ac:dyDescent="0.25">
      <c r="A37" t="s">
        <v>38</v>
      </c>
      <c r="B37">
        <v>4</v>
      </c>
      <c r="C37">
        <v>17</v>
      </c>
      <c r="D37" s="14">
        <v>0.85427135229110696</v>
      </c>
      <c r="E37" s="14">
        <v>0.30729165673255898</v>
      </c>
      <c r="F37" s="14">
        <v>0.58999997377395597</v>
      </c>
      <c r="G37" s="14">
        <v>0.404109597206115</v>
      </c>
      <c r="H37">
        <v>0.85933279991149902</v>
      </c>
      <c r="I37" s="14">
        <v>0.43972122669219899</v>
      </c>
      <c r="J37">
        <v>961</v>
      </c>
      <c r="K37">
        <v>133</v>
      </c>
      <c r="L37">
        <v>41</v>
      </c>
      <c r="M37">
        <v>59</v>
      </c>
      <c r="N37">
        <v>0.83561640977859497</v>
      </c>
      <c r="O37" s="14">
        <v>0.27350428700446999</v>
      </c>
      <c r="P37">
        <v>0.58181816339492798</v>
      </c>
      <c r="Q37" s="14">
        <v>0.37209302186965898</v>
      </c>
      <c r="R37" s="14">
        <v>0.84529596567153897</v>
      </c>
      <c r="S37" s="14">
        <v>0.28834438323974598</v>
      </c>
      <c r="T37">
        <v>1034</v>
      </c>
      <c r="U37">
        <v>170</v>
      </c>
      <c r="V37">
        <v>46</v>
      </c>
      <c r="W37">
        <v>64</v>
      </c>
    </row>
    <row r="38" spans="1:23" x14ac:dyDescent="0.25">
      <c r="A38" t="s">
        <v>37</v>
      </c>
      <c r="B38">
        <v>1</v>
      </c>
      <c r="C38">
        <v>26</v>
      </c>
      <c r="D38" s="14">
        <v>0.863597631454467</v>
      </c>
      <c r="E38">
        <v>0.379518061876297</v>
      </c>
      <c r="F38" s="14">
        <v>0.52499997615814198</v>
      </c>
      <c r="G38">
        <v>0.44055944681167603</v>
      </c>
      <c r="H38" s="14">
        <v>0.82682806253433205</v>
      </c>
      <c r="I38">
        <v>0.373557448387146</v>
      </c>
      <c r="J38">
        <v>950</v>
      </c>
      <c r="K38">
        <v>103</v>
      </c>
      <c r="L38">
        <v>57</v>
      </c>
      <c r="M38">
        <v>63</v>
      </c>
      <c r="N38" s="14">
        <v>0.86225265264511097</v>
      </c>
      <c r="O38" s="14">
        <v>0.31216931343078602</v>
      </c>
      <c r="P38" s="14">
        <v>0.53636366128921498</v>
      </c>
      <c r="Q38" s="14">
        <v>0.39464882016181901</v>
      </c>
      <c r="R38" s="14">
        <v>0.81551653146743697</v>
      </c>
      <c r="S38" s="14">
        <v>0.35379672050476002</v>
      </c>
      <c r="T38">
        <v>1074</v>
      </c>
      <c r="U38">
        <v>130</v>
      </c>
      <c r="V38">
        <v>51</v>
      </c>
      <c r="W38">
        <v>59</v>
      </c>
    </row>
    <row r="39" spans="1:23" x14ac:dyDescent="0.25">
      <c r="A39" t="s">
        <v>37</v>
      </c>
      <c r="B39">
        <v>2</v>
      </c>
      <c r="C39">
        <v>37</v>
      </c>
      <c r="D39" s="14">
        <v>0.92113822698593095</v>
      </c>
      <c r="E39" s="14">
        <v>0.623188376426696</v>
      </c>
      <c r="F39" s="14">
        <v>0.37719297409057601</v>
      </c>
      <c r="G39" s="14">
        <v>0.46994534134864802</v>
      </c>
      <c r="H39" s="14">
        <v>0.88385057449340798</v>
      </c>
      <c r="I39" s="14">
        <v>0.532526135444641</v>
      </c>
      <c r="J39">
        <v>1090</v>
      </c>
      <c r="K39">
        <v>26</v>
      </c>
      <c r="L39">
        <v>71</v>
      </c>
      <c r="M39">
        <v>43</v>
      </c>
      <c r="N39" s="14">
        <v>0.91095888614654497</v>
      </c>
      <c r="O39" s="14">
        <v>0.43137255311012201</v>
      </c>
      <c r="P39" s="14">
        <v>0.20000000298023199</v>
      </c>
      <c r="Q39" s="14">
        <v>0.273291915655136</v>
      </c>
      <c r="R39" s="14">
        <v>0.82139086723327603</v>
      </c>
      <c r="S39" s="14">
        <v>0.32400599122047402</v>
      </c>
      <c r="T39">
        <v>1175</v>
      </c>
      <c r="U39">
        <v>29</v>
      </c>
      <c r="V39">
        <v>88</v>
      </c>
      <c r="W39">
        <v>22</v>
      </c>
    </row>
    <row r="40" spans="1:23" x14ac:dyDescent="0.25">
      <c r="A40" t="s">
        <v>37</v>
      </c>
      <c r="B40">
        <v>3</v>
      </c>
      <c r="C40">
        <v>39</v>
      </c>
      <c r="D40" s="14">
        <v>0.90575081110000599</v>
      </c>
      <c r="E40">
        <v>0.47008547186851501</v>
      </c>
      <c r="F40" s="14">
        <v>0.49549549818038902</v>
      </c>
      <c r="G40" s="14">
        <v>0.48245614767074502</v>
      </c>
      <c r="H40" s="14">
        <v>0.87084978818893399</v>
      </c>
      <c r="I40" s="14">
        <v>0.44323885440826399</v>
      </c>
      <c r="J40">
        <v>1079</v>
      </c>
      <c r="K40">
        <v>62</v>
      </c>
      <c r="L40">
        <v>56</v>
      </c>
      <c r="M40">
        <v>55</v>
      </c>
      <c r="N40" s="14">
        <v>0.88051748275756803</v>
      </c>
      <c r="O40" s="14">
        <v>0.32846716046333302</v>
      </c>
      <c r="P40" s="14">
        <v>0.409090906381607</v>
      </c>
      <c r="Q40" s="14">
        <v>0.36437246203422502</v>
      </c>
      <c r="R40" s="14">
        <v>0.83143305778503396</v>
      </c>
      <c r="S40" s="14">
        <v>0.318134725093841</v>
      </c>
      <c r="T40">
        <v>1112</v>
      </c>
      <c r="U40">
        <v>92</v>
      </c>
      <c r="V40">
        <v>65</v>
      </c>
      <c r="W40">
        <v>45</v>
      </c>
    </row>
    <row r="41" spans="1:23" x14ac:dyDescent="0.25">
      <c r="A41" t="s">
        <v>37</v>
      </c>
      <c r="B41">
        <v>4</v>
      </c>
      <c r="C41">
        <v>42</v>
      </c>
      <c r="D41" s="14">
        <v>0.89865994453430098</v>
      </c>
      <c r="E41" s="14">
        <v>0.42222222685813898</v>
      </c>
      <c r="F41" s="14">
        <v>0.56999999284744196</v>
      </c>
      <c r="G41" s="14">
        <v>0.48510637879371599</v>
      </c>
      <c r="H41" s="14">
        <v>0.87267822027206399</v>
      </c>
      <c r="I41" s="14">
        <v>0.54256165027618397</v>
      </c>
      <c r="J41">
        <v>1016</v>
      </c>
      <c r="K41">
        <v>78</v>
      </c>
      <c r="L41">
        <v>43</v>
      </c>
      <c r="M41">
        <v>57</v>
      </c>
      <c r="N41" s="14">
        <v>0.88051748275756803</v>
      </c>
      <c r="O41" s="14">
        <v>0.34013605117797802</v>
      </c>
      <c r="P41" s="14">
        <v>0.454545468091964</v>
      </c>
      <c r="Q41" s="14">
        <v>0.38910505175590498</v>
      </c>
      <c r="R41" s="14">
        <v>0.85246908664703303</v>
      </c>
      <c r="S41" s="14">
        <v>0.37204933166503901</v>
      </c>
      <c r="T41">
        <v>1107</v>
      </c>
      <c r="U41">
        <v>97</v>
      </c>
      <c r="V41">
        <v>60</v>
      </c>
      <c r="W41">
        <v>50</v>
      </c>
    </row>
    <row r="42" spans="1:23" x14ac:dyDescent="0.25">
      <c r="A42" t="s">
        <v>36</v>
      </c>
      <c r="B42">
        <v>1</v>
      </c>
      <c r="C42">
        <v>33</v>
      </c>
      <c r="D42" s="14">
        <v>0.89855074882507302</v>
      </c>
      <c r="E42">
        <v>0.50847458839416504</v>
      </c>
      <c r="F42">
        <v>0.25</v>
      </c>
      <c r="G42" s="14">
        <v>0.33519554138183499</v>
      </c>
      <c r="H42" s="14">
        <v>0.84637540578842096</v>
      </c>
      <c r="I42" s="14">
        <v>0.42002362012863098</v>
      </c>
      <c r="J42">
        <v>1024</v>
      </c>
      <c r="K42">
        <v>29</v>
      </c>
      <c r="L42">
        <v>90</v>
      </c>
      <c r="M42">
        <v>30</v>
      </c>
      <c r="N42" s="14">
        <v>0.91400301456451405</v>
      </c>
      <c r="O42" s="14">
        <v>0.47761192917823703</v>
      </c>
      <c r="P42">
        <v>0.29090908169746399</v>
      </c>
      <c r="Q42" s="14">
        <v>0.361581921577453</v>
      </c>
      <c r="R42" s="14">
        <v>0.83520078659057595</v>
      </c>
      <c r="S42" s="14">
        <v>0.38183352351188599</v>
      </c>
      <c r="T42">
        <v>1169</v>
      </c>
      <c r="U42">
        <v>35</v>
      </c>
      <c r="V42">
        <v>78</v>
      </c>
      <c r="W42">
        <v>32</v>
      </c>
    </row>
    <row r="43" spans="1:23" x14ac:dyDescent="0.25">
      <c r="A43" t="s">
        <v>36</v>
      </c>
      <c r="B43">
        <v>2</v>
      </c>
      <c r="C43">
        <v>29</v>
      </c>
      <c r="D43" s="14">
        <v>0.90569102764129605</v>
      </c>
      <c r="E43" s="14">
        <v>0.483333319425582</v>
      </c>
      <c r="F43" s="14">
        <v>0.25438597798347401</v>
      </c>
      <c r="G43" s="14">
        <v>0.33333334326744002</v>
      </c>
      <c r="H43" s="14">
        <v>0.89451676607131902</v>
      </c>
      <c r="I43" s="14">
        <v>0.48057109117507901</v>
      </c>
      <c r="J43">
        <v>1085</v>
      </c>
      <c r="K43">
        <v>31</v>
      </c>
      <c r="L43">
        <v>85</v>
      </c>
      <c r="M43">
        <v>29</v>
      </c>
      <c r="N43" s="14">
        <v>0.90639269351959195</v>
      </c>
      <c r="O43" s="14">
        <v>0.36170211434364302</v>
      </c>
      <c r="P43" s="14">
        <v>0.15454545617103499</v>
      </c>
      <c r="Q43" s="14">
        <v>0.21656051278114299</v>
      </c>
      <c r="R43" s="14">
        <v>0.82518118619918801</v>
      </c>
      <c r="S43" s="14">
        <v>0.26359781622886602</v>
      </c>
      <c r="T43">
        <v>1174</v>
      </c>
      <c r="U43">
        <v>30</v>
      </c>
      <c r="V43">
        <v>93</v>
      </c>
      <c r="W43">
        <v>17</v>
      </c>
    </row>
    <row r="44" spans="1:23" x14ac:dyDescent="0.25">
      <c r="A44" t="s">
        <v>36</v>
      </c>
      <c r="B44">
        <v>3</v>
      </c>
      <c r="C44">
        <v>45</v>
      </c>
      <c r="D44" s="14">
        <v>0.87300318479537897</v>
      </c>
      <c r="E44" s="14">
        <v>0.34210526943206698</v>
      </c>
      <c r="F44" s="14">
        <v>0.468468457460403</v>
      </c>
      <c r="G44" s="14">
        <v>0.39543727040290799</v>
      </c>
      <c r="H44" s="14">
        <v>0.84839439392089799</v>
      </c>
      <c r="I44" s="14">
        <v>0.35826829075813199</v>
      </c>
      <c r="J44">
        <v>1041</v>
      </c>
      <c r="K44">
        <v>100</v>
      </c>
      <c r="L44">
        <v>59</v>
      </c>
      <c r="M44">
        <v>52</v>
      </c>
      <c r="N44" s="14">
        <v>0.88051748275756803</v>
      </c>
      <c r="O44" s="14">
        <v>0.360946744680404</v>
      </c>
      <c r="P44" s="14">
        <v>0.55454546213150002</v>
      </c>
      <c r="Q44" s="14">
        <v>0.43727597594261097</v>
      </c>
      <c r="R44" s="14">
        <v>0.86955595016479403</v>
      </c>
      <c r="S44" s="14">
        <v>0.38694450259208601</v>
      </c>
      <c r="T44">
        <v>1096</v>
      </c>
      <c r="U44">
        <v>108</v>
      </c>
      <c r="V44">
        <v>49</v>
      </c>
      <c r="W44">
        <v>61</v>
      </c>
    </row>
    <row r="45" spans="1:23" x14ac:dyDescent="0.25">
      <c r="A45" t="s">
        <v>36</v>
      </c>
      <c r="B45">
        <v>4</v>
      </c>
      <c r="C45">
        <v>27</v>
      </c>
      <c r="D45">
        <v>0.92797321081161499</v>
      </c>
      <c r="E45" s="14">
        <v>0.66666668653488104</v>
      </c>
      <c r="F45" s="14">
        <v>0.28000000119209201</v>
      </c>
      <c r="G45" s="14">
        <v>0.394366204738616</v>
      </c>
      <c r="H45" s="14">
        <v>0.86474406719207697</v>
      </c>
      <c r="I45" s="14">
        <v>0.52845835685729903</v>
      </c>
      <c r="J45">
        <v>1080</v>
      </c>
      <c r="K45">
        <v>14</v>
      </c>
      <c r="L45">
        <v>72</v>
      </c>
      <c r="M45">
        <v>28</v>
      </c>
      <c r="N45" s="14">
        <v>0.91780823469161898</v>
      </c>
      <c r="O45" s="14">
        <v>0.54166668653488104</v>
      </c>
      <c r="P45" s="14">
        <v>0.118181817233562</v>
      </c>
      <c r="Q45" s="14">
        <v>0.19402985274791701</v>
      </c>
      <c r="R45" s="14">
        <v>0.85674268007278398</v>
      </c>
      <c r="S45" s="14">
        <v>0.37238350510597201</v>
      </c>
      <c r="T45">
        <v>1193</v>
      </c>
      <c r="U45">
        <v>11</v>
      </c>
      <c r="V45">
        <v>97</v>
      </c>
      <c r="W45">
        <v>13</v>
      </c>
    </row>
    <row r="46" spans="1:23" x14ac:dyDescent="0.25">
      <c r="A46" t="s">
        <v>35</v>
      </c>
      <c r="B46">
        <v>1</v>
      </c>
      <c r="C46">
        <v>13</v>
      </c>
      <c r="D46" s="14">
        <v>0.84825235605239802</v>
      </c>
      <c r="E46" s="14">
        <v>0.345744669437408</v>
      </c>
      <c r="F46" s="14">
        <v>0.54166668653488104</v>
      </c>
      <c r="G46" s="14">
        <v>0.42207792401313698</v>
      </c>
      <c r="H46" s="14">
        <v>0.82881456613540605</v>
      </c>
      <c r="I46" s="14">
        <v>0.37043792009353599</v>
      </c>
      <c r="J46">
        <v>930</v>
      </c>
      <c r="K46">
        <v>123</v>
      </c>
      <c r="L46">
        <v>55</v>
      </c>
      <c r="M46">
        <v>65</v>
      </c>
      <c r="N46" s="14">
        <v>0.83789956569671598</v>
      </c>
      <c r="O46" s="14">
        <v>0.27111110091209401</v>
      </c>
      <c r="P46" s="14">
        <v>0.55454546213150002</v>
      </c>
      <c r="Q46" s="14">
        <v>0.36417910456657399</v>
      </c>
      <c r="R46">
        <v>0.83456659317016602</v>
      </c>
      <c r="S46" s="14">
        <v>0.35174927115440302</v>
      </c>
      <c r="T46">
        <v>1040</v>
      </c>
      <c r="U46">
        <v>164</v>
      </c>
      <c r="V46">
        <v>49</v>
      </c>
      <c r="W46">
        <v>61</v>
      </c>
    </row>
    <row r="47" spans="1:23" x14ac:dyDescent="0.25">
      <c r="A47" t="s">
        <v>35</v>
      </c>
      <c r="B47">
        <v>2</v>
      </c>
      <c r="C47">
        <v>12</v>
      </c>
      <c r="D47" s="14">
        <v>0.913008153438568</v>
      </c>
      <c r="E47">
        <v>0.55737704038619995</v>
      </c>
      <c r="F47" s="14">
        <v>0.29824560880661</v>
      </c>
      <c r="G47" s="14">
        <v>0.38857144117355302</v>
      </c>
      <c r="H47" s="14">
        <v>0.83639883995056097</v>
      </c>
      <c r="I47" s="14">
        <v>0.43921542167663502</v>
      </c>
      <c r="J47">
        <v>1089</v>
      </c>
      <c r="K47">
        <v>27</v>
      </c>
      <c r="L47">
        <v>80</v>
      </c>
      <c r="M47">
        <v>34</v>
      </c>
      <c r="N47" s="14">
        <v>0.90182650089263905</v>
      </c>
      <c r="O47" s="14">
        <v>0.34426230192184398</v>
      </c>
      <c r="P47" s="14">
        <v>0.19090908765792799</v>
      </c>
      <c r="Q47" s="14">
        <v>0.24561403691768599</v>
      </c>
      <c r="R47" s="14">
        <v>0.79870134592056197</v>
      </c>
      <c r="S47" s="14">
        <v>0.25840446352958601</v>
      </c>
      <c r="T47">
        <v>1164</v>
      </c>
      <c r="U47">
        <v>40</v>
      </c>
      <c r="V47">
        <v>89</v>
      </c>
      <c r="W47">
        <v>21</v>
      </c>
    </row>
    <row r="48" spans="1:23" x14ac:dyDescent="0.25">
      <c r="A48" t="s">
        <v>35</v>
      </c>
      <c r="B48">
        <v>3</v>
      </c>
      <c r="C48">
        <v>24</v>
      </c>
      <c r="D48" s="14">
        <v>0.86661344766616799</v>
      </c>
      <c r="E48" s="14">
        <v>0.33529412746429399</v>
      </c>
      <c r="F48" s="14">
        <v>0.51351350545883101</v>
      </c>
      <c r="G48" s="14">
        <v>0.40569394826888999</v>
      </c>
      <c r="H48" s="14">
        <v>0.84645992517471302</v>
      </c>
      <c r="I48" s="14">
        <v>0.36728855967521601</v>
      </c>
      <c r="J48">
        <v>1028</v>
      </c>
      <c r="K48">
        <v>113</v>
      </c>
      <c r="L48">
        <v>54</v>
      </c>
      <c r="M48">
        <v>57</v>
      </c>
      <c r="N48" s="14">
        <v>0.85007607936859098</v>
      </c>
      <c r="O48" s="14">
        <v>0.23952095210552199</v>
      </c>
      <c r="P48" s="14">
        <v>0.363636374473571</v>
      </c>
      <c r="Q48">
        <v>0.288808673620224</v>
      </c>
      <c r="R48" s="14">
        <v>0.79241162538528398</v>
      </c>
      <c r="S48" s="14">
        <v>0.248978301882743</v>
      </c>
      <c r="T48">
        <v>1077</v>
      </c>
      <c r="U48">
        <v>127</v>
      </c>
      <c r="V48">
        <v>70</v>
      </c>
      <c r="W48">
        <v>40</v>
      </c>
    </row>
    <row r="49" spans="1:23" x14ac:dyDescent="0.25">
      <c r="A49" t="s">
        <v>35</v>
      </c>
      <c r="B49">
        <v>4</v>
      </c>
      <c r="C49">
        <v>24</v>
      </c>
      <c r="D49" s="14">
        <v>0.91457283496856601</v>
      </c>
      <c r="E49" s="14">
        <v>0.49137932062148998</v>
      </c>
      <c r="F49" s="14">
        <v>0.56999999284744196</v>
      </c>
      <c r="G49" s="14">
        <v>0.52777779102325395</v>
      </c>
      <c r="H49" s="14">
        <v>0.89623397588729803</v>
      </c>
      <c r="I49" s="14">
        <v>0.50428050756454401</v>
      </c>
      <c r="J49">
        <v>1035</v>
      </c>
      <c r="K49">
        <v>59</v>
      </c>
      <c r="L49">
        <v>43</v>
      </c>
      <c r="M49">
        <v>57</v>
      </c>
      <c r="N49">
        <v>0.86605781316757202</v>
      </c>
      <c r="O49" s="14">
        <v>0.28000000119209201</v>
      </c>
      <c r="P49" s="14">
        <v>0.38181817531585599</v>
      </c>
      <c r="Q49" s="14">
        <v>0.32307693362236001</v>
      </c>
      <c r="R49" s="14">
        <v>0.82004678249359098</v>
      </c>
      <c r="S49" s="14">
        <v>0.25700038671493503</v>
      </c>
      <c r="T49">
        <v>1096</v>
      </c>
      <c r="U49">
        <v>108</v>
      </c>
      <c r="V49">
        <v>68</v>
      </c>
      <c r="W49">
        <v>42</v>
      </c>
    </row>
    <row r="50" spans="1:23" x14ac:dyDescent="0.25">
      <c r="A50" t="s">
        <v>34</v>
      </c>
      <c r="B50">
        <v>1</v>
      </c>
      <c r="C50">
        <v>6</v>
      </c>
      <c r="D50" s="14">
        <v>0.88746803998947099</v>
      </c>
      <c r="E50" s="14">
        <v>0.46153846383094699</v>
      </c>
      <c r="F50" s="14">
        <v>0.60000002384185702</v>
      </c>
      <c r="G50">
        <v>0.52173912525177002</v>
      </c>
      <c r="H50" s="14">
        <v>0.84867036342620805</v>
      </c>
      <c r="I50" s="14">
        <v>0.49701082706451399</v>
      </c>
      <c r="J50">
        <v>969</v>
      </c>
      <c r="K50">
        <v>84</v>
      </c>
      <c r="L50">
        <v>48</v>
      </c>
      <c r="M50">
        <v>72</v>
      </c>
      <c r="N50" s="14">
        <v>0.87214612960815396</v>
      </c>
      <c r="O50" s="14">
        <v>0.34895834326744002</v>
      </c>
      <c r="P50" s="14">
        <v>0.60909092426300004</v>
      </c>
      <c r="Q50">
        <v>0.44370859861373901</v>
      </c>
      <c r="R50" s="14">
        <v>0.85996675491332997</v>
      </c>
      <c r="S50">
        <v>0.39321514964103699</v>
      </c>
      <c r="T50">
        <v>1079</v>
      </c>
      <c r="U50">
        <v>125</v>
      </c>
      <c r="V50">
        <v>43</v>
      </c>
      <c r="W50">
        <v>67</v>
      </c>
    </row>
    <row r="51" spans="1:23" x14ac:dyDescent="0.25">
      <c r="A51" t="s">
        <v>34</v>
      </c>
      <c r="B51">
        <v>2</v>
      </c>
      <c r="C51">
        <v>8</v>
      </c>
      <c r="D51" s="14">
        <v>0.91707319021224898</v>
      </c>
      <c r="E51" s="14">
        <v>0.60000002384185702</v>
      </c>
      <c r="F51" s="14">
        <v>0.31578946113586398</v>
      </c>
      <c r="G51" s="14">
        <v>0.41379311680793701</v>
      </c>
      <c r="H51" s="14">
        <v>0.88900679349899203</v>
      </c>
      <c r="I51" s="14">
        <v>0.54354256391525202</v>
      </c>
      <c r="J51">
        <v>1092</v>
      </c>
      <c r="K51">
        <v>24</v>
      </c>
      <c r="L51">
        <v>78</v>
      </c>
      <c r="M51">
        <v>36</v>
      </c>
      <c r="N51" s="14">
        <v>0.91704720258712702</v>
      </c>
      <c r="O51" s="14">
        <v>0.50704222917556696</v>
      </c>
      <c r="P51" s="14">
        <v>0.32727271318435602</v>
      </c>
      <c r="Q51" s="14">
        <v>0.39779004454612699</v>
      </c>
      <c r="R51" s="14">
        <v>0.86401391029357899</v>
      </c>
      <c r="S51" s="14">
        <v>0.44246089458465498</v>
      </c>
      <c r="T51">
        <v>1169</v>
      </c>
      <c r="U51">
        <v>35</v>
      </c>
      <c r="V51">
        <v>74</v>
      </c>
      <c r="W51">
        <v>36</v>
      </c>
    </row>
    <row r="52" spans="1:23" x14ac:dyDescent="0.25">
      <c r="A52" t="s">
        <v>34</v>
      </c>
      <c r="B52">
        <v>3</v>
      </c>
      <c r="C52">
        <v>6</v>
      </c>
      <c r="D52" s="14">
        <v>0.86421728134155196</v>
      </c>
      <c r="E52" s="14">
        <v>0.35748791694641102</v>
      </c>
      <c r="F52" s="14">
        <v>0.66666668653488104</v>
      </c>
      <c r="G52" s="14">
        <v>0.46540880203246998</v>
      </c>
      <c r="H52" s="14">
        <v>0.84707576036453203</v>
      </c>
      <c r="I52" s="14">
        <v>0.42528277635574302</v>
      </c>
      <c r="J52">
        <v>1008</v>
      </c>
      <c r="K52">
        <v>133</v>
      </c>
      <c r="L52">
        <v>37</v>
      </c>
      <c r="M52">
        <v>74</v>
      </c>
      <c r="N52" s="14">
        <v>0.83866059780120805</v>
      </c>
      <c r="O52" s="14">
        <v>0.290983617305755</v>
      </c>
      <c r="P52" s="14">
        <v>0.64545452594757002</v>
      </c>
      <c r="Q52" s="14">
        <v>0.401129931211471</v>
      </c>
      <c r="R52" s="14">
        <v>0.86666423082351596</v>
      </c>
      <c r="S52" s="14">
        <v>0.392840266227722</v>
      </c>
      <c r="T52">
        <v>1031</v>
      </c>
      <c r="U52">
        <v>173</v>
      </c>
      <c r="V52">
        <v>39</v>
      </c>
      <c r="W52">
        <v>71</v>
      </c>
    </row>
    <row r="53" spans="1:23" x14ac:dyDescent="0.25">
      <c r="A53" t="s">
        <v>34</v>
      </c>
      <c r="B53">
        <v>4</v>
      </c>
      <c r="C53">
        <v>8</v>
      </c>
      <c r="D53" s="14">
        <v>0.85175877809524503</v>
      </c>
      <c r="E53" s="14">
        <v>0.33617022633552501</v>
      </c>
      <c r="F53" s="14">
        <v>0.79000002145767201</v>
      </c>
      <c r="G53" s="14">
        <v>0.47164177894592202</v>
      </c>
      <c r="H53" s="14">
        <v>0.88942408561706499</v>
      </c>
      <c r="I53" s="14">
        <v>0.50199639797210605</v>
      </c>
      <c r="J53">
        <v>938</v>
      </c>
      <c r="K53">
        <v>156</v>
      </c>
      <c r="L53">
        <v>21</v>
      </c>
      <c r="M53">
        <v>79</v>
      </c>
      <c r="N53" s="14">
        <v>0.81735157966613703</v>
      </c>
      <c r="O53" s="14">
        <v>0.27586206793785001</v>
      </c>
      <c r="P53" s="14">
        <v>0.727272748947143</v>
      </c>
      <c r="Q53" s="14">
        <v>0.40000000596046398</v>
      </c>
      <c r="R53" s="14">
        <v>0.87003928422927801</v>
      </c>
      <c r="S53" s="14">
        <v>0.42728608846664401</v>
      </c>
      <c r="T53">
        <v>994</v>
      </c>
      <c r="U53">
        <v>210</v>
      </c>
      <c r="V53">
        <v>30</v>
      </c>
      <c r="W53">
        <v>80</v>
      </c>
    </row>
    <row r="54" spans="1:23" x14ac:dyDescent="0.25">
      <c r="A54" t="s">
        <v>33</v>
      </c>
      <c r="B54">
        <v>1</v>
      </c>
      <c r="C54">
        <v>3</v>
      </c>
      <c r="D54" s="14">
        <v>0.869565188884735</v>
      </c>
      <c r="E54" s="14">
        <v>0.40571427345275801</v>
      </c>
      <c r="F54" s="14">
        <v>0.59166663885116499</v>
      </c>
      <c r="G54" s="14">
        <v>0.48135593533515902</v>
      </c>
      <c r="H54" s="14">
        <v>0.85361671447753895</v>
      </c>
      <c r="I54" s="14">
        <v>0.38477489352226202</v>
      </c>
      <c r="J54">
        <v>949</v>
      </c>
      <c r="K54">
        <v>104</v>
      </c>
      <c r="L54">
        <v>49</v>
      </c>
      <c r="M54">
        <v>71</v>
      </c>
      <c r="N54" s="14">
        <v>0.87823438644409102</v>
      </c>
      <c r="O54" s="14">
        <v>0.35955056548118502</v>
      </c>
      <c r="P54">
        <v>0.58181816339492798</v>
      </c>
      <c r="Q54" s="14">
        <v>0.44444444775581299</v>
      </c>
      <c r="R54" s="14">
        <v>0.84364998340606601</v>
      </c>
      <c r="S54" s="14">
        <v>0.351035356521606</v>
      </c>
      <c r="T54">
        <v>1090</v>
      </c>
      <c r="U54">
        <v>114</v>
      </c>
      <c r="V54">
        <v>46</v>
      </c>
      <c r="W54">
        <v>64</v>
      </c>
    </row>
    <row r="55" spans="1:23" x14ac:dyDescent="0.25">
      <c r="A55" t="s">
        <v>33</v>
      </c>
      <c r="B55">
        <v>2</v>
      </c>
      <c r="C55">
        <v>20</v>
      </c>
      <c r="D55" s="14">
        <v>0.90813010931015004</v>
      </c>
      <c r="E55" s="14">
        <v>0.50467288494110096</v>
      </c>
      <c r="F55" s="14">
        <v>0.473684221506118</v>
      </c>
      <c r="G55" s="14">
        <v>0.48868778347969</v>
      </c>
      <c r="H55" s="14">
        <v>0.89228439331054599</v>
      </c>
      <c r="I55" s="14">
        <v>0.52881020307540805</v>
      </c>
      <c r="J55">
        <v>1063</v>
      </c>
      <c r="K55">
        <v>53</v>
      </c>
      <c r="L55">
        <v>60</v>
      </c>
      <c r="M55">
        <v>54</v>
      </c>
      <c r="N55" s="14">
        <v>0.89649921655654896</v>
      </c>
      <c r="O55" s="14">
        <v>0.40845069289207397</v>
      </c>
      <c r="P55" s="14">
        <v>0.52727270126342696</v>
      </c>
      <c r="Q55">
        <v>0.460317462682724</v>
      </c>
      <c r="R55" s="14">
        <v>0.86284357309341397</v>
      </c>
      <c r="S55" s="14">
        <v>0.40798449516296298</v>
      </c>
      <c r="T55">
        <v>1120</v>
      </c>
      <c r="U55">
        <v>84</v>
      </c>
      <c r="V55">
        <v>52</v>
      </c>
      <c r="W55">
        <v>58</v>
      </c>
    </row>
    <row r="56" spans="1:23" x14ac:dyDescent="0.25">
      <c r="A56" t="s">
        <v>33</v>
      </c>
      <c r="B56">
        <v>3</v>
      </c>
      <c r="C56">
        <v>10</v>
      </c>
      <c r="D56" s="14">
        <v>0.91853034496307295</v>
      </c>
      <c r="E56" s="14">
        <v>0.58823531866073597</v>
      </c>
      <c r="F56" s="14">
        <v>0.27027025818824701</v>
      </c>
      <c r="G56" s="14">
        <v>0.37037035822868303</v>
      </c>
      <c r="H56">
        <v>0.86327779293060303</v>
      </c>
      <c r="I56" s="14">
        <v>0.42630520462989802</v>
      </c>
      <c r="J56">
        <v>1120</v>
      </c>
      <c r="K56">
        <v>21</v>
      </c>
      <c r="L56">
        <v>81</v>
      </c>
      <c r="M56">
        <v>30</v>
      </c>
      <c r="N56" s="14">
        <v>0.91476410627365101</v>
      </c>
      <c r="O56" s="14">
        <v>0.481481492519378</v>
      </c>
      <c r="P56" s="14">
        <v>0.236363634467124</v>
      </c>
      <c r="Q56" s="14">
        <v>0.31707316637039101</v>
      </c>
      <c r="R56" s="14">
        <v>0.85711264610290505</v>
      </c>
      <c r="S56" s="14">
        <v>0.405340135097503</v>
      </c>
      <c r="T56">
        <v>1176</v>
      </c>
      <c r="U56">
        <v>28</v>
      </c>
      <c r="V56">
        <v>84</v>
      </c>
      <c r="W56">
        <v>26</v>
      </c>
    </row>
    <row r="57" spans="1:23" x14ac:dyDescent="0.25">
      <c r="A57" t="s">
        <v>33</v>
      </c>
      <c r="B57">
        <v>4</v>
      </c>
      <c r="C57">
        <v>31</v>
      </c>
      <c r="D57" s="14">
        <v>0.90284758806228604</v>
      </c>
      <c r="E57" s="14">
        <v>0.44117647409438998</v>
      </c>
      <c r="F57" s="14">
        <v>0.60000002384185702</v>
      </c>
      <c r="G57">
        <v>0.50847458839416504</v>
      </c>
      <c r="H57" s="14">
        <v>0.89585912227630604</v>
      </c>
      <c r="I57" s="14">
        <v>0.49422031641006398</v>
      </c>
      <c r="J57">
        <v>1018</v>
      </c>
      <c r="K57">
        <v>76</v>
      </c>
      <c r="L57">
        <v>40</v>
      </c>
      <c r="M57">
        <v>60</v>
      </c>
      <c r="N57" s="14">
        <v>0.87747335433959905</v>
      </c>
      <c r="O57" s="14">
        <v>0.35260117053985501</v>
      </c>
      <c r="P57" s="14">
        <v>0.55454546213150002</v>
      </c>
      <c r="Q57" s="14">
        <v>0.431095391511917</v>
      </c>
      <c r="R57" s="14">
        <v>0.84563577175140303</v>
      </c>
      <c r="S57" s="14">
        <v>0.38255935907363797</v>
      </c>
      <c r="T57">
        <v>1092</v>
      </c>
      <c r="U57">
        <v>112</v>
      </c>
      <c r="V57">
        <v>49</v>
      </c>
      <c r="W57">
        <v>61</v>
      </c>
    </row>
    <row r="58" spans="1:23" x14ac:dyDescent="0.25">
      <c r="A58" t="s">
        <v>32</v>
      </c>
      <c r="B58">
        <v>1</v>
      </c>
      <c r="C58">
        <v>20</v>
      </c>
      <c r="D58" s="14">
        <v>0.88064789772033603</v>
      </c>
      <c r="E58">
        <v>0.420634925365448</v>
      </c>
      <c r="F58" s="14">
        <v>0.44166666269302302</v>
      </c>
      <c r="G58" s="14">
        <v>0.430894315242767</v>
      </c>
      <c r="H58" s="14">
        <v>0.85489863157272294</v>
      </c>
      <c r="I58" s="14">
        <v>0.382311850786209</v>
      </c>
      <c r="J58">
        <v>980</v>
      </c>
      <c r="K58">
        <v>73</v>
      </c>
      <c r="L58">
        <v>67</v>
      </c>
      <c r="M58">
        <v>53</v>
      </c>
      <c r="N58" s="14">
        <v>0.89269405603408802</v>
      </c>
      <c r="O58" s="14">
        <v>0.40127387642860401</v>
      </c>
      <c r="P58" s="14">
        <v>0.57272726297378496</v>
      </c>
      <c r="Q58" s="14">
        <v>0.47191011905670099</v>
      </c>
      <c r="R58" s="14">
        <v>0.85637271404266302</v>
      </c>
      <c r="S58" s="14">
        <v>0.49981117248535101</v>
      </c>
      <c r="T58">
        <v>1110</v>
      </c>
      <c r="U58">
        <v>94</v>
      </c>
      <c r="V58">
        <v>47</v>
      </c>
      <c r="W58">
        <v>63</v>
      </c>
    </row>
    <row r="59" spans="1:23" x14ac:dyDescent="0.25">
      <c r="A59" t="s">
        <v>32</v>
      </c>
      <c r="B59">
        <v>2</v>
      </c>
      <c r="C59">
        <v>4</v>
      </c>
      <c r="D59" s="14">
        <v>0.89918696880340498</v>
      </c>
      <c r="E59">
        <v>0.4609375</v>
      </c>
      <c r="F59" s="14">
        <v>0.51754385232925404</v>
      </c>
      <c r="G59" s="14">
        <v>0.48760330677032399</v>
      </c>
      <c r="H59">
        <v>0.90357160568237305</v>
      </c>
      <c r="I59" s="14">
        <v>0.49297505617141701</v>
      </c>
      <c r="J59">
        <v>1047</v>
      </c>
      <c r="K59">
        <v>69</v>
      </c>
      <c r="L59">
        <v>55</v>
      </c>
      <c r="M59">
        <v>59</v>
      </c>
      <c r="N59" s="14">
        <v>0.88508373498916604</v>
      </c>
      <c r="O59" s="14">
        <v>0.36054420471191401</v>
      </c>
      <c r="P59" s="14">
        <v>0.48181816935539201</v>
      </c>
      <c r="Q59" s="14">
        <v>0.41245135664939803</v>
      </c>
      <c r="R59">
        <v>0.85785257816314697</v>
      </c>
      <c r="S59" s="14">
        <v>0.37971735000610302</v>
      </c>
      <c r="T59">
        <v>1110</v>
      </c>
      <c r="U59">
        <v>94</v>
      </c>
      <c r="V59">
        <v>57</v>
      </c>
      <c r="W59">
        <v>53</v>
      </c>
    </row>
    <row r="60" spans="1:23" x14ac:dyDescent="0.25">
      <c r="A60" t="s">
        <v>32</v>
      </c>
      <c r="B60">
        <v>3</v>
      </c>
      <c r="C60">
        <v>9</v>
      </c>
      <c r="D60" s="14">
        <v>0.90335464477538996</v>
      </c>
      <c r="E60" s="14">
        <v>0.459016382694244</v>
      </c>
      <c r="F60" s="14">
        <v>0.50450450181961004</v>
      </c>
      <c r="G60" s="14">
        <v>0.48068669438362099</v>
      </c>
      <c r="H60" s="14">
        <v>0.85838246345519997</v>
      </c>
      <c r="I60" s="14">
        <v>0.48779803514480502</v>
      </c>
      <c r="J60">
        <v>1075</v>
      </c>
      <c r="K60">
        <v>66</v>
      </c>
      <c r="L60">
        <v>55</v>
      </c>
      <c r="M60">
        <v>56</v>
      </c>
      <c r="N60" s="14">
        <v>0.88432270288467396</v>
      </c>
      <c r="O60">
        <v>0.375</v>
      </c>
      <c r="P60" s="14">
        <v>0.57272726297378496</v>
      </c>
      <c r="Q60" s="14">
        <v>0.453237414360046</v>
      </c>
      <c r="R60" s="14">
        <v>0.86078971624374301</v>
      </c>
      <c r="S60" s="14">
        <v>0.46594262123107899</v>
      </c>
      <c r="T60">
        <v>1099</v>
      </c>
      <c r="U60">
        <v>105</v>
      </c>
      <c r="V60">
        <v>47</v>
      </c>
      <c r="W60">
        <v>63</v>
      </c>
    </row>
    <row r="61" spans="1:23" x14ac:dyDescent="0.25">
      <c r="A61" t="s">
        <v>32</v>
      </c>
      <c r="B61">
        <v>4</v>
      </c>
      <c r="C61">
        <v>8</v>
      </c>
      <c r="D61" s="14">
        <v>0.86097151041030795</v>
      </c>
      <c r="E61" s="14">
        <v>0.34722220897674499</v>
      </c>
      <c r="F61">
        <v>0.75</v>
      </c>
      <c r="G61">
        <v>0.47468355298042297</v>
      </c>
      <c r="H61" s="14">
        <v>0.89904934167861905</v>
      </c>
      <c r="I61" s="14">
        <v>0.48348343372344899</v>
      </c>
      <c r="J61">
        <v>953</v>
      </c>
      <c r="K61">
        <v>141</v>
      </c>
      <c r="L61">
        <v>25</v>
      </c>
      <c r="M61">
        <v>75</v>
      </c>
      <c r="N61">
        <v>0.83181124925613403</v>
      </c>
      <c r="O61" s="14">
        <v>0.30249109864234902</v>
      </c>
      <c r="P61" s="14">
        <v>0.772727251052856</v>
      </c>
      <c r="Q61" s="14">
        <v>0.434782594442367</v>
      </c>
      <c r="R61" s="14">
        <v>0.87798994779586703</v>
      </c>
      <c r="S61" s="14">
        <v>0.39214628934860202</v>
      </c>
      <c r="T61">
        <v>1008</v>
      </c>
      <c r="U61">
        <v>196</v>
      </c>
      <c r="V61">
        <v>25</v>
      </c>
      <c r="W61">
        <v>85</v>
      </c>
    </row>
    <row r="62" spans="1:23" x14ac:dyDescent="0.25">
      <c r="A62" t="s">
        <v>31</v>
      </c>
      <c r="B62">
        <v>1</v>
      </c>
      <c r="C62">
        <v>45</v>
      </c>
      <c r="D62" s="14">
        <v>0.88320547342300404</v>
      </c>
      <c r="E62">
        <v>0.39506173133850098</v>
      </c>
      <c r="F62" s="14">
        <v>0.266666680574417</v>
      </c>
      <c r="G62" s="14">
        <v>0.318407952785491</v>
      </c>
      <c r="H62" s="14">
        <v>0.81348526477813698</v>
      </c>
      <c r="I62" s="14">
        <v>0.33723288774490301</v>
      </c>
      <c r="J62">
        <v>1004</v>
      </c>
      <c r="K62">
        <v>49</v>
      </c>
      <c r="L62">
        <v>88</v>
      </c>
      <c r="M62">
        <v>32</v>
      </c>
      <c r="N62">
        <v>0.90106546878814697</v>
      </c>
      <c r="O62" s="14">
        <v>0.403846144676208</v>
      </c>
      <c r="P62" s="14">
        <v>0.38181817531585599</v>
      </c>
      <c r="Q62" s="14">
        <v>0.39252337813377303</v>
      </c>
      <c r="R62" s="14">
        <v>0.81936728954315097</v>
      </c>
      <c r="S62" s="14">
        <v>0.32699429988861001</v>
      </c>
      <c r="T62">
        <v>1142</v>
      </c>
      <c r="U62">
        <v>62</v>
      </c>
      <c r="V62">
        <v>68</v>
      </c>
      <c r="W62">
        <v>42</v>
      </c>
    </row>
    <row r="63" spans="1:23" x14ac:dyDescent="0.25">
      <c r="A63" t="s">
        <v>31</v>
      </c>
      <c r="B63">
        <v>2</v>
      </c>
      <c r="C63">
        <v>4</v>
      </c>
      <c r="D63" s="14">
        <v>0.90731710195541304</v>
      </c>
      <c r="E63">
        <v>0.5</v>
      </c>
      <c r="F63" s="14">
        <v>0.26315790414810097</v>
      </c>
      <c r="G63" s="14">
        <v>0.34482759237289401</v>
      </c>
      <c r="H63" s="14">
        <v>0.85689806938171298</v>
      </c>
      <c r="I63" s="14">
        <v>0.39140477776527399</v>
      </c>
      <c r="J63">
        <v>1086</v>
      </c>
      <c r="K63">
        <v>30</v>
      </c>
      <c r="L63">
        <v>84</v>
      </c>
      <c r="M63">
        <v>30</v>
      </c>
      <c r="N63" s="14">
        <v>0.89269405603408802</v>
      </c>
      <c r="O63" s="14">
        <v>0.287671238183975</v>
      </c>
      <c r="P63" s="14">
        <v>0.19090908765792799</v>
      </c>
      <c r="Q63" s="14">
        <v>0.229508191347122</v>
      </c>
      <c r="R63" s="14">
        <v>0.76944279670715299</v>
      </c>
      <c r="S63" s="14">
        <v>0.230017140507698</v>
      </c>
      <c r="T63">
        <v>1152</v>
      </c>
      <c r="U63">
        <v>52</v>
      </c>
      <c r="V63">
        <v>89</v>
      </c>
      <c r="W63">
        <v>21</v>
      </c>
    </row>
    <row r="64" spans="1:23" x14ac:dyDescent="0.25">
      <c r="A64" t="s">
        <v>31</v>
      </c>
      <c r="B64">
        <v>3</v>
      </c>
      <c r="C64">
        <v>6</v>
      </c>
      <c r="D64" s="14">
        <v>0.84744411706924405</v>
      </c>
      <c r="E64">
        <v>0.30198019742965698</v>
      </c>
      <c r="F64" s="14">
        <v>0.549549520015716</v>
      </c>
      <c r="G64">
        <v>0.38977634906768799</v>
      </c>
      <c r="H64" s="14">
        <v>0.81745111942291204</v>
      </c>
      <c r="I64" s="14">
        <v>0.33580386638641302</v>
      </c>
      <c r="J64">
        <v>1000</v>
      </c>
      <c r="K64">
        <v>141</v>
      </c>
      <c r="L64">
        <v>50</v>
      </c>
      <c r="M64">
        <v>61</v>
      </c>
      <c r="N64" s="14">
        <v>0.83409434556961004</v>
      </c>
      <c r="O64" s="14">
        <v>0.25892856717109602</v>
      </c>
      <c r="P64" s="14">
        <v>0.52727270126342696</v>
      </c>
      <c r="Q64" s="14">
        <v>0.347305387258529</v>
      </c>
      <c r="R64" s="14">
        <v>0.80030208826064997</v>
      </c>
      <c r="S64" s="14">
        <v>0.27865141630172702</v>
      </c>
      <c r="T64">
        <v>1038</v>
      </c>
      <c r="U64">
        <v>166</v>
      </c>
      <c r="V64">
        <v>52</v>
      </c>
      <c r="W64">
        <v>58</v>
      </c>
    </row>
    <row r="65" spans="1:23" x14ac:dyDescent="0.25">
      <c r="A65" t="s">
        <v>31</v>
      </c>
      <c r="B65">
        <v>4</v>
      </c>
      <c r="C65">
        <v>17</v>
      </c>
      <c r="D65" s="14">
        <v>0.842546045780181</v>
      </c>
      <c r="E65" s="14">
        <v>0.30000001192092801</v>
      </c>
      <c r="F65" s="14">
        <v>0.66000002622604304</v>
      </c>
      <c r="G65" s="14">
        <v>0.41249999403953502</v>
      </c>
      <c r="H65" s="14">
        <v>0.87033820152282704</v>
      </c>
      <c r="I65" s="14">
        <v>0.38080042600631703</v>
      </c>
      <c r="J65">
        <v>940</v>
      </c>
      <c r="K65">
        <v>154</v>
      </c>
      <c r="L65">
        <v>34</v>
      </c>
      <c r="M65">
        <v>66</v>
      </c>
      <c r="N65" s="14">
        <v>0.82952815294265703</v>
      </c>
      <c r="O65" s="14">
        <v>0.27559053897857599</v>
      </c>
      <c r="P65" s="14">
        <v>0.636363625526428</v>
      </c>
      <c r="Q65" s="14">
        <v>0.38461539149284302</v>
      </c>
      <c r="R65" s="14">
        <v>0.84190577268600397</v>
      </c>
      <c r="S65" s="14">
        <v>0.31651219725608798</v>
      </c>
      <c r="T65">
        <v>1020</v>
      </c>
      <c r="U65">
        <v>184</v>
      </c>
      <c r="V65">
        <v>40</v>
      </c>
      <c r="W65">
        <v>70</v>
      </c>
    </row>
    <row r="66" spans="1:23" x14ac:dyDescent="0.25">
      <c r="A66" t="s">
        <v>30</v>
      </c>
      <c r="B66">
        <v>1</v>
      </c>
      <c r="C66">
        <v>38</v>
      </c>
      <c r="D66" s="14">
        <v>0.89769822359085005</v>
      </c>
      <c r="E66">
        <v>0</v>
      </c>
      <c r="F66">
        <v>0</v>
      </c>
      <c r="G66">
        <v>0</v>
      </c>
      <c r="H66" s="14">
        <v>0.69873368740081698</v>
      </c>
      <c r="I66" s="14">
        <v>0.19846300780773099</v>
      </c>
      <c r="J66">
        <v>1053</v>
      </c>
      <c r="K66">
        <v>0</v>
      </c>
      <c r="L66">
        <v>120</v>
      </c>
      <c r="M66">
        <v>0</v>
      </c>
      <c r="N66" s="14">
        <v>0.91628617048263505</v>
      </c>
      <c r="O66">
        <v>0</v>
      </c>
      <c r="P66">
        <v>0</v>
      </c>
      <c r="Q66">
        <v>0</v>
      </c>
      <c r="R66" s="14">
        <v>0.68266385793685902</v>
      </c>
      <c r="S66" s="14">
        <v>0.178153902292251</v>
      </c>
      <c r="T66">
        <v>1204</v>
      </c>
      <c r="U66">
        <v>0</v>
      </c>
      <c r="V66">
        <v>110</v>
      </c>
      <c r="W66">
        <v>0</v>
      </c>
    </row>
    <row r="67" spans="1:23" x14ac:dyDescent="0.25">
      <c r="A67" t="s">
        <v>30</v>
      </c>
      <c r="B67">
        <v>2</v>
      </c>
      <c r="C67">
        <v>46</v>
      </c>
      <c r="D67" s="14">
        <v>0.90731710195541304</v>
      </c>
      <c r="E67">
        <v>0</v>
      </c>
      <c r="F67">
        <v>0</v>
      </c>
      <c r="G67">
        <v>0</v>
      </c>
      <c r="H67" s="14">
        <v>0.74301230907440097</v>
      </c>
      <c r="I67" s="14">
        <v>0.22170831263065299</v>
      </c>
      <c r="J67">
        <v>1116</v>
      </c>
      <c r="K67">
        <v>0</v>
      </c>
      <c r="L67">
        <v>114</v>
      </c>
      <c r="M67">
        <v>0</v>
      </c>
      <c r="N67" s="14">
        <v>0.91628617048263505</v>
      </c>
      <c r="O67">
        <v>0</v>
      </c>
      <c r="P67">
        <v>0</v>
      </c>
      <c r="Q67">
        <v>0</v>
      </c>
      <c r="R67" s="14">
        <v>0.67980223894119196</v>
      </c>
      <c r="S67" s="14">
        <v>0.13317538797855299</v>
      </c>
      <c r="T67">
        <v>1204</v>
      </c>
      <c r="U67">
        <v>0</v>
      </c>
      <c r="V67">
        <v>110</v>
      </c>
      <c r="W67">
        <v>0</v>
      </c>
    </row>
    <row r="68" spans="1:23" x14ac:dyDescent="0.25">
      <c r="A68" t="s">
        <v>30</v>
      </c>
      <c r="B68">
        <v>3</v>
      </c>
      <c r="C68">
        <v>48</v>
      </c>
      <c r="D68" s="14">
        <v>0.91134184598922696</v>
      </c>
      <c r="E68">
        <v>0</v>
      </c>
      <c r="F68">
        <v>0</v>
      </c>
      <c r="G68">
        <v>0</v>
      </c>
      <c r="H68" s="14">
        <v>0.65843927860259999</v>
      </c>
      <c r="I68" s="14">
        <v>0.13704247772693601</v>
      </c>
      <c r="J68">
        <v>1141</v>
      </c>
      <c r="K68">
        <v>0</v>
      </c>
      <c r="L68">
        <v>111</v>
      </c>
      <c r="M68">
        <v>0</v>
      </c>
      <c r="N68" s="14">
        <v>0.91628617048263505</v>
      </c>
      <c r="O68">
        <v>0</v>
      </c>
      <c r="P68">
        <v>0</v>
      </c>
      <c r="Q68">
        <v>0</v>
      </c>
      <c r="R68" s="14">
        <v>0.65945333242416304</v>
      </c>
      <c r="S68" s="14">
        <v>0.12829360365867601</v>
      </c>
      <c r="T68">
        <v>1204</v>
      </c>
      <c r="U68">
        <v>0</v>
      </c>
      <c r="V68">
        <v>110</v>
      </c>
      <c r="W68">
        <v>0</v>
      </c>
    </row>
    <row r="69" spans="1:23" x14ac:dyDescent="0.25">
      <c r="A69" t="s">
        <v>30</v>
      </c>
      <c r="B69">
        <v>4</v>
      </c>
      <c r="C69">
        <v>50</v>
      </c>
      <c r="D69" s="14">
        <v>0.91624790430068903</v>
      </c>
      <c r="E69">
        <v>0</v>
      </c>
      <c r="F69">
        <v>0</v>
      </c>
      <c r="G69">
        <v>0</v>
      </c>
      <c r="H69" s="14">
        <v>0.757659971714019</v>
      </c>
      <c r="I69" s="14">
        <v>0.22631020843982599</v>
      </c>
      <c r="J69">
        <v>1094</v>
      </c>
      <c r="K69">
        <v>0</v>
      </c>
      <c r="L69">
        <v>100</v>
      </c>
      <c r="M69">
        <v>0</v>
      </c>
      <c r="N69" s="14">
        <v>0.91628617048263505</v>
      </c>
      <c r="O69">
        <v>0</v>
      </c>
      <c r="P69">
        <v>0</v>
      </c>
      <c r="Q69">
        <v>0</v>
      </c>
      <c r="R69" s="14">
        <v>0.71057081222534102</v>
      </c>
      <c r="S69" s="14">
        <v>0.17822530865669201</v>
      </c>
      <c r="T69">
        <v>1204</v>
      </c>
      <c r="U69">
        <v>0</v>
      </c>
      <c r="V69">
        <v>110</v>
      </c>
      <c r="W69">
        <v>0</v>
      </c>
    </row>
    <row r="70" spans="1:23" x14ac:dyDescent="0.25">
      <c r="A70" t="s">
        <v>29</v>
      </c>
      <c r="B70">
        <v>1</v>
      </c>
      <c r="C70">
        <v>16</v>
      </c>
      <c r="D70" s="14">
        <v>0.89769822359085005</v>
      </c>
      <c r="E70">
        <v>0</v>
      </c>
      <c r="F70">
        <v>0</v>
      </c>
      <c r="G70">
        <v>0</v>
      </c>
      <c r="H70">
        <v>0.70262742042541504</v>
      </c>
      <c r="I70" s="14">
        <v>0.183729007840156</v>
      </c>
      <c r="J70">
        <v>1053</v>
      </c>
      <c r="K70">
        <v>0</v>
      </c>
      <c r="L70">
        <v>120</v>
      </c>
      <c r="M70">
        <v>0</v>
      </c>
      <c r="N70" s="14">
        <v>0.91628617048263505</v>
      </c>
      <c r="O70">
        <v>0</v>
      </c>
      <c r="P70">
        <v>0</v>
      </c>
      <c r="Q70">
        <v>0</v>
      </c>
      <c r="R70" s="14">
        <v>0.67237246036529497</v>
      </c>
      <c r="S70" s="14">
        <v>0.140773341059684</v>
      </c>
      <c r="T70">
        <v>1204</v>
      </c>
      <c r="U70">
        <v>0</v>
      </c>
      <c r="V70">
        <v>110</v>
      </c>
      <c r="W70">
        <v>0</v>
      </c>
    </row>
    <row r="71" spans="1:23" x14ac:dyDescent="0.25">
      <c r="A71" t="s">
        <v>29</v>
      </c>
      <c r="B71">
        <v>2</v>
      </c>
      <c r="C71">
        <v>34</v>
      </c>
      <c r="D71" s="14">
        <v>0.90731710195541304</v>
      </c>
      <c r="E71">
        <v>0</v>
      </c>
      <c r="F71">
        <v>0</v>
      </c>
      <c r="G71">
        <v>0</v>
      </c>
      <c r="H71" s="14">
        <v>0.73716443777084295</v>
      </c>
      <c r="I71" s="14">
        <v>0.22935152053832999</v>
      </c>
      <c r="J71">
        <v>1116</v>
      </c>
      <c r="K71">
        <v>0</v>
      </c>
      <c r="L71">
        <v>114</v>
      </c>
      <c r="M71">
        <v>0</v>
      </c>
      <c r="N71" s="14">
        <v>0.91628617048263505</v>
      </c>
      <c r="O71">
        <v>0</v>
      </c>
      <c r="P71">
        <v>0</v>
      </c>
      <c r="Q71">
        <v>0</v>
      </c>
      <c r="R71" s="14">
        <v>0.682497799396514</v>
      </c>
      <c r="S71" s="14">
        <v>0.139206692576408</v>
      </c>
      <c r="T71">
        <v>1204</v>
      </c>
      <c r="U71">
        <v>0</v>
      </c>
      <c r="V71">
        <v>110</v>
      </c>
      <c r="W71">
        <v>0</v>
      </c>
    </row>
    <row r="72" spans="1:23" x14ac:dyDescent="0.25">
      <c r="A72" t="s">
        <v>29</v>
      </c>
      <c r="B72">
        <v>3</v>
      </c>
      <c r="C72">
        <v>31</v>
      </c>
      <c r="D72" s="14">
        <v>0.91134184598922696</v>
      </c>
      <c r="E72">
        <v>0</v>
      </c>
      <c r="F72">
        <v>0</v>
      </c>
      <c r="G72">
        <v>0</v>
      </c>
      <c r="H72" s="14">
        <v>0.67117512226104703</v>
      </c>
      <c r="I72" s="14">
        <v>0.14150363206863401</v>
      </c>
      <c r="J72">
        <v>1141</v>
      </c>
      <c r="K72">
        <v>0</v>
      </c>
      <c r="L72">
        <v>111</v>
      </c>
      <c r="M72">
        <v>0</v>
      </c>
      <c r="N72" s="14">
        <v>0.91628617048263505</v>
      </c>
      <c r="O72">
        <v>0</v>
      </c>
      <c r="P72">
        <v>0</v>
      </c>
      <c r="Q72">
        <v>0</v>
      </c>
      <c r="R72" s="14">
        <v>0.63686954975128096</v>
      </c>
      <c r="S72" s="14">
        <v>0.124480061233043</v>
      </c>
      <c r="T72">
        <v>1204</v>
      </c>
      <c r="U72">
        <v>0</v>
      </c>
      <c r="V72">
        <v>110</v>
      </c>
      <c r="W72">
        <v>0</v>
      </c>
    </row>
    <row r="73" spans="1:23" x14ac:dyDescent="0.25">
      <c r="A73" t="s">
        <v>29</v>
      </c>
      <c r="B73">
        <v>4</v>
      </c>
      <c r="C73">
        <v>45</v>
      </c>
      <c r="D73" s="14">
        <v>0.91541039943695002</v>
      </c>
      <c r="E73">
        <v>0</v>
      </c>
      <c r="F73">
        <v>0</v>
      </c>
      <c r="G73">
        <v>0</v>
      </c>
      <c r="H73" s="14">
        <v>0.72410422563552801</v>
      </c>
      <c r="I73" s="14">
        <v>0.21840052306652</v>
      </c>
      <c r="J73">
        <v>1093</v>
      </c>
      <c r="K73">
        <v>1</v>
      </c>
      <c r="L73">
        <v>100</v>
      </c>
      <c r="M73">
        <v>0</v>
      </c>
      <c r="N73" s="14">
        <v>0.91628617048263505</v>
      </c>
      <c r="O73">
        <v>0</v>
      </c>
      <c r="P73">
        <v>0</v>
      </c>
      <c r="Q73">
        <v>0</v>
      </c>
      <c r="R73" s="14">
        <v>0.68302631378173795</v>
      </c>
      <c r="S73" s="14">
        <v>0.149020060896873</v>
      </c>
      <c r="T73">
        <v>1204</v>
      </c>
      <c r="U73">
        <v>0</v>
      </c>
      <c r="V73">
        <v>110</v>
      </c>
      <c r="W73">
        <v>0</v>
      </c>
    </row>
  </sheetData>
  <pageMargins left="0.25" right="0.25" top="0.75" bottom="0.75" header="0.3" footer="0.3"/>
  <pageSetup paperSize="9" scale="60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CCED3-A6F3-4C24-AD53-7CD9EE1D43CC}">
  <sheetPr>
    <tabColor theme="3" tint="0.249977111117893"/>
  </sheetPr>
  <dimension ref="A1:L73"/>
  <sheetViews>
    <sheetView topLeftCell="A29" workbookViewId="0">
      <selection activeCell="G68" sqref="G68"/>
    </sheetView>
  </sheetViews>
  <sheetFormatPr defaultRowHeight="15" x14ac:dyDescent="0.25"/>
  <cols>
    <col min="1" max="1" width="20.5703125" bestFit="1" customWidth="1"/>
    <col min="2" max="2" width="6.85546875" bestFit="1" customWidth="1"/>
    <col min="3" max="3" width="15.7109375" bestFit="1" customWidth="1"/>
    <col min="4" max="4" width="16.28515625" bestFit="1" customWidth="1"/>
    <col min="5" max="5" width="12.7109375" bestFit="1" customWidth="1"/>
    <col min="6" max="6" width="12" bestFit="1" customWidth="1"/>
    <col min="7" max="7" width="12.7109375" bestFit="1" customWidth="1"/>
    <col min="8" max="8" width="24.42578125" bestFit="1" customWidth="1"/>
    <col min="9" max="9" width="10.140625" bestFit="1" customWidth="1"/>
    <col min="10" max="10" width="9.85546875" bestFit="1" customWidth="1"/>
    <col min="11" max="11" width="10.140625" bestFit="1" customWidth="1"/>
    <col min="12" max="12" width="9.85546875" bestFit="1" customWidth="1"/>
  </cols>
  <sheetData>
    <row r="1" spans="1:12" x14ac:dyDescent="0.25">
      <c r="A1" t="s">
        <v>69</v>
      </c>
      <c r="B1" t="s">
        <v>68</v>
      </c>
      <c r="C1" t="s">
        <v>56</v>
      </c>
      <c r="D1" t="s">
        <v>55</v>
      </c>
      <c r="E1" t="s">
        <v>54</v>
      </c>
      <c r="F1" t="s">
        <v>53</v>
      </c>
      <c r="G1" t="s">
        <v>52</v>
      </c>
      <c r="H1" t="s">
        <v>51</v>
      </c>
      <c r="I1" t="s">
        <v>50</v>
      </c>
      <c r="J1" t="s">
        <v>49</v>
      </c>
      <c r="K1" t="s">
        <v>48</v>
      </c>
      <c r="L1" t="s">
        <v>47</v>
      </c>
    </row>
    <row r="2" spans="1:12" x14ac:dyDescent="0.25">
      <c r="A2" t="s">
        <v>46</v>
      </c>
      <c r="B2">
        <v>1</v>
      </c>
      <c r="C2">
        <v>0.69565218687057495</v>
      </c>
      <c r="D2">
        <v>0.94736844301223755</v>
      </c>
      <c r="E2">
        <v>0.39130434393882751</v>
      </c>
      <c r="F2">
        <v>0.55384618043899536</v>
      </c>
      <c r="G2">
        <v>0.81092804670333862</v>
      </c>
      <c r="H2">
        <v>0.83184784650802612</v>
      </c>
      <c r="I2">
        <v>338</v>
      </c>
      <c r="J2">
        <v>7</v>
      </c>
      <c r="K2">
        <v>196</v>
      </c>
      <c r="L2">
        <v>126</v>
      </c>
    </row>
    <row r="3" spans="1:12" x14ac:dyDescent="0.25">
      <c r="A3" t="s">
        <v>46</v>
      </c>
      <c r="B3">
        <v>2</v>
      </c>
      <c r="C3">
        <v>0.66866564750671387</v>
      </c>
      <c r="D3">
        <v>0.85314685106277466</v>
      </c>
      <c r="E3">
        <v>0.37888199090957642</v>
      </c>
      <c r="F3">
        <v>0.52473115921020508</v>
      </c>
      <c r="G3">
        <v>0.75666570663452148</v>
      </c>
      <c r="H3">
        <v>0.77139532566070557</v>
      </c>
      <c r="I3">
        <v>324</v>
      </c>
      <c r="J3">
        <v>21</v>
      </c>
      <c r="K3">
        <v>200</v>
      </c>
      <c r="L3">
        <v>122</v>
      </c>
    </row>
    <row r="4" spans="1:12" x14ac:dyDescent="0.25">
      <c r="A4" t="s">
        <v>46</v>
      </c>
      <c r="B4">
        <v>3</v>
      </c>
      <c r="C4">
        <v>0.61169415712356567</v>
      </c>
      <c r="D4">
        <v>0.86206895112991333</v>
      </c>
      <c r="E4">
        <v>0.23291926085948944</v>
      </c>
      <c r="F4">
        <v>0.3667481541633606</v>
      </c>
      <c r="G4">
        <v>0.75101274251937866</v>
      </c>
      <c r="H4">
        <v>0.74560064077377319</v>
      </c>
      <c r="I4">
        <v>333</v>
      </c>
      <c r="J4">
        <v>12</v>
      </c>
      <c r="K4">
        <v>247</v>
      </c>
      <c r="L4">
        <v>75</v>
      </c>
    </row>
    <row r="5" spans="1:12" x14ac:dyDescent="0.25">
      <c r="A5" t="s">
        <v>46</v>
      </c>
      <c r="B5">
        <v>4</v>
      </c>
      <c r="C5">
        <v>0.70014995336532593</v>
      </c>
      <c r="D5">
        <v>0.88125002384185791</v>
      </c>
      <c r="E5">
        <v>0.43788820505142212</v>
      </c>
      <c r="F5">
        <v>0.58506226539611816</v>
      </c>
      <c r="G5">
        <v>0.78428298234939575</v>
      </c>
      <c r="H5">
        <v>0.80389529466629028</v>
      </c>
      <c r="I5">
        <v>326</v>
      </c>
      <c r="J5">
        <v>19</v>
      </c>
      <c r="K5">
        <v>181</v>
      </c>
      <c r="L5">
        <v>141</v>
      </c>
    </row>
    <row r="6" spans="1:12" x14ac:dyDescent="0.25">
      <c r="A6" t="s">
        <v>45</v>
      </c>
      <c r="B6">
        <v>1</v>
      </c>
      <c r="C6">
        <v>0.69115442037582397</v>
      </c>
      <c r="D6">
        <v>0.89189189672470093</v>
      </c>
      <c r="E6">
        <v>0.40993788838386536</v>
      </c>
      <c r="F6">
        <v>0.56170213222503662</v>
      </c>
      <c r="G6">
        <v>0.79862278699874878</v>
      </c>
      <c r="H6">
        <v>0.80966544151306152</v>
      </c>
      <c r="I6">
        <v>329</v>
      </c>
      <c r="J6">
        <v>16</v>
      </c>
      <c r="K6">
        <v>190</v>
      </c>
      <c r="L6">
        <v>132</v>
      </c>
    </row>
    <row r="7" spans="1:12" x14ac:dyDescent="0.25">
      <c r="A7" t="s">
        <v>45</v>
      </c>
      <c r="B7">
        <v>2</v>
      </c>
      <c r="C7">
        <v>0.57571214437484741</v>
      </c>
      <c r="D7">
        <v>0.88235294818878174</v>
      </c>
      <c r="E7">
        <v>0.13975155353546143</v>
      </c>
      <c r="F7">
        <v>0.24128685891628265</v>
      </c>
      <c r="G7">
        <v>0.74853724241256714</v>
      </c>
      <c r="H7">
        <v>0.74480986595153809</v>
      </c>
      <c r="I7">
        <v>339</v>
      </c>
      <c r="J7">
        <v>6</v>
      </c>
      <c r="K7">
        <v>277</v>
      </c>
      <c r="L7">
        <v>45</v>
      </c>
    </row>
    <row r="8" spans="1:12" x14ac:dyDescent="0.25">
      <c r="A8" t="s">
        <v>45</v>
      </c>
      <c r="B8">
        <v>3</v>
      </c>
      <c r="C8">
        <v>0.66416794061660767</v>
      </c>
      <c r="D8">
        <v>0.90163934230804443</v>
      </c>
      <c r="E8">
        <v>0.34161490201950073</v>
      </c>
      <c r="F8">
        <v>0.4954954981803894</v>
      </c>
      <c r="G8">
        <v>0.81018096208572388</v>
      </c>
      <c r="H8">
        <v>0.80914407968521118</v>
      </c>
      <c r="I8">
        <v>333</v>
      </c>
      <c r="J8">
        <v>12</v>
      </c>
      <c r="K8">
        <v>212</v>
      </c>
      <c r="L8">
        <v>110</v>
      </c>
    </row>
    <row r="9" spans="1:12" x14ac:dyDescent="0.25">
      <c r="A9" t="s">
        <v>45</v>
      </c>
      <c r="B9">
        <v>4</v>
      </c>
      <c r="C9">
        <v>0.58770614862442017</v>
      </c>
      <c r="D9">
        <v>0.89830505847930908</v>
      </c>
      <c r="E9">
        <v>0.16459627449512482</v>
      </c>
      <c r="F9">
        <v>0.27821522951126099</v>
      </c>
      <c r="G9">
        <v>0.75701683759689331</v>
      </c>
      <c r="H9">
        <v>0.76895564794540405</v>
      </c>
      <c r="I9">
        <v>339</v>
      </c>
      <c r="J9">
        <v>6</v>
      </c>
      <c r="K9">
        <v>269</v>
      </c>
      <c r="L9">
        <v>53</v>
      </c>
    </row>
    <row r="10" spans="1:12" x14ac:dyDescent="0.25">
      <c r="A10" t="s">
        <v>44</v>
      </c>
      <c r="B10">
        <v>1</v>
      </c>
      <c r="C10">
        <v>0.64767616987228394</v>
      </c>
      <c r="D10">
        <v>0.96774190664291382</v>
      </c>
      <c r="E10">
        <v>0.27950310707092285</v>
      </c>
      <c r="F10">
        <v>0.4337349534034729</v>
      </c>
      <c r="G10">
        <v>0.78731662034988403</v>
      </c>
      <c r="H10">
        <v>0.81632018089294434</v>
      </c>
      <c r="I10">
        <v>342</v>
      </c>
      <c r="J10">
        <v>3</v>
      </c>
      <c r="K10">
        <v>232</v>
      </c>
      <c r="L10">
        <v>90</v>
      </c>
    </row>
    <row r="11" spans="1:12" x14ac:dyDescent="0.25">
      <c r="A11" t="s">
        <v>44</v>
      </c>
      <c r="B11">
        <v>2</v>
      </c>
      <c r="C11">
        <v>0.57871061563491821</v>
      </c>
      <c r="D11">
        <v>0.97674417495727539</v>
      </c>
      <c r="E11">
        <v>0.1304347813129425</v>
      </c>
      <c r="F11">
        <v>0.23013699054718018</v>
      </c>
      <c r="G11">
        <v>0.77729767560958862</v>
      </c>
      <c r="H11">
        <v>0.80045926570892334</v>
      </c>
      <c r="I11">
        <v>344</v>
      </c>
      <c r="J11">
        <v>1</v>
      </c>
      <c r="K11">
        <v>280</v>
      </c>
      <c r="L11">
        <v>42</v>
      </c>
    </row>
    <row r="12" spans="1:12" x14ac:dyDescent="0.25">
      <c r="A12" t="s">
        <v>44</v>
      </c>
      <c r="B12">
        <v>3</v>
      </c>
      <c r="C12">
        <v>0.57271361351013184</v>
      </c>
      <c r="D12">
        <v>0.91111111640930176</v>
      </c>
      <c r="E12">
        <v>0.12732918560504913</v>
      </c>
      <c r="F12">
        <v>0.2234332412481308</v>
      </c>
      <c r="G12">
        <v>0.7817986011505127</v>
      </c>
      <c r="H12">
        <v>0.77736735343933105</v>
      </c>
      <c r="I12">
        <v>341</v>
      </c>
      <c r="J12">
        <v>4</v>
      </c>
      <c r="K12">
        <v>281</v>
      </c>
      <c r="L12">
        <v>41</v>
      </c>
    </row>
    <row r="13" spans="1:12" x14ac:dyDescent="0.25">
      <c r="A13" t="s">
        <v>44</v>
      </c>
      <c r="B13">
        <v>4</v>
      </c>
      <c r="C13">
        <v>0.60269862413406372</v>
      </c>
      <c r="D13">
        <v>0.91304349899291992</v>
      </c>
      <c r="E13">
        <v>0.19565217196941376</v>
      </c>
      <c r="F13">
        <v>0.32225063443183899</v>
      </c>
      <c r="G13">
        <v>0.78977406024932861</v>
      </c>
      <c r="H13">
        <v>0.78692126274108887</v>
      </c>
      <c r="I13">
        <v>339</v>
      </c>
      <c r="J13">
        <v>6</v>
      </c>
      <c r="K13">
        <v>259</v>
      </c>
      <c r="L13">
        <v>63</v>
      </c>
    </row>
    <row r="14" spans="1:12" x14ac:dyDescent="0.25">
      <c r="A14" t="s">
        <v>43</v>
      </c>
      <c r="B14">
        <v>1</v>
      </c>
      <c r="C14">
        <v>0.6821589469909668</v>
      </c>
      <c r="D14">
        <v>0.94354838132858276</v>
      </c>
      <c r="E14">
        <v>0.36335402727127075</v>
      </c>
      <c r="F14">
        <v>0.52466368675231934</v>
      </c>
      <c r="G14">
        <v>0.83026373386383057</v>
      </c>
      <c r="H14">
        <v>0.8405226469039917</v>
      </c>
      <c r="I14">
        <v>338</v>
      </c>
      <c r="J14">
        <v>7</v>
      </c>
      <c r="K14">
        <v>205</v>
      </c>
      <c r="L14">
        <v>117</v>
      </c>
    </row>
    <row r="15" spans="1:12" x14ac:dyDescent="0.25">
      <c r="A15" t="s">
        <v>43</v>
      </c>
      <c r="B15">
        <v>2</v>
      </c>
      <c r="C15">
        <v>0.70464766025543213</v>
      </c>
      <c r="D15">
        <v>0.95620435476303101</v>
      </c>
      <c r="E15">
        <v>0.40683230757713318</v>
      </c>
      <c r="F15">
        <v>0.57080608606338501</v>
      </c>
      <c r="G15">
        <v>0.83759111166000366</v>
      </c>
      <c r="H15">
        <v>0.86107492446899414</v>
      </c>
      <c r="I15">
        <v>339</v>
      </c>
      <c r="J15">
        <v>6</v>
      </c>
      <c r="K15">
        <v>191</v>
      </c>
      <c r="L15">
        <v>131</v>
      </c>
    </row>
    <row r="16" spans="1:12" x14ac:dyDescent="0.25">
      <c r="A16" t="s">
        <v>43</v>
      </c>
      <c r="B16">
        <v>3</v>
      </c>
      <c r="C16">
        <v>0.66116940975189209</v>
      </c>
      <c r="D16">
        <v>0.91379308700561523</v>
      </c>
      <c r="E16">
        <v>0.32919254899024963</v>
      </c>
      <c r="F16">
        <v>0.48401826620101929</v>
      </c>
      <c r="G16">
        <v>0.81490683555603027</v>
      </c>
      <c r="H16">
        <v>0.8039366602897644</v>
      </c>
      <c r="I16">
        <v>335</v>
      </c>
      <c r="J16">
        <v>10</v>
      </c>
      <c r="K16">
        <v>216</v>
      </c>
      <c r="L16">
        <v>106</v>
      </c>
    </row>
    <row r="17" spans="1:12" x14ac:dyDescent="0.25">
      <c r="A17" t="s">
        <v>43</v>
      </c>
      <c r="B17">
        <v>4</v>
      </c>
      <c r="C17">
        <v>0.66416794061660767</v>
      </c>
      <c r="D17">
        <v>0.9375</v>
      </c>
      <c r="E17">
        <v>0.32608696818351746</v>
      </c>
      <c r="F17">
        <v>0.48387095332145691</v>
      </c>
      <c r="G17">
        <v>0.82868844270706177</v>
      </c>
      <c r="H17">
        <v>0.83844238519668579</v>
      </c>
      <c r="I17">
        <v>338</v>
      </c>
      <c r="J17">
        <v>7</v>
      </c>
      <c r="K17">
        <v>217</v>
      </c>
      <c r="L17">
        <v>105</v>
      </c>
    </row>
    <row r="18" spans="1:12" x14ac:dyDescent="0.25">
      <c r="A18" t="s">
        <v>42</v>
      </c>
      <c r="B18">
        <v>1</v>
      </c>
      <c r="C18">
        <v>0.69115442037582397</v>
      </c>
      <c r="D18">
        <v>0.92028987407684326</v>
      </c>
      <c r="E18">
        <v>0.39440992474555969</v>
      </c>
      <c r="F18">
        <v>0.552173912525177</v>
      </c>
      <c r="G18">
        <v>0.82170307636260986</v>
      </c>
      <c r="H18">
        <v>0.84582829475402832</v>
      </c>
      <c r="I18">
        <v>334</v>
      </c>
      <c r="J18">
        <v>11</v>
      </c>
      <c r="K18">
        <v>195</v>
      </c>
      <c r="L18">
        <v>127</v>
      </c>
    </row>
    <row r="19" spans="1:12" x14ac:dyDescent="0.25">
      <c r="A19" t="s">
        <v>42</v>
      </c>
      <c r="B19">
        <v>2</v>
      </c>
      <c r="C19">
        <v>0.686656653881073</v>
      </c>
      <c r="D19">
        <v>0.94488191604614258</v>
      </c>
      <c r="E19">
        <v>0.37267079949378967</v>
      </c>
      <c r="F19">
        <v>0.53452116250991821</v>
      </c>
      <c r="G19">
        <v>0.84011161327362061</v>
      </c>
      <c r="H19">
        <v>0.85692673921585083</v>
      </c>
      <c r="I19">
        <v>338</v>
      </c>
      <c r="J19">
        <v>7</v>
      </c>
      <c r="K19">
        <v>202</v>
      </c>
      <c r="L19">
        <v>120</v>
      </c>
    </row>
    <row r="20" spans="1:12" x14ac:dyDescent="0.25">
      <c r="A20" t="s">
        <v>42</v>
      </c>
      <c r="B20">
        <v>3</v>
      </c>
      <c r="C20">
        <v>0.6056971549987793</v>
      </c>
      <c r="D20">
        <v>0.94029849767684937</v>
      </c>
      <c r="E20">
        <v>0.19565217196941376</v>
      </c>
      <c r="F20">
        <v>0.32390746474266052</v>
      </c>
      <c r="G20">
        <v>0.79760563373565674</v>
      </c>
      <c r="H20">
        <v>0.80536586046218872</v>
      </c>
      <c r="I20">
        <v>341</v>
      </c>
      <c r="J20">
        <v>4</v>
      </c>
      <c r="K20">
        <v>259</v>
      </c>
      <c r="L20">
        <v>63</v>
      </c>
    </row>
    <row r="21" spans="1:12" x14ac:dyDescent="0.25">
      <c r="A21" t="s">
        <v>42</v>
      </c>
      <c r="B21">
        <v>4</v>
      </c>
      <c r="C21">
        <v>0.73913043737411499</v>
      </c>
      <c r="D21">
        <v>0.95121949911117554</v>
      </c>
      <c r="E21">
        <v>0.48447203636169434</v>
      </c>
      <c r="F21">
        <v>0.6419752836227417</v>
      </c>
      <c r="G21">
        <v>0.84823113679885864</v>
      </c>
      <c r="H21">
        <v>0.86757785081863403</v>
      </c>
      <c r="I21">
        <v>337</v>
      </c>
      <c r="J21">
        <v>8</v>
      </c>
      <c r="K21">
        <v>166</v>
      </c>
      <c r="L21">
        <v>156</v>
      </c>
    </row>
    <row r="22" spans="1:12" x14ac:dyDescent="0.25">
      <c r="A22" t="s">
        <v>41</v>
      </c>
      <c r="B22">
        <v>1</v>
      </c>
      <c r="C22">
        <v>0.7061469554901123</v>
      </c>
      <c r="D22">
        <v>0.88414633274078369</v>
      </c>
      <c r="E22">
        <v>0.45031055808067322</v>
      </c>
      <c r="F22">
        <v>0.59670782089233398</v>
      </c>
      <c r="G22">
        <v>0.82557386159896851</v>
      </c>
      <c r="H22">
        <v>0.81472784280776978</v>
      </c>
      <c r="I22">
        <v>326</v>
      </c>
      <c r="J22">
        <v>19</v>
      </c>
      <c r="K22">
        <v>177</v>
      </c>
      <c r="L22">
        <v>145</v>
      </c>
    </row>
    <row r="23" spans="1:12" x14ac:dyDescent="0.25">
      <c r="A23" t="s">
        <v>41</v>
      </c>
      <c r="B23">
        <v>2</v>
      </c>
      <c r="C23">
        <v>0.67766118049621582</v>
      </c>
      <c r="D23">
        <v>0.89051097631454468</v>
      </c>
      <c r="E23">
        <v>0.37888199090957642</v>
      </c>
      <c r="F23">
        <v>0.53159040212631226</v>
      </c>
      <c r="G23">
        <v>0.79344677925109863</v>
      </c>
      <c r="H23">
        <v>0.81689566373825073</v>
      </c>
      <c r="I23">
        <v>330</v>
      </c>
      <c r="J23">
        <v>15</v>
      </c>
      <c r="K23">
        <v>200</v>
      </c>
      <c r="L23">
        <v>122</v>
      </c>
    </row>
    <row r="24" spans="1:12" x14ac:dyDescent="0.25">
      <c r="A24" t="s">
        <v>41</v>
      </c>
      <c r="B24">
        <v>3</v>
      </c>
      <c r="C24">
        <v>0.63868063688278198</v>
      </c>
      <c r="D24">
        <v>0.90099012851715088</v>
      </c>
      <c r="E24">
        <v>0.28260868787765503</v>
      </c>
      <c r="F24">
        <v>0.43026003241539001</v>
      </c>
      <c r="G24">
        <v>0.75936627388000488</v>
      </c>
      <c r="H24">
        <v>0.78163182735443115</v>
      </c>
      <c r="I24">
        <v>335</v>
      </c>
      <c r="J24">
        <v>10</v>
      </c>
      <c r="K24">
        <v>231</v>
      </c>
      <c r="L24">
        <v>91</v>
      </c>
    </row>
    <row r="25" spans="1:12" x14ac:dyDescent="0.25">
      <c r="A25" t="s">
        <v>41</v>
      </c>
      <c r="B25">
        <v>4</v>
      </c>
      <c r="C25">
        <v>0.65067464113235474</v>
      </c>
      <c r="D25">
        <v>0.98901098966598511</v>
      </c>
      <c r="E25">
        <v>0.27950310707092285</v>
      </c>
      <c r="F25">
        <v>0.43583536148071289</v>
      </c>
      <c r="G25">
        <v>0.82860743999481201</v>
      </c>
      <c r="H25">
        <v>0.85883533954620361</v>
      </c>
      <c r="I25">
        <v>344</v>
      </c>
      <c r="J25">
        <v>1</v>
      </c>
      <c r="K25">
        <v>232</v>
      </c>
      <c r="L25">
        <v>90</v>
      </c>
    </row>
    <row r="26" spans="1:12" x14ac:dyDescent="0.25">
      <c r="A26" t="s">
        <v>40</v>
      </c>
      <c r="B26">
        <v>1</v>
      </c>
      <c r="C26">
        <v>0.70914542675018311</v>
      </c>
      <c r="D26">
        <v>0.92105263471603394</v>
      </c>
      <c r="E26">
        <v>0.43478259444236755</v>
      </c>
      <c r="F26">
        <v>0.59071731567382813</v>
      </c>
      <c r="G26">
        <v>0.843955397605896</v>
      </c>
      <c r="H26">
        <v>0.84806090593338013</v>
      </c>
      <c r="I26">
        <v>333</v>
      </c>
      <c r="J26">
        <v>12</v>
      </c>
      <c r="K26">
        <v>182</v>
      </c>
      <c r="L26">
        <v>140</v>
      </c>
    </row>
    <row r="27" spans="1:12" x14ac:dyDescent="0.25">
      <c r="A27" t="s">
        <v>40</v>
      </c>
      <c r="B27">
        <v>2</v>
      </c>
      <c r="C27">
        <v>0.68065965175628662</v>
      </c>
      <c r="D27">
        <v>0.91603052616119385</v>
      </c>
      <c r="E27">
        <v>0.37267079949378967</v>
      </c>
      <c r="F27">
        <v>0.52980130910873413</v>
      </c>
      <c r="G27">
        <v>0.8356737494468689</v>
      </c>
      <c r="H27">
        <v>0.84335023164749146</v>
      </c>
      <c r="I27">
        <v>334</v>
      </c>
      <c r="J27">
        <v>11</v>
      </c>
      <c r="K27">
        <v>202</v>
      </c>
      <c r="L27">
        <v>120</v>
      </c>
    </row>
    <row r="28" spans="1:12" x14ac:dyDescent="0.25">
      <c r="A28" t="s">
        <v>40</v>
      </c>
      <c r="B28">
        <v>3</v>
      </c>
      <c r="C28">
        <v>0.6296851634979248</v>
      </c>
      <c r="D28">
        <v>0.8571428656578064</v>
      </c>
      <c r="E28">
        <v>0.27950310707092285</v>
      </c>
      <c r="F28">
        <v>0.42154565453529358</v>
      </c>
      <c r="G28">
        <v>0.76661258935928345</v>
      </c>
      <c r="H28">
        <v>0.76707512140274048</v>
      </c>
      <c r="I28">
        <v>330</v>
      </c>
      <c r="J28">
        <v>15</v>
      </c>
      <c r="K28">
        <v>232</v>
      </c>
      <c r="L28">
        <v>90</v>
      </c>
    </row>
    <row r="29" spans="1:12" x14ac:dyDescent="0.25">
      <c r="A29" t="s">
        <v>40</v>
      </c>
      <c r="B29">
        <v>4</v>
      </c>
      <c r="C29">
        <v>0.67466264963150024</v>
      </c>
      <c r="D29">
        <v>0.92682927846908569</v>
      </c>
      <c r="E29">
        <v>0.35403725504875183</v>
      </c>
      <c r="F29">
        <v>0.51235955953598022</v>
      </c>
      <c r="G29">
        <v>0.79909080266952515</v>
      </c>
      <c r="H29">
        <v>0.81595331430435181</v>
      </c>
      <c r="I29">
        <v>336</v>
      </c>
      <c r="J29">
        <v>9</v>
      </c>
      <c r="K29">
        <v>208</v>
      </c>
      <c r="L29">
        <v>114</v>
      </c>
    </row>
    <row r="30" spans="1:12" x14ac:dyDescent="0.25">
      <c r="A30" t="s">
        <v>39</v>
      </c>
      <c r="B30">
        <v>1</v>
      </c>
      <c r="C30">
        <v>0.67766118049621582</v>
      </c>
      <c r="D30">
        <v>0.92799997329711914</v>
      </c>
      <c r="E30">
        <v>0.36024844646453857</v>
      </c>
      <c r="F30">
        <v>0.51901566982269287</v>
      </c>
      <c r="G30">
        <v>0.80864161252975464</v>
      </c>
      <c r="H30">
        <v>0.82898545265197754</v>
      </c>
      <c r="I30">
        <v>336</v>
      </c>
      <c r="J30">
        <v>9</v>
      </c>
      <c r="K30">
        <v>206</v>
      </c>
      <c r="L30">
        <v>116</v>
      </c>
    </row>
    <row r="31" spans="1:12" x14ac:dyDescent="0.25">
      <c r="A31" t="s">
        <v>39</v>
      </c>
      <c r="B31">
        <v>2</v>
      </c>
      <c r="C31">
        <v>0.6296851634979248</v>
      </c>
      <c r="D31">
        <v>0.95180720090866089</v>
      </c>
      <c r="E31">
        <v>0.24534161388874054</v>
      </c>
      <c r="F31">
        <v>0.39012345671653748</v>
      </c>
      <c r="G31">
        <v>0.78436404466629028</v>
      </c>
      <c r="H31">
        <v>0.80499517917633057</v>
      </c>
      <c r="I31">
        <v>341</v>
      </c>
      <c r="J31">
        <v>4</v>
      </c>
      <c r="K31">
        <v>243</v>
      </c>
      <c r="L31">
        <v>79</v>
      </c>
    </row>
    <row r="32" spans="1:12" x14ac:dyDescent="0.25">
      <c r="A32" t="s">
        <v>39</v>
      </c>
      <c r="B32">
        <v>3</v>
      </c>
      <c r="C32">
        <v>0.61619192361831665</v>
      </c>
      <c r="D32">
        <v>0.91250002384185791</v>
      </c>
      <c r="E32">
        <v>0.2267080694437027</v>
      </c>
      <c r="F32">
        <v>0.36318409442901611</v>
      </c>
      <c r="G32">
        <v>0.76821500062942505</v>
      </c>
      <c r="H32">
        <v>0.77106368541717529</v>
      </c>
      <c r="I32">
        <v>338</v>
      </c>
      <c r="J32">
        <v>7</v>
      </c>
      <c r="K32">
        <v>249</v>
      </c>
      <c r="L32">
        <v>73</v>
      </c>
    </row>
    <row r="33" spans="1:12" x14ac:dyDescent="0.25">
      <c r="A33" t="s">
        <v>39</v>
      </c>
      <c r="B33">
        <v>4</v>
      </c>
      <c r="C33">
        <v>0.61319339275360107</v>
      </c>
      <c r="D33">
        <v>0.93243241310119629</v>
      </c>
      <c r="E33">
        <v>0.2142857164144516</v>
      </c>
      <c r="F33">
        <v>0.34848484396934509</v>
      </c>
      <c r="G33">
        <v>0.78020519018173218</v>
      </c>
      <c r="H33">
        <v>0.78519952297210693</v>
      </c>
      <c r="I33">
        <v>340</v>
      </c>
      <c r="J33">
        <v>5</v>
      </c>
      <c r="K33">
        <v>253</v>
      </c>
      <c r="L33">
        <v>69</v>
      </c>
    </row>
    <row r="34" spans="1:12" x14ac:dyDescent="0.25">
      <c r="A34" t="s">
        <v>38</v>
      </c>
      <c r="B34">
        <v>1</v>
      </c>
      <c r="C34">
        <v>0.54122936725616455</v>
      </c>
      <c r="D34">
        <v>1</v>
      </c>
      <c r="E34">
        <v>4.9689441919326782E-2</v>
      </c>
      <c r="F34">
        <v>9.4674557447433472E-2</v>
      </c>
      <c r="G34">
        <v>0.81293541193008423</v>
      </c>
      <c r="H34">
        <v>0.81892728805541992</v>
      </c>
      <c r="I34">
        <v>345</v>
      </c>
      <c r="J34">
        <v>0</v>
      </c>
      <c r="K34">
        <v>306</v>
      </c>
      <c r="L34">
        <v>16</v>
      </c>
    </row>
    <row r="35" spans="1:12" x14ac:dyDescent="0.25">
      <c r="A35" t="s">
        <v>38</v>
      </c>
      <c r="B35">
        <v>2</v>
      </c>
      <c r="C35">
        <v>0.56371814012527466</v>
      </c>
      <c r="D35">
        <v>1</v>
      </c>
      <c r="E35">
        <v>9.627329558134079E-2</v>
      </c>
      <c r="F35">
        <v>0.17563739418983459</v>
      </c>
      <c r="G35">
        <v>0.81020790338516235</v>
      </c>
      <c r="H35">
        <v>0.83249682188034058</v>
      </c>
      <c r="I35">
        <v>345</v>
      </c>
      <c r="J35">
        <v>0</v>
      </c>
      <c r="K35">
        <v>291</v>
      </c>
      <c r="L35">
        <v>31</v>
      </c>
    </row>
    <row r="36" spans="1:12" x14ac:dyDescent="0.25">
      <c r="A36" t="s">
        <v>38</v>
      </c>
      <c r="B36">
        <v>3</v>
      </c>
      <c r="C36">
        <v>0.57571214437484741</v>
      </c>
      <c r="D36">
        <v>1</v>
      </c>
      <c r="E36">
        <v>0.12111800909042358</v>
      </c>
      <c r="F36">
        <v>0.21606647968292236</v>
      </c>
      <c r="G36">
        <v>0.8311188817024231</v>
      </c>
      <c r="H36">
        <v>0.84089189767837524</v>
      </c>
      <c r="I36">
        <v>345</v>
      </c>
      <c r="J36">
        <v>0</v>
      </c>
      <c r="K36">
        <v>283</v>
      </c>
      <c r="L36">
        <v>39</v>
      </c>
    </row>
    <row r="37" spans="1:12" x14ac:dyDescent="0.25">
      <c r="A37" t="s">
        <v>38</v>
      </c>
      <c r="B37">
        <v>4</v>
      </c>
      <c r="C37">
        <v>0.70164918899536133</v>
      </c>
      <c r="D37">
        <v>0.8253968358039856</v>
      </c>
      <c r="E37">
        <v>0.48447203636169434</v>
      </c>
      <c r="F37">
        <v>0.61056751012802124</v>
      </c>
      <c r="G37">
        <v>0.77432715892791748</v>
      </c>
      <c r="H37">
        <v>0.76891565322875977</v>
      </c>
      <c r="I37">
        <v>312</v>
      </c>
      <c r="J37">
        <v>33</v>
      </c>
      <c r="K37">
        <v>166</v>
      </c>
      <c r="L37">
        <v>156</v>
      </c>
    </row>
    <row r="38" spans="1:12" x14ac:dyDescent="0.25">
      <c r="A38" t="s">
        <v>37</v>
      </c>
      <c r="B38">
        <v>1</v>
      </c>
      <c r="C38">
        <v>0.64167916774749756</v>
      </c>
      <c r="D38">
        <v>0.90291261672973633</v>
      </c>
      <c r="E38">
        <v>0.28881987929344177</v>
      </c>
      <c r="F38">
        <v>0.43764704465866089</v>
      </c>
      <c r="G38">
        <v>0.76985323429107666</v>
      </c>
      <c r="H38">
        <v>0.77507287263870239</v>
      </c>
      <c r="I38">
        <v>335</v>
      </c>
      <c r="J38">
        <v>10</v>
      </c>
      <c r="K38">
        <v>229</v>
      </c>
      <c r="L38">
        <v>93</v>
      </c>
    </row>
    <row r="39" spans="1:12" x14ac:dyDescent="0.25">
      <c r="A39" t="s">
        <v>37</v>
      </c>
      <c r="B39">
        <v>2</v>
      </c>
      <c r="C39">
        <v>0.5487256646156311</v>
      </c>
      <c r="D39">
        <v>0.95652174949645996</v>
      </c>
      <c r="E39">
        <v>6.8322978913784027E-2</v>
      </c>
      <c r="F39">
        <v>0.12753623723983765</v>
      </c>
      <c r="G39">
        <v>0.75902420282363892</v>
      </c>
      <c r="H39">
        <v>0.75366610288619995</v>
      </c>
      <c r="I39">
        <v>344</v>
      </c>
      <c r="J39">
        <v>1</v>
      </c>
      <c r="K39">
        <v>300</v>
      </c>
      <c r="L39">
        <v>22</v>
      </c>
    </row>
    <row r="40" spans="1:12" x14ac:dyDescent="0.25">
      <c r="A40" t="s">
        <v>37</v>
      </c>
      <c r="B40">
        <v>3</v>
      </c>
      <c r="C40">
        <v>0.64017993211746216</v>
      </c>
      <c r="D40">
        <v>0.95555555820465088</v>
      </c>
      <c r="E40">
        <v>0.26708075404167175</v>
      </c>
      <c r="F40">
        <v>0.41747573018074036</v>
      </c>
      <c r="G40">
        <v>0.79346472024917603</v>
      </c>
      <c r="H40">
        <v>0.81275749206542969</v>
      </c>
      <c r="I40">
        <v>341</v>
      </c>
      <c r="J40">
        <v>4</v>
      </c>
      <c r="K40">
        <v>236</v>
      </c>
      <c r="L40">
        <v>86</v>
      </c>
    </row>
    <row r="41" spans="1:12" x14ac:dyDescent="0.25">
      <c r="A41" t="s">
        <v>37</v>
      </c>
      <c r="B41">
        <v>4</v>
      </c>
      <c r="C41">
        <v>0.64167916774749756</v>
      </c>
      <c r="D41">
        <v>0.86725664138793945</v>
      </c>
      <c r="E41">
        <v>0.30434781312942505</v>
      </c>
      <c r="F41">
        <v>0.45057472586631775</v>
      </c>
      <c r="G41">
        <v>0.78220367431640625</v>
      </c>
      <c r="H41">
        <v>0.7842068076133728</v>
      </c>
      <c r="I41">
        <v>330</v>
      </c>
      <c r="J41">
        <v>15</v>
      </c>
      <c r="K41">
        <v>224</v>
      </c>
      <c r="L41">
        <v>98</v>
      </c>
    </row>
    <row r="42" spans="1:12" x14ac:dyDescent="0.25">
      <c r="A42" t="s">
        <v>36</v>
      </c>
      <c r="B42">
        <v>1</v>
      </c>
      <c r="C42">
        <v>0.59520238637924194</v>
      </c>
      <c r="D42">
        <v>1</v>
      </c>
      <c r="E42">
        <v>0.16149067878723145</v>
      </c>
      <c r="F42">
        <v>0.27807486057281494</v>
      </c>
      <c r="G42">
        <v>0.82657301425933838</v>
      </c>
      <c r="H42">
        <v>0.83123910427093506</v>
      </c>
      <c r="I42">
        <v>345</v>
      </c>
      <c r="J42">
        <v>0</v>
      </c>
      <c r="K42">
        <v>270</v>
      </c>
      <c r="L42">
        <v>52</v>
      </c>
    </row>
    <row r="43" spans="1:12" x14ac:dyDescent="0.25">
      <c r="A43" t="s">
        <v>36</v>
      </c>
      <c r="B43">
        <v>2</v>
      </c>
      <c r="C43">
        <v>0.5517241358757019</v>
      </c>
      <c r="D43">
        <v>0.95999997854232788</v>
      </c>
      <c r="E43">
        <v>7.4534162878990173E-2</v>
      </c>
      <c r="F43">
        <v>0.13832853734493256</v>
      </c>
      <c r="G43">
        <v>0.76547837257385254</v>
      </c>
      <c r="H43">
        <v>0.74337112903594971</v>
      </c>
      <c r="I43">
        <v>344</v>
      </c>
      <c r="J43">
        <v>1</v>
      </c>
      <c r="K43">
        <v>298</v>
      </c>
      <c r="L43">
        <v>24</v>
      </c>
    </row>
    <row r="44" spans="1:12" x14ac:dyDescent="0.25">
      <c r="A44" t="s">
        <v>36</v>
      </c>
      <c r="B44">
        <v>3</v>
      </c>
      <c r="C44">
        <v>0.65367317199707031</v>
      </c>
      <c r="D44">
        <v>0.86400002241134644</v>
      </c>
      <c r="E44">
        <v>0.33540374040603638</v>
      </c>
      <c r="F44">
        <v>0.48322147130966187</v>
      </c>
      <c r="G44">
        <v>0.78241962194442749</v>
      </c>
      <c r="H44">
        <v>0.76508671045303345</v>
      </c>
      <c r="I44">
        <v>328</v>
      </c>
      <c r="J44">
        <v>17</v>
      </c>
      <c r="K44">
        <v>214</v>
      </c>
      <c r="L44">
        <v>108</v>
      </c>
    </row>
    <row r="45" spans="1:12" x14ac:dyDescent="0.25">
      <c r="A45" t="s">
        <v>36</v>
      </c>
      <c r="B45">
        <v>4</v>
      </c>
      <c r="C45">
        <v>0.55472266674041748</v>
      </c>
      <c r="D45">
        <v>1</v>
      </c>
      <c r="E45">
        <v>7.7639751136302948E-2</v>
      </c>
      <c r="F45">
        <v>0.14409221708774567</v>
      </c>
      <c r="G45">
        <v>0.81302547454833984</v>
      </c>
      <c r="H45">
        <v>0.83590048551559448</v>
      </c>
      <c r="I45">
        <v>345</v>
      </c>
      <c r="J45">
        <v>0</v>
      </c>
      <c r="K45">
        <v>297</v>
      </c>
      <c r="L45">
        <v>25</v>
      </c>
    </row>
    <row r="46" spans="1:12" x14ac:dyDescent="0.25">
      <c r="A46" t="s">
        <v>35</v>
      </c>
      <c r="B46">
        <v>1</v>
      </c>
      <c r="C46">
        <v>0.70764619112014771</v>
      </c>
      <c r="D46">
        <v>0.90445858240127563</v>
      </c>
      <c r="E46">
        <v>0.4409937858581543</v>
      </c>
      <c r="F46">
        <v>0.59290188550949097</v>
      </c>
      <c r="G46">
        <v>0.79089921712875366</v>
      </c>
      <c r="H46">
        <v>0.80758440494537354</v>
      </c>
      <c r="I46">
        <v>330</v>
      </c>
      <c r="J46">
        <v>15</v>
      </c>
      <c r="K46">
        <v>180</v>
      </c>
      <c r="L46">
        <v>142</v>
      </c>
    </row>
    <row r="47" spans="1:12" x14ac:dyDescent="0.25">
      <c r="A47" t="s">
        <v>35</v>
      </c>
      <c r="B47">
        <v>2</v>
      </c>
      <c r="C47">
        <v>0.56671667098999023</v>
      </c>
      <c r="D47">
        <v>0.90243899822235107</v>
      </c>
      <c r="E47">
        <v>0.11490683257579803</v>
      </c>
      <c r="F47">
        <v>0.20385675132274628</v>
      </c>
      <c r="G47">
        <v>0.77810782194137573</v>
      </c>
      <c r="H47">
        <v>0.76262819766998291</v>
      </c>
      <c r="I47">
        <v>341</v>
      </c>
      <c r="J47">
        <v>4</v>
      </c>
      <c r="K47">
        <v>285</v>
      </c>
      <c r="L47">
        <v>37</v>
      </c>
    </row>
    <row r="48" spans="1:12" x14ac:dyDescent="0.25">
      <c r="A48" t="s">
        <v>35</v>
      </c>
      <c r="B48">
        <v>3</v>
      </c>
      <c r="C48">
        <v>0.63118439912796021</v>
      </c>
      <c r="D48">
        <v>0.83333331346511841</v>
      </c>
      <c r="E48">
        <v>0.29503107070922852</v>
      </c>
      <c r="F48">
        <v>0.43577980995178223</v>
      </c>
      <c r="G48">
        <v>0.75454133749008179</v>
      </c>
      <c r="H48">
        <v>0.75094127655029297</v>
      </c>
      <c r="I48">
        <v>326</v>
      </c>
      <c r="J48">
        <v>19</v>
      </c>
      <c r="K48">
        <v>227</v>
      </c>
      <c r="L48">
        <v>95</v>
      </c>
    </row>
    <row r="49" spans="1:12" x14ac:dyDescent="0.25">
      <c r="A49" t="s">
        <v>35</v>
      </c>
      <c r="B49">
        <v>4</v>
      </c>
      <c r="C49">
        <v>0.6056971549987793</v>
      </c>
      <c r="D49">
        <v>0.81052631139755249</v>
      </c>
      <c r="E49">
        <v>0.23913043737411499</v>
      </c>
      <c r="F49">
        <v>0.36930456757545471</v>
      </c>
      <c r="G49">
        <v>0.75329005718231201</v>
      </c>
      <c r="H49">
        <v>0.74279379844665527</v>
      </c>
      <c r="I49">
        <v>327</v>
      </c>
      <c r="J49">
        <v>18</v>
      </c>
      <c r="K49">
        <v>245</v>
      </c>
      <c r="L49">
        <v>77</v>
      </c>
    </row>
    <row r="50" spans="1:12" x14ac:dyDescent="0.25">
      <c r="A50" t="s">
        <v>34</v>
      </c>
      <c r="B50">
        <v>1</v>
      </c>
      <c r="C50">
        <v>0.7061469554901123</v>
      </c>
      <c r="D50">
        <v>0.9038461446762085</v>
      </c>
      <c r="E50">
        <v>0.43788820505142212</v>
      </c>
      <c r="F50">
        <v>0.58995813131332397</v>
      </c>
      <c r="G50">
        <v>0.8092537522315979</v>
      </c>
      <c r="H50">
        <v>0.82250732183456421</v>
      </c>
      <c r="I50">
        <v>330</v>
      </c>
      <c r="J50">
        <v>15</v>
      </c>
      <c r="K50">
        <v>181</v>
      </c>
      <c r="L50">
        <v>141</v>
      </c>
    </row>
    <row r="51" spans="1:12" x14ac:dyDescent="0.25">
      <c r="A51" t="s">
        <v>34</v>
      </c>
      <c r="B51">
        <v>2</v>
      </c>
      <c r="C51">
        <v>0.59220391511917114</v>
      </c>
      <c r="D51">
        <v>0.96296298503875732</v>
      </c>
      <c r="E51">
        <v>0.16149067878723145</v>
      </c>
      <c r="F51">
        <v>0.27659574151039124</v>
      </c>
      <c r="G51">
        <v>0.7968403697013855</v>
      </c>
      <c r="H51">
        <v>0.81430995464324951</v>
      </c>
      <c r="I51">
        <v>343</v>
      </c>
      <c r="J51">
        <v>2</v>
      </c>
      <c r="K51">
        <v>270</v>
      </c>
      <c r="L51">
        <v>52</v>
      </c>
    </row>
    <row r="52" spans="1:12" x14ac:dyDescent="0.25">
      <c r="A52" t="s">
        <v>34</v>
      </c>
      <c r="B52">
        <v>3</v>
      </c>
      <c r="C52">
        <v>0.73013490438461304</v>
      </c>
      <c r="D52">
        <v>0.90804594755172729</v>
      </c>
      <c r="E52">
        <v>0.49068322777748108</v>
      </c>
      <c r="F52">
        <v>0.63709676265716553</v>
      </c>
      <c r="G52">
        <v>0.81712120771408081</v>
      </c>
      <c r="H52">
        <v>0.84133291244506836</v>
      </c>
      <c r="I52">
        <v>329</v>
      </c>
      <c r="J52">
        <v>16</v>
      </c>
      <c r="K52">
        <v>164</v>
      </c>
      <c r="L52">
        <v>158</v>
      </c>
    </row>
    <row r="53" spans="1:12" x14ac:dyDescent="0.25">
      <c r="A53" t="s">
        <v>34</v>
      </c>
      <c r="B53">
        <v>4</v>
      </c>
      <c r="C53">
        <v>0.73913043737411499</v>
      </c>
      <c r="D53">
        <v>0.85922330617904663</v>
      </c>
      <c r="E53">
        <v>0.54968941211700439</v>
      </c>
      <c r="F53">
        <v>0.67045456171035767</v>
      </c>
      <c r="G53">
        <v>0.80617517232894897</v>
      </c>
      <c r="H53">
        <v>0.8273080587387085</v>
      </c>
      <c r="I53">
        <v>316</v>
      </c>
      <c r="J53">
        <v>29</v>
      </c>
      <c r="K53">
        <v>145</v>
      </c>
      <c r="L53">
        <v>177</v>
      </c>
    </row>
    <row r="54" spans="1:12" x14ac:dyDescent="0.25">
      <c r="A54" t="s">
        <v>33</v>
      </c>
      <c r="B54">
        <v>1</v>
      </c>
      <c r="C54">
        <v>0.70464766025543213</v>
      </c>
      <c r="D54">
        <v>0.87425148487091064</v>
      </c>
      <c r="E54">
        <v>0.4534161388874054</v>
      </c>
      <c r="F54">
        <v>0.59713703393936157</v>
      </c>
      <c r="G54">
        <v>0.81300747394561768</v>
      </c>
      <c r="H54">
        <v>0.82522678375244141</v>
      </c>
      <c r="I54">
        <v>324</v>
      </c>
      <c r="J54">
        <v>21</v>
      </c>
      <c r="K54">
        <v>176</v>
      </c>
      <c r="L54">
        <v>146</v>
      </c>
    </row>
    <row r="55" spans="1:12" x14ac:dyDescent="0.25">
      <c r="A55" t="s">
        <v>33</v>
      </c>
      <c r="B55">
        <v>2</v>
      </c>
      <c r="C55">
        <v>0.66566717624664307</v>
      </c>
      <c r="D55">
        <v>0.93805307149887085</v>
      </c>
      <c r="E55">
        <v>0.32919254899024963</v>
      </c>
      <c r="F55">
        <v>0.48735633492469788</v>
      </c>
      <c r="G55">
        <v>0.82100105285644531</v>
      </c>
      <c r="H55">
        <v>0.83263492584228516</v>
      </c>
      <c r="I55">
        <v>338</v>
      </c>
      <c r="J55">
        <v>7</v>
      </c>
      <c r="K55">
        <v>216</v>
      </c>
      <c r="L55">
        <v>106</v>
      </c>
    </row>
    <row r="56" spans="1:12" x14ac:dyDescent="0.25">
      <c r="A56" t="s">
        <v>33</v>
      </c>
      <c r="B56">
        <v>3</v>
      </c>
      <c r="C56">
        <v>0.59970015287399292</v>
      </c>
      <c r="D56">
        <v>0.96610170602798462</v>
      </c>
      <c r="E56">
        <v>0.17701862752437592</v>
      </c>
      <c r="F56">
        <v>0.29921260476112366</v>
      </c>
      <c r="G56">
        <v>0.81330454349517822</v>
      </c>
      <c r="H56">
        <v>0.82211685180664063</v>
      </c>
      <c r="I56">
        <v>343</v>
      </c>
      <c r="J56">
        <v>2</v>
      </c>
      <c r="K56">
        <v>265</v>
      </c>
      <c r="L56">
        <v>57</v>
      </c>
    </row>
    <row r="57" spans="1:12" x14ac:dyDescent="0.25">
      <c r="A57" t="s">
        <v>33</v>
      </c>
      <c r="B57">
        <v>4</v>
      </c>
      <c r="C57">
        <v>0.6836581826210022</v>
      </c>
      <c r="D57">
        <v>0.89361703395843506</v>
      </c>
      <c r="E57">
        <v>0.39130434393882751</v>
      </c>
      <c r="F57">
        <v>0.54427647590637207</v>
      </c>
      <c r="G57">
        <v>0.80054008960723877</v>
      </c>
      <c r="H57">
        <v>0.80730128288269043</v>
      </c>
      <c r="I57">
        <v>330</v>
      </c>
      <c r="J57">
        <v>15</v>
      </c>
      <c r="K57">
        <v>196</v>
      </c>
      <c r="L57">
        <v>126</v>
      </c>
    </row>
    <row r="58" spans="1:12" x14ac:dyDescent="0.25">
      <c r="A58" t="s">
        <v>32</v>
      </c>
      <c r="B58">
        <v>1</v>
      </c>
      <c r="C58">
        <v>0.69715142250061035</v>
      </c>
      <c r="D58">
        <v>0.95454543828964233</v>
      </c>
      <c r="E58">
        <v>0.39130434393882751</v>
      </c>
      <c r="F58">
        <v>0.55506610870361328</v>
      </c>
      <c r="G58">
        <v>0.83881539106369019</v>
      </c>
      <c r="H58">
        <v>0.85628980398178101</v>
      </c>
      <c r="I58">
        <v>339</v>
      </c>
      <c r="J58">
        <v>6</v>
      </c>
      <c r="K58">
        <v>196</v>
      </c>
      <c r="L58">
        <v>126</v>
      </c>
    </row>
    <row r="59" spans="1:12" x14ac:dyDescent="0.25">
      <c r="A59" t="s">
        <v>32</v>
      </c>
      <c r="B59">
        <v>2</v>
      </c>
      <c r="C59">
        <v>0.70164918899536133</v>
      </c>
      <c r="D59">
        <v>0.96946567296981812</v>
      </c>
      <c r="E59">
        <v>0.39440992474555969</v>
      </c>
      <c r="F59">
        <v>0.56070637702941895</v>
      </c>
      <c r="G59">
        <v>0.84496355056762695</v>
      </c>
      <c r="H59">
        <v>0.87243711948394775</v>
      </c>
      <c r="I59">
        <v>341</v>
      </c>
      <c r="J59">
        <v>4</v>
      </c>
      <c r="K59">
        <v>195</v>
      </c>
      <c r="L59">
        <v>127</v>
      </c>
    </row>
    <row r="60" spans="1:12" x14ac:dyDescent="0.25">
      <c r="A60" t="s">
        <v>32</v>
      </c>
      <c r="B60">
        <v>3</v>
      </c>
      <c r="C60">
        <v>0.67466264963150024</v>
      </c>
      <c r="D60">
        <v>0.94117647409439087</v>
      </c>
      <c r="E60">
        <v>0.34782609343528748</v>
      </c>
      <c r="F60">
        <v>0.50793653726577759</v>
      </c>
      <c r="G60">
        <v>0.85581052303314209</v>
      </c>
      <c r="H60">
        <v>0.8517577052116394</v>
      </c>
      <c r="I60">
        <v>338</v>
      </c>
      <c r="J60">
        <v>7</v>
      </c>
      <c r="K60">
        <v>210</v>
      </c>
      <c r="L60">
        <v>112</v>
      </c>
    </row>
    <row r="61" spans="1:12" x14ac:dyDescent="0.25">
      <c r="A61" t="s">
        <v>32</v>
      </c>
      <c r="B61">
        <v>4</v>
      </c>
      <c r="C61">
        <v>0.77811092138290405</v>
      </c>
      <c r="D61">
        <v>0.8883928656578064</v>
      </c>
      <c r="E61">
        <v>0.61801242828369141</v>
      </c>
      <c r="F61">
        <v>0.72893774509429932</v>
      </c>
      <c r="G61">
        <v>0.87261676788330078</v>
      </c>
      <c r="H61">
        <v>0.88236367702484131</v>
      </c>
      <c r="I61">
        <v>320</v>
      </c>
      <c r="J61">
        <v>25</v>
      </c>
      <c r="K61">
        <v>123</v>
      </c>
      <c r="L61">
        <v>199</v>
      </c>
    </row>
    <row r="62" spans="1:12" x14ac:dyDescent="0.25">
      <c r="A62" t="s">
        <v>31</v>
      </c>
      <c r="B62">
        <v>1</v>
      </c>
      <c r="C62">
        <v>0.63118439912796021</v>
      </c>
      <c r="D62">
        <v>0.96341460943222046</v>
      </c>
      <c r="E62">
        <v>0.24534161388874054</v>
      </c>
      <c r="F62">
        <v>0.39108911156654358</v>
      </c>
      <c r="G62">
        <v>0.7917904257774353</v>
      </c>
      <c r="H62">
        <v>0.8060762882232666</v>
      </c>
      <c r="I62">
        <v>342</v>
      </c>
      <c r="J62">
        <v>3</v>
      </c>
      <c r="K62">
        <v>243</v>
      </c>
      <c r="L62">
        <v>79</v>
      </c>
    </row>
    <row r="63" spans="1:12" x14ac:dyDescent="0.25">
      <c r="A63" t="s">
        <v>31</v>
      </c>
      <c r="B63">
        <v>2</v>
      </c>
      <c r="C63">
        <v>0.6071963906288147</v>
      </c>
      <c r="D63">
        <v>0.91666668653488159</v>
      </c>
      <c r="E63">
        <v>0.20496894419193268</v>
      </c>
      <c r="F63">
        <v>0.3350253701210022</v>
      </c>
      <c r="G63">
        <v>0.78153741359710693</v>
      </c>
      <c r="H63">
        <v>0.7847602367401123</v>
      </c>
      <c r="I63">
        <v>339</v>
      </c>
      <c r="J63">
        <v>6</v>
      </c>
      <c r="K63">
        <v>256</v>
      </c>
      <c r="L63">
        <v>66</v>
      </c>
    </row>
    <row r="64" spans="1:12" x14ac:dyDescent="0.25">
      <c r="A64" t="s">
        <v>31</v>
      </c>
      <c r="B64">
        <v>3</v>
      </c>
      <c r="C64">
        <v>0.69565218687057495</v>
      </c>
      <c r="D64">
        <v>0.8399999737739563</v>
      </c>
      <c r="E64">
        <v>0.45652174949645996</v>
      </c>
      <c r="F64">
        <v>0.59154927730560303</v>
      </c>
      <c r="G64">
        <v>0.79415792226791382</v>
      </c>
      <c r="H64">
        <v>0.80812555551528931</v>
      </c>
      <c r="I64">
        <v>317</v>
      </c>
      <c r="J64">
        <v>28</v>
      </c>
      <c r="K64">
        <v>175</v>
      </c>
      <c r="L64">
        <v>147</v>
      </c>
    </row>
    <row r="65" spans="1:12" x14ac:dyDescent="0.25">
      <c r="A65" t="s">
        <v>31</v>
      </c>
      <c r="B65">
        <v>4</v>
      </c>
      <c r="C65">
        <v>0.73313343524932861</v>
      </c>
      <c r="D65">
        <v>0.88297873735427856</v>
      </c>
      <c r="E65">
        <v>0.51552796363830566</v>
      </c>
      <c r="F65">
        <v>0.65098041296005249</v>
      </c>
      <c r="G65">
        <v>0.81352955102920532</v>
      </c>
      <c r="H65">
        <v>0.83111011981964111</v>
      </c>
      <c r="I65">
        <v>323</v>
      </c>
      <c r="J65">
        <v>22</v>
      </c>
      <c r="K65">
        <v>156</v>
      </c>
      <c r="L65">
        <v>166</v>
      </c>
    </row>
    <row r="66" spans="1:12" x14ac:dyDescent="0.25">
      <c r="A66" t="s">
        <v>30</v>
      </c>
      <c r="B66">
        <v>1</v>
      </c>
      <c r="C66">
        <v>0.51724135875701904</v>
      </c>
      <c r="D66">
        <v>0</v>
      </c>
      <c r="E66">
        <v>0</v>
      </c>
      <c r="F66">
        <v>0</v>
      </c>
      <c r="G66">
        <v>0.58995407819747925</v>
      </c>
      <c r="H66">
        <v>0.54980528354644775</v>
      </c>
      <c r="I66">
        <v>345</v>
      </c>
      <c r="J66">
        <v>0</v>
      </c>
      <c r="K66">
        <v>322</v>
      </c>
      <c r="L66">
        <v>0</v>
      </c>
    </row>
    <row r="67" spans="1:12" x14ac:dyDescent="0.25">
      <c r="A67" t="s">
        <v>30</v>
      </c>
      <c r="B67">
        <v>2</v>
      </c>
      <c r="C67">
        <v>0.51724135875701904</v>
      </c>
      <c r="D67">
        <v>0</v>
      </c>
      <c r="E67">
        <v>0</v>
      </c>
      <c r="F67">
        <v>0</v>
      </c>
      <c r="G67">
        <v>0.57148265838623047</v>
      </c>
      <c r="H67">
        <v>0.51970010995864868</v>
      </c>
      <c r="I67">
        <v>345</v>
      </c>
      <c r="J67">
        <v>0</v>
      </c>
      <c r="K67">
        <v>322</v>
      </c>
      <c r="L67">
        <v>0</v>
      </c>
    </row>
    <row r="68" spans="1:12" x14ac:dyDescent="0.25">
      <c r="A68" t="s">
        <v>30</v>
      </c>
      <c r="B68">
        <v>3</v>
      </c>
      <c r="C68">
        <v>0.51724135875701904</v>
      </c>
      <c r="D68">
        <v>0</v>
      </c>
      <c r="E68">
        <v>0</v>
      </c>
      <c r="F68">
        <v>0</v>
      </c>
      <c r="G68">
        <v>0.56578445434570313</v>
      </c>
      <c r="H68">
        <v>0.52146589756011963</v>
      </c>
      <c r="I68">
        <v>345</v>
      </c>
      <c r="J68">
        <v>0</v>
      </c>
      <c r="K68">
        <v>322</v>
      </c>
      <c r="L68">
        <v>0</v>
      </c>
    </row>
    <row r="69" spans="1:12" x14ac:dyDescent="0.25">
      <c r="A69" t="s">
        <v>30</v>
      </c>
      <c r="B69">
        <v>4</v>
      </c>
      <c r="C69">
        <v>0.51724135875701904</v>
      </c>
      <c r="D69">
        <v>0</v>
      </c>
      <c r="E69">
        <v>0</v>
      </c>
      <c r="F69">
        <v>0</v>
      </c>
      <c r="G69">
        <v>0.64655685424804688</v>
      </c>
      <c r="H69">
        <v>0.59876233339309692</v>
      </c>
      <c r="I69">
        <v>345</v>
      </c>
      <c r="J69">
        <v>0</v>
      </c>
      <c r="K69">
        <v>322</v>
      </c>
      <c r="L69">
        <v>0</v>
      </c>
    </row>
    <row r="70" spans="1:12" x14ac:dyDescent="0.25">
      <c r="A70" t="s">
        <v>29</v>
      </c>
      <c r="B70">
        <v>1</v>
      </c>
      <c r="C70">
        <v>0.51724135875701904</v>
      </c>
      <c r="D70">
        <v>0</v>
      </c>
      <c r="E70">
        <v>0</v>
      </c>
      <c r="F70">
        <v>0</v>
      </c>
      <c r="G70">
        <v>0.53664588928222656</v>
      </c>
      <c r="H70">
        <v>0.49642056226730347</v>
      </c>
      <c r="I70">
        <v>345</v>
      </c>
      <c r="J70">
        <v>0</v>
      </c>
      <c r="K70">
        <v>322</v>
      </c>
      <c r="L70">
        <v>0</v>
      </c>
    </row>
    <row r="71" spans="1:12" x14ac:dyDescent="0.25">
      <c r="A71" t="s">
        <v>29</v>
      </c>
      <c r="B71">
        <v>2</v>
      </c>
      <c r="C71">
        <v>0.51724135875701904</v>
      </c>
      <c r="D71">
        <v>0</v>
      </c>
      <c r="E71">
        <v>0</v>
      </c>
      <c r="F71">
        <v>0</v>
      </c>
      <c r="G71">
        <v>0.58226662874221802</v>
      </c>
      <c r="H71">
        <v>0.53252708911895752</v>
      </c>
      <c r="I71">
        <v>345</v>
      </c>
      <c r="J71">
        <v>0</v>
      </c>
      <c r="K71">
        <v>322</v>
      </c>
      <c r="L71">
        <v>0</v>
      </c>
    </row>
    <row r="72" spans="1:12" x14ac:dyDescent="0.25">
      <c r="A72" t="s">
        <v>29</v>
      </c>
      <c r="B72">
        <v>3</v>
      </c>
      <c r="C72">
        <v>0.51724135875701904</v>
      </c>
      <c r="D72">
        <v>0</v>
      </c>
      <c r="E72">
        <v>0</v>
      </c>
      <c r="F72">
        <v>0</v>
      </c>
      <c r="G72">
        <v>0.58876585960388184</v>
      </c>
      <c r="H72">
        <v>0.53367698192596436</v>
      </c>
      <c r="I72">
        <v>345</v>
      </c>
      <c r="J72">
        <v>0</v>
      </c>
      <c r="K72">
        <v>322</v>
      </c>
      <c r="L72">
        <v>0</v>
      </c>
    </row>
    <row r="73" spans="1:12" x14ac:dyDescent="0.25">
      <c r="A73" t="s">
        <v>29</v>
      </c>
      <c r="B73">
        <v>4</v>
      </c>
      <c r="C73">
        <v>0.51724135875701904</v>
      </c>
      <c r="D73">
        <v>0</v>
      </c>
      <c r="E73">
        <v>0</v>
      </c>
      <c r="F73">
        <v>0</v>
      </c>
      <c r="G73">
        <v>0.60960483551025391</v>
      </c>
      <c r="H73">
        <v>0.55841642618179321</v>
      </c>
      <c r="I73">
        <v>345</v>
      </c>
      <c r="J73">
        <v>0</v>
      </c>
      <c r="K73">
        <v>322</v>
      </c>
      <c r="L7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BFFEF-95FD-4EE2-A9D3-D2FB35A624E8}">
  <sheetPr>
    <tabColor theme="3" tint="0.249977111117893"/>
  </sheetPr>
  <dimension ref="A1:W29"/>
  <sheetViews>
    <sheetView topLeftCell="J1" workbookViewId="0">
      <selection activeCell="AA31" sqref="AA31"/>
    </sheetView>
  </sheetViews>
  <sheetFormatPr defaultRowHeight="15" x14ac:dyDescent="0.25"/>
  <cols>
    <col min="1" max="1" width="21.140625" bestFit="1" customWidth="1"/>
    <col min="2" max="2" width="6.85546875" bestFit="1" customWidth="1"/>
    <col min="3" max="3" width="13.7109375" bestFit="1" customWidth="1"/>
    <col min="4" max="4" width="19.28515625" bestFit="1" customWidth="1"/>
    <col min="5" max="5" width="20" bestFit="1" customWidth="1"/>
    <col min="6" max="6" width="16.42578125" bestFit="1" customWidth="1"/>
    <col min="7" max="7" width="13" bestFit="1" customWidth="1"/>
    <col min="8" max="8" width="16.42578125" bestFit="1" customWidth="1"/>
    <col min="9" max="9" width="28.140625" bestFit="1" customWidth="1"/>
    <col min="10" max="10" width="13.7109375" bestFit="1" customWidth="1"/>
    <col min="11" max="11" width="13.42578125" bestFit="1" customWidth="1"/>
    <col min="12" max="12" width="13.7109375" bestFit="1" customWidth="1"/>
    <col min="13" max="13" width="13.42578125" bestFit="1" customWidth="1"/>
    <col min="14" max="14" width="15.7109375" bestFit="1" customWidth="1"/>
    <col min="15" max="15" width="16.28515625" bestFit="1" customWidth="1"/>
    <col min="16" max="16" width="12.7109375" bestFit="1" customWidth="1"/>
    <col min="17" max="17" width="12" bestFit="1" customWidth="1"/>
    <col min="18" max="18" width="12.7109375" bestFit="1" customWidth="1"/>
    <col min="19" max="19" width="24.42578125" bestFit="1" customWidth="1"/>
    <col min="20" max="20" width="10.140625" bestFit="1" customWidth="1"/>
    <col min="21" max="21" width="9.85546875" bestFit="1" customWidth="1"/>
    <col min="22" max="22" width="10.140625" bestFit="1" customWidth="1"/>
    <col min="23" max="23" width="9.85546875" bestFit="1" customWidth="1"/>
  </cols>
  <sheetData>
    <row r="1" spans="1:23" x14ac:dyDescent="0.25">
      <c r="A1" t="s">
        <v>69</v>
      </c>
      <c r="B1" t="s">
        <v>68</v>
      </c>
      <c r="C1" t="s">
        <v>67</v>
      </c>
      <c r="D1" t="s">
        <v>66</v>
      </c>
      <c r="E1" t="s">
        <v>65</v>
      </c>
      <c r="F1" t="s">
        <v>64</v>
      </c>
      <c r="G1" t="s">
        <v>63</v>
      </c>
      <c r="H1" t="s">
        <v>62</v>
      </c>
      <c r="I1" t="s">
        <v>61</v>
      </c>
      <c r="J1" t="s">
        <v>60</v>
      </c>
      <c r="K1" t="s">
        <v>59</v>
      </c>
      <c r="L1" t="s">
        <v>58</v>
      </c>
      <c r="M1" t="s">
        <v>57</v>
      </c>
      <c r="N1" t="s">
        <v>56</v>
      </c>
      <c r="O1" t="s">
        <v>55</v>
      </c>
      <c r="P1" t="s">
        <v>54</v>
      </c>
      <c r="Q1" t="s">
        <v>53</v>
      </c>
      <c r="R1" t="s">
        <v>52</v>
      </c>
      <c r="S1" t="s">
        <v>51</v>
      </c>
      <c r="T1" t="s">
        <v>50</v>
      </c>
      <c r="U1" t="s">
        <v>49</v>
      </c>
      <c r="V1" t="s">
        <v>48</v>
      </c>
      <c r="W1" t="s">
        <v>47</v>
      </c>
    </row>
    <row r="2" spans="1:23" x14ac:dyDescent="0.25">
      <c r="A2" t="s">
        <v>107</v>
      </c>
      <c r="B2">
        <v>1</v>
      </c>
      <c r="C2">
        <v>42</v>
      </c>
      <c r="D2">
        <v>0.86956518888473511</v>
      </c>
      <c r="E2">
        <v>0.37956205010414124</v>
      </c>
      <c r="F2">
        <v>0.43333333730697632</v>
      </c>
      <c r="G2">
        <v>0.40466925501823425</v>
      </c>
      <c r="H2">
        <v>0.83078503608703613</v>
      </c>
      <c r="I2">
        <v>0.37758862972259521</v>
      </c>
      <c r="J2">
        <v>968</v>
      </c>
      <c r="K2">
        <v>85</v>
      </c>
      <c r="L2">
        <v>68</v>
      </c>
      <c r="M2">
        <v>52</v>
      </c>
      <c r="N2">
        <v>0.88508373498916626</v>
      </c>
      <c r="O2">
        <v>0.34351146221160889</v>
      </c>
      <c r="P2">
        <v>0.40909090638160706</v>
      </c>
      <c r="Q2">
        <v>0.37344399094581604</v>
      </c>
      <c r="R2">
        <v>0.84165656566619873</v>
      </c>
      <c r="S2">
        <v>0.32382386922836304</v>
      </c>
      <c r="T2">
        <v>1118</v>
      </c>
      <c r="U2">
        <v>86</v>
      </c>
      <c r="V2">
        <v>65</v>
      </c>
      <c r="W2">
        <v>45</v>
      </c>
    </row>
    <row r="3" spans="1:23" x14ac:dyDescent="0.25">
      <c r="A3" t="s">
        <v>107</v>
      </c>
      <c r="B3">
        <v>2</v>
      </c>
      <c r="C3">
        <v>30</v>
      </c>
      <c r="D3">
        <v>0.90487802028656006</v>
      </c>
      <c r="E3">
        <v>0.48739495873451233</v>
      </c>
      <c r="F3">
        <v>0.50877195596694946</v>
      </c>
      <c r="G3">
        <v>0.497854083776474</v>
      </c>
      <c r="H3">
        <v>0.89392721652984619</v>
      </c>
      <c r="I3">
        <v>0.53801500797271729</v>
      </c>
      <c r="J3">
        <v>1055</v>
      </c>
      <c r="K3">
        <v>61</v>
      </c>
      <c r="L3">
        <v>56</v>
      </c>
      <c r="M3">
        <v>58</v>
      </c>
      <c r="N3">
        <v>0.88660579919815063</v>
      </c>
      <c r="O3">
        <v>0.34400001168251038</v>
      </c>
      <c r="P3">
        <v>0.3909091055393219</v>
      </c>
      <c r="Q3">
        <v>0.36595743894577026</v>
      </c>
      <c r="R3">
        <v>0.83157658576965332</v>
      </c>
      <c r="S3">
        <v>0.30148157477378845</v>
      </c>
      <c r="T3">
        <v>1122</v>
      </c>
      <c r="U3">
        <v>82</v>
      </c>
      <c r="V3">
        <v>67</v>
      </c>
      <c r="W3">
        <v>43</v>
      </c>
    </row>
    <row r="4" spans="1:23" x14ac:dyDescent="0.25">
      <c r="A4" t="s">
        <v>107</v>
      </c>
      <c r="B4">
        <v>3</v>
      </c>
      <c r="C4">
        <v>49</v>
      </c>
      <c r="D4">
        <v>0.87060701847076416</v>
      </c>
      <c r="E4">
        <v>0.32413792610168457</v>
      </c>
      <c r="F4">
        <v>0.4234234094619751</v>
      </c>
      <c r="G4">
        <v>0.3671875</v>
      </c>
      <c r="H4">
        <v>0.84429651498794556</v>
      </c>
      <c r="I4">
        <v>0.34148260951042175</v>
      </c>
      <c r="J4">
        <v>1043</v>
      </c>
      <c r="K4">
        <v>98</v>
      </c>
      <c r="L4">
        <v>64</v>
      </c>
      <c r="M4">
        <v>47</v>
      </c>
      <c r="N4">
        <v>0.87138509750366211</v>
      </c>
      <c r="O4">
        <v>0.30201342701911926</v>
      </c>
      <c r="P4">
        <v>0.40909090638160706</v>
      </c>
      <c r="Q4">
        <v>0.3474903404712677</v>
      </c>
      <c r="R4">
        <v>0.83736783266067505</v>
      </c>
      <c r="S4">
        <v>0.33937108516693115</v>
      </c>
      <c r="T4">
        <v>1100</v>
      </c>
      <c r="U4">
        <v>104</v>
      </c>
      <c r="V4">
        <v>65</v>
      </c>
      <c r="W4">
        <v>45</v>
      </c>
    </row>
    <row r="5" spans="1:23" x14ac:dyDescent="0.25">
      <c r="A5" t="s">
        <v>107</v>
      </c>
      <c r="B5">
        <v>4</v>
      </c>
      <c r="C5">
        <v>12</v>
      </c>
      <c r="D5">
        <v>0.92043548822402954</v>
      </c>
      <c r="E5">
        <v>0.53164559602737427</v>
      </c>
      <c r="F5">
        <v>0.41999998688697815</v>
      </c>
      <c r="G5">
        <v>0.46927374601364136</v>
      </c>
      <c r="H5">
        <v>0.87220299243927002</v>
      </c>
      <c r="I5">
        <v>0.47592571377754211</v>
      </c>
      <c r="J5">
        <v>1057</v>
      </c>
      <c r="K5">
        <v>37</v>
      </c>
      <c r="L5">
        <v>58</v>
      </c>
      <c r="M5">
        <v>42</v>
      </c>
      <c r="N5">
        <v>0.89041095972061157</v>
      </c>
      <c r="O5">
        <v>0.2976190447807312</v>
      </c>
      <c r="P5">
        <v>0.22727273404598236</v>
      </c>
      <c r="Q5">
        <v>0.25773194432258606</v>
      </c>
      <c r="R5">
        <v>0.83717155456542969</v>
      </c>
      <c r="S5">
        <v>0.27202838659286499</v>
      </c>
      <c r="T5">
        <v>1145</v>
      </c>
      <c r="U5">
        <v>59</v>
      </c>
      <c r="V5">
        <v>85</v>
      </c>
      <c r="W5">
        <v>25</v>
      </c>
    </row>
    <row r="6" spans="1:23" x14ac:dyDescent="0.25">
      <c r="A6" t="s">
        <v>108</v>
      </c>
      <c r="B6">
        <v>1</v>
      </c>
      <c r="C6">
        <v>37</v>
      </c>
      <c r="D6">
        <v>0.87297528982162476</v>
      </c>
      <c r="E6">
        <v>0.37168142199516296</v>
      </c>
      <c r="F6">
        <v>0.34999999403953552</v>
      </c>
      <c r="G6">
        <v>0.36051502823829651</v>
      </c>
      <c r="H6">
        <v>0.84006810188293457</v>
      </c>
      <c r="I6">
        <v>0.34158232808113098</v>
      </c>
      <c r="J6">
        <v>982</v>
      </c>
      <c r="K6">
        <v>71</v>
      </c>
      <c r="L6">
        <v>78</v>
      </c>
      <c r="M6">
        <v>42</v>
      </c>
      <c r="N6">
        <v>0.89269405603408813</v>
      </c>
      <c r="O6">
        <v>0.37984496355056763</v>
      </c>
      <c r="P6">
        <v>0.44545453786849976</v>
      </c>
      <c r="Q6">
        <v>0.41004183888435364</v>
      </c>
      <c r="R6">
        <v>0.81941264867782593</v>
      </c>
      <c r="S6">
        <v>0.37349772453308105</v>
      </c>
      <c r="T6">
        <v>1124</v>
      </c>
      <c r="U6">
        <v>80</v>
      </c>
      <c r="V6">
        <v>61</v>
      </c>
      <c r="W6">
        <v>49</v>
      </c>
    </row>
    <row r="7" spans="1:23" x14ac:dyDescent="0.25">
      <c r="A7" t="s">
        <v>108</v>
      </c>
      <c r="B7">
        <v>2</v>
      </c>
      <c r="C7">
        <v>26</v>
      </c>
      <c r="D7">
        <v>0.91300815343856812</v>
      </c>
      <c r="E7">
        <v>0.53684210777282715</v>
      </c>
      <c r="F7">
        <v>0.44736841320991516</v>
      </c>
      <c r="G7">
        <v>0.48803827166557312</v>
      </c>
      <c r="H7">
        <v>0.87250053882598877</v>
      </c>
      <c r="I7">
        <v>0.47781157493591309</v>
      </c>
      <c r="J7">
        <v>1072</v>
      </c>
      <c r="K7">
        <v>44</v>
      </c>
      <c r="L7">
        <v>63</v>
      </c>
      <c r="M7">
        <v>51</v>
      </c>
      <c r="N7">
        <v>0.90715372562408447</v>
      </c>
      <c r="O7">
        <v>0.43181818723678589</v>
      </c>
      <c r="P7">
        <v>0.34545454382896423</v>
      </c>
      <c r="Q7">
        <v>0.38383838534355164</v>
      </c>
      <c r="R7">
        <v>0.84232860803604126</v>
      </c>
      <c r="S7">
        <v>0.35381767153739929</v>
      </c>
      <c r="T7">
        <v>1154</v>
      </c>
      <c r="U7">
        <v>50</v>
      </c>
      <c r="V7">
        <v>72</v>
      </c>
      <c r="W7">
        <v>38</v>
      </c>
    </row>
    <row r="8" spans="1:23" x14ac:dyDescent="0.25">
      <c r="A8" t="s">
        <v>108</v>
      </c>
      <c r="B8">
        <v>3</v>
      </c>
      <c r="C8">
        <v>27</v>
      </c>
      <c r="D8">
        <v>0.88897764682769775</v>
      </c>
      <c r="E8">
        <v>0.390625</v>
      </c>
      <c r="F8">
        <v>0.45045045018196106</v>
      </c>
      <c r="G8">
        <v>0.4184100329875946</v>
      </c>
      <c r="H8">
        <v>0.85670065879821777</v>
      </c>
      <c r="I8">
        <v>0.42364054918289185</v>
      </c>
      <c r="J8">
        <v>1063</v>
      </c>
      <c r="K8">
        <v>78</v>
      </c>
      <c r="L8">
        <v>61</v>
      </c>
      <c r="M8">
        <v>50</v>
      </c>
      <c r="N8">
        <v>0.87747335433959961</v>
      </c>
      <c r="O8">
        <v>0.32413792610168457</v>
      </c>
      <c r="P8">
        <v>0.4272727370262146</v>
      </c>
      <c r="Q8">
        <v>0.36862745881080627</v>
      </c>
      <c r="R8">
        <v>0.85246145725250244</v>
      </c>
      <c r="S8">
        <v>0.35216167569160461</v>
      </c>
      <c r="T8">
        <v>1106</v>
      </c>
      <c r="U8">
        <v>98</v>
      </c>
      <c r="V8">
        <v>63</v>
      </c>
      <c r="W8">
        <v>47</v>
      </c>
    </row>
    <row r="9" spans="1:23" x14ac:dyDescent="0.25">
      <c r="A9" t="s">
        <v>108</v>
      </c>
      <c r="B9">
        <v>4</v>
      </c>
      <c r="C9">
        <v>48</v>
      </c>
      <c r="D9">
        <v>0.91959798336029053</v>
      </c>
      <c r="E9">
        <v>0.52702701091766357</v>
      </c>
      <c r="F9">
        <v>0.38999998569488525</v>
      </c>
      <c r="G9">
        <v>0.4482758641242981</v>
      </c>
      <c r="H9">
        <v>0.86631619930267334</v>
      </c>
      <c r="I9">
        <v>0.51733571290969849</v>
      </c>
      <c r="J9">
        <v>1059</v>
      </c>
      <c r="K9">
        <v>35</v>
      </c>
      <c r="L9">
        <v>61</v>
      </c>
      <c r="M9">
        <v>39</v>
      </c>
      <c r="N9">
        <v>0.90334856510162354</v>
      </c>
      <c r="O9">
        <v>0.33962264657020569</v>
      </c>
      <c r="P9">
        <v>0.16363635659217834</v>
      </c>
      <c r="Q9">
        <v>0.22085890173912048</v>
      </c>
      <c r="R9">
        <v>0.79332524538040161</v>
      </c>
      <c r="S9">
        <v>0.29745027422904968</v>
      </c>
      <c r="T9">
        <v>1169</v>
      </c>
      <c r="U9">
        <v>35</v>
      </c>
      <c r="V9">
        <v>92</v>
      </c>
      <c r="W9">
        <v>18</v>
      </c>
    </row>
    <row r="10" spans="1:23" x14ac:dyDescent="0.25">
      <c r="A10" t="s">
        <v>109</v>
      </c>
      <c r="B10">
        <v>1</v>
      </c>
      <c r="C10">
        <v>31</v>
      </c>
      <c r="D10">
        <v>0.88064789772033691</v>
      </c>
      <c r="E10">
        <v>0.41379311680793762</v>
      </c>
      <c r="F10">
        <v>0.40000000596046448</v>
      </c>
      <c r="G10">
        <v>0.40677964687347412</v>
      </c>
      <c r="H10">
        <v>0.82097190618515015</v>
      </c>
      <c r="I10">
        <v>0.38065579533576965</v>
      </c>
      <c r="J10">
        <v>985</v>
      </c>
      <c r="K10">
        <v>68</v>
      </c>
      <c r="L10">
        <v>72</v>
      </c>
      <c r="M10">
        <v>48</v>
      </c>
      <c r="N10">
        <v>0.86910200119018555</v>
      </c>
      <c r="O10">
        <v>0.2651515007019043</v>
      </c>
      <c r="P10">
        <v>0.31818181276321411</v>
      </c>
      <c r="Q10">
        <v>0.28925618529319763</v>
      </c>
      <c r="R10">
        <v>0.81720030307769775</v>
      </c>
      <c r="S10">
        <v>0.28062385320663452</v>
      </c>
      <c r="T10">
        <v>1107</v>
      </c>
      <c r="U10">
        <v>97</v>
      </c>
      <c r="V10">
        <v>75</v>
      </c>
      <c r="W10">
        <v>35</v>
      </c>
    </row>
    <row r="11" spans="1:23" x14ac:dyDescent="0.25">
      <c r="A11" t="s">
        <v>109</v>
      </c>
      <c r="B11">
        <v>2</v>
      </c>
      <c r="C11">
        <v>17</v>
      </c>
      <c r="D11">
        <v>0.9032520055770874</v>
      </c>
      <c r="E11">
        <v>0.46913579106330872</v>
      </c>
      <c r="F11">
        <v>0.3333333432674408</v>
      </c>
      <c r="G11">
        <v>0.38974359631538391</v>
      </c>
      <c r="H11">
        <v>0.87345147132873535</v>
      </c>
      <c r="I11">
        <v>0.45601785182952881</v>
      </c>
      <c r="J11">
        <v>1073</v>
      </c>
      <c r="K11">
        <v>43</v>
      </c>
      <c r="L11">
        <v>76</v>
      </c>
      <c r="M11">
        <v>38</v>
      </c>
      <c r="N11">
        <v>0.88508373498916626</v>
      </c>
      <c r="O11">
        <v>0.26966291666030884</v>
      </c>
      <c r="P11">
        <v>0.21818181872367859</v>
      </c>
      <c r="Q11">
        <v>0.24120603501796722</v>
      </c>
      <c r="R11">
        <v>0.83612203598022461</v>
      </c>
      <c r="S11">
        <v>0.25460392236709595</v>
      </c>
      <c r="T11">
        <v>1139</v>
      </c>
      <c r="U11">
        <v>65</v>
      </c>
      <c r="V11">
        <v>86</v>
      </c>
      <c r="W11">
        <v>24</v>
      </c>
    </row>
    <row r="12" spans="1:23" x14ac:dyDescent="0.25">
      <c r="A12" t="s">
        <v>109</v>
      </c>
      <c r="B12">
        <v>3</v>
      </c>
      <c r="C12">
        <v>37</v>
      </c>
      <c r="D12">
        <v>0.89536738395690918</v>
      </c>
      <c r="E12">
        <v>0.375</v>
      </c>
      <c r="F12">
        <v>0.27027025818824768</v>
      </c>
      <c r="G12">
        <v>0.31413611769676208</v>
      </c>
      <c r="H12">
        <v>0.8325951099395752</v>
      </c>
      <c r="I12">
        <v>0.31329494714736938</v>
      </c>
      <c r="J12">
        <v>1091</v>
      </c>
      <c r="K12">
        <v>50</v>
      </c>
      <c r="L12">
        <v>81</v>
      </c>
      <c r="M12">
        <v>30</v>
      </c>
      <c r="N12">
        <v>0.90258753299713135</v>
      </c>
      <c r="O12">
        <v>0.32692307233810425</v>
      </c>
      <c r="P12">
        <v>0.15454545617103577</v>
      </c>
      <c r="Q12">
        <v>0.20987653732299805</v>
      </c>
      <c r="R12">
        <v>0.82312744855880737</v>
      </c>
      <c r="S12">
        <v>0.26349484920501709</v>
      </c>
      <c r="T12">
        <v>1169</v>
      </c>
      <c r="U12">
        <v>35</v>
      </c>
      <c r="V12">
        <v>93</v>
      </c>
      <c r="W12">
        <v>17</v>
      </c>
    </row>
    <row r="13" spans="1:23" x14ac:dyDescent="0.25">
      <c r="A13" t="s">
        <v>109</v>
      </c>
      <c r="B13">
        <v>4</v>
      </c>
      <c r="C13">
        <v>28</v>
      </c>
      <c r="D13">
        <v>0.90787267684936523</v>
      </c>
      <c r="E13">
        <v>0.45901638269424438</v>
      </c>
      <c r="F13">
        <v>0.56000000238418579</v>
      </c>
      <c r="G13">
        <v>0.5045045018196106</v>
      </c>
      <c r="H13">
        <v>0.88010972738265991</v>
      </c>
      <c r="I13">
        <v>0.55900520086288452</v>
      </c>
      <c r="J13">
        <v>1028</v>
      </c>
      <c r="K13">
        <v>66</v>
      </c>
      <c r="L13">
        <v>44</v>
      </c>
      <c r="M13">
        <v>56</v>
      </c>
      <c r="N13">
        <v>0.88203954696655273</v>
      </c>
      <c r="O13">
        <v>0.35099336504936218</v>
      </c>
      <c r="P13">
        <v>0.48181816935539246</v>
      </c>
      <c r="Q13">
        <v>0.40613025426864624</v>
      </c>
      <c r="R13">
        <v>0.83453643321990967</v>
      </c>
      <c r="S13">
        <v>0.35391548275947571</v>
      </c>
      <c r="T13">
        <v>1106</v>
      </c>
      <c r="U13">
        <v>98</v>
      </c>
      <c r="V13">
        <v>57</v>
      </c>
      <c r="W13">
        <v>53</v>
      </c>
    </row>
    <row r="14" spans="1:23" x14ac:dyDescent="0.25">
      <c r="A14" t="s">
        <v>110</v>
      </c>
      <c r="B14">
        <v>1</v>
      </c>
      <c r="C14">
        <v>6</v>
      </c>
      <c r="D14">
        <v>0.87382781505584717</v>
      </c>
      <c r="E14">
        <v>0.41860464215278625</v>
      </c>
      <c r="F14">
        <v>0.60000002384185791</v>
      </c>
      <c r="G14">
        <v>0.49315068125724792</v>
      </c>
      <c r="H14">
        <v>0.85674268007278442</v>
      </c>
      <c r="I14">
        <v>0.43261745572090149</v>
      </c>
      <c r="J14">
        <v>953</v>
      </c>
      <c r="K14">
        <v>100</v>
      </c>
      <c r="L14">
        <v>48</v>
      </c>
      <c r="M14">
        <v>72</v>
      </c>
      <c r="N14">
        <v>0.86605781316757202</v>
      </c>
      <c r="O14">
        <v>0.33980581164360046</v>
      </c>
      <c r="P14">
        <v>0.63636362552642822</v>
      </c>
      <c r="Q14">
        <v>0.44303798675537109</v>
      </c>
      <c r="R14">
        <v>0.86457276344299316</v>
      </c>
      <c r="S14">
        <v>0.46481406688690186</v>
      </c>
      <c r="T14">
        <v>1068</v>
      </c>
      <c r="U14">
        <v>136</v>
      </c>
      <c r="V14">
        <v>40</v>
      </c>
      <c r="W14">
        <v>70</v>
      </c>
    </row>
    <row r="15" spans="1:23" x14ac:dyDescent="0.25">
      <c r="A15" t="s">
        <v>110</v>
      </c>
      <c r="B15">
        <v>2</v>
      </c>
      <c r="C15">
        <v>7</v>
      </c>
      <c r="D15">
        <v>0.90243899822235107</v>
      </c>
      <c r="E15">
        <v>0.48124998807907104</v>
      </c>
      <c r="F15">
        <v>0.67543858289718628</v>
      </c>
      <c r="G15">
        <v>0.56204378604888916</v>
      </c>
      <c r="H15">
        <v>0.90431052446365356</v>
      </c>
      <c r="I15">
        <v>0.61696267127990723</v>
      </c>
      <c r="J15">
        <v>1033</v>
      </c>
      <c r="K15">
        <v>83</v>
      </c>
      <c r="L15">
        <v>37</v>
      </c>
      <c r="M15">
        <v>77</v>
      </c>
      <c r="N15">
        <v>0.87138509750366211</v>
      </c>
      <c r="O15">
        <v>0.35025382041931152</v>
      </c>
      <c r="P15">
        <v>0.62727272510528564</v>
      </c>
      <c r="Q15">
        <v>0.44951140880584717</v>
      </c>
      <c r="R15">
        <v>0.86371177434921265</v>
      </c>
      <c r="S15">
        <v>0.44874662160873413</v>
      </c>
      <c r="T15">
        <v>1076</v>
      </c>
      <c r="U15">
        <v>128</v>
      </c>
      <c r="V15">
        <v>41</v>
      </c>
      <c r="W15">
        <v>69</v>
      </c>
    </row>
    <row r="16" spans="1:23" x14ac:dyDescent="0.25">
      <c r="A16" t="s">
        <v>110</v>
      </c>
      <c r="B16">
        <v>3</v>
      </c>
      <c r="C16">
        <v>12</v>
      </c>
      <c r="D16">
        <v>0.89217251539230347</v>
      </c>
      <c r="E16">
        <v>0.41304346919059753</v>
      </c>
      <c r="F16">
        <v>0.51351350545883179</v>
      </c>
      <c r="G16">
        <v>0.45783132314682007</v>
      </c>
      <c r="H16">
        <v>0.85211324691772461</v>
      </c>
      <c r="I16">
        <v>0.45201206207275391</v>
      </c>
      <c r="J16">
        <v>1060</v>
      </c>
      <c r="K16">
        <v>81</v>
      </c>
      <c r="L16">
        <v>54</v>
      </c>
      <c r="M16">
        <v>57</v>
      </c>
      <c r="N16">
        <v>0.87899541854858398</v>
      </c>
      <c r="O16">
        <v>0.35329341888427734</v>
      </c>
      <c r="P16">
        <v>0.53636366128921509</v>
      </c>
      <c r="Q16">
        <v>0.42599278688430786</v>
      </c>
      <c r="R16">
        <v>0.83691489696502686</v>
      </c>
      <c r="S16">
        <v>0.41122215986251831</v>
      </c>
      <c r="T16">
        <v>1096</v>
      </c>
      <c r="U16">
        <v>108</v>
      </c>
      <c r="V16">
        <v>51</v>
      </c>
      <c r="W16">
        <v>59</v>
      </c>
    </row>
    <row r="17" spans="1:23" x14ac:dyDescent="0.25">
      <c r="A17" t="s">
        <v>110</v>
      </c>
      <c r="B17">
        <v>4</v>
      </c>
      <c r="C17">
        <v>17</v>
      </c>
      <c r="D17">
        <v>0.91373533010482788</v>
      </c>
      <c r="E17">
        <v>0.48514851927757263</v>
      </c>
      <c r="F17">
        <v>0.49000000953674316</v>
      </c>
      <c r="G17">
        <v>0.48756217956542969</v>
      </c>
      <c r="H17">
        <v>0.90862900018692017</v>
      </c>
      <c r="I17">
        <v>0.5034375786781311</v>
      </c>
      <c r="J17">
        <v>1042</v>
      </c>
      <c r="K17">
        <v>52</v>
      </c>
      <c r="L17">
        <v>51</v>
      </c>
      <c r="M17">
        <v>49</v>
      </c>
      <c r="N17">
        <v>0.90943682193756104</v>
      </c>
      <c r="O17">
        <v>0.46399998664855957</v>
      </c>
      <c r="P17">
        <v>0.52727270126342773</v>
      </c>
      <c r="Q17">
        <v>0.49361702799797058</v>
      </c>
      <c r="R17">
        <v>0.87390512228012085</v>
      </c>
      <c r="S17">
        <v>0.4645867645740509</v>
      </c>
      <c r="T17">
        <v>1137</v>
      </c>
      <c r="U17">
        <v>67</v>
      </c>
      <c r="V17">
        <v>52</v>
      </c>
      <c r="W17">
        <v>58</v>
      </c>
    </row>
    <row r="18" spans="1:23" x14ac:dyDescent="0.25">
      <c r="A18" t="s">
        <v>111</v>
      </c>
      <c r="B18">
        <v>1</v>
      </c>
      <c r="C18">
        <v>6</v>
      </c>
      <c r="D18">
        <v>0.90451830625534058</v>
      </c>
      <c r="E18">
        <v>0.53773581981658936</v>
      </c>
      <c r="F18">
        <v>0.47499999403953552</v>
      </c>
      <c r="G18">
        <v>0.50442475080490112</v>
      </c>
      <c r="H18">
        <v>0.86302626132965088</v>
      </c>
      <c r="I18">
        <v>0.44907012581825256</v>
      </c>
      <c r="J18">
        <v>1004</v>
      </c>
      <c r="K18">
        <v>49</v>
      </c>
      <c r="L18">
        <v>63</v>
      </c>
      <c r="M18">
        <v>57</v>
      </c>
      <c r="N18">
        <v>0.88432270288467407</v>
      </c>
      <c r="O18">
        <v>0.37037035822868347</v>
      </c>
      <c r="P18">
        <v>0.54545456171035767</v>
      </c>
      <c r="Q18">
        <v>0.44117647409439087</v>
      </c>
      <c r="R18">
        <v>0.86991852521896362</v>
      </c>
      <c r="S18">
        <v>0.43479031324386597</v>
      </c>
      <c r="T18">
        <v>1102</v>
      </c>
      <c r="U18">
        <v>102</v>
      </c>
      <c r="V18">
        <v>50</v>
      </c>
      <c r="W18">
        <v>60</v>
      </c>
    </row>
    <row r="19" spans="1:23" x14ac:dyDescent="0.25">
      <c r="A19" t="s">
        <v>111</v>
      </c>
      <c r="B19">
        <v>2</v>
      </c>
      <c r="C19">
        <v>7</v>
      </c>
      <c r="D19">
        <v>0.88780486583709717</v>
      </c>
      <c r="E19">
        <v>0.42771083116531372</v>
      </c>
      <c r="F19">
        <v>0.62280702590942383</v>
      </c>
      <c r="G19">
        <v>0.50714284181594849</v>
      </c>
      <c r="H19">
        <v>0.8960731029510498</v>
      </c>
      <c r="I19">
        <v>0.53396803140640259</v>
      </c>
      <c r="J19">
        <v>1021</v>
      </c>
      <c r="K19">
        <v>95</v>
      </c>
      <c r="L19">
        <v>43</v>
      </c>
      <c r="M19">
        <v>71</v>
      </c>
      <c r="N19">
        <v>0.88356167078018188</v>
      </c>
      <c r="O19">
        <v>0.371257483959198</v>
      </c>
      <c r="P19">
        <v>0.56363636255264282</v>
      </c>
      <c r="Q19">
        <v>0.44765344262123108</v>
      </c>
      <c r="R19">
        <v>0.83617484569549561</v>
      </c>
      <c r="S19">
        <v>0.38414624333381653</v>
      </c>
      <c r="T19">
        <v>1099</v>
      </c>
      <c r="U19">
        <v>105</v>
      </c>
      <c r="V19">
        <v>48</v>
      </c>
      <c r="W19">
        <v>62</v>
      </c>
    </row>
    <row r="20" spans="1:23" x14ac:dyDescent="0.25">
      <c r="A20" t="s">
        <v>111</v>
      </c>
      <c r="B20">
        <v>3</v>
      </c>
      <c r="C20">
        <v>15</v>
      </c>
      <c r="D20">
        <v>0.91453671455383301</v>
      </c>
      <c r="E20">
        <v>0.52127659320831299</v>
      </c>
      <c r="F20">
        <v>0.44144144654273987</v>
      </c>
      <c r="G20">
        <v>0.47804877161979675</v>
      </c>
      <c r="H20">
        <v>0.8660886287689209</v>
      </c>
      <c r="I20">
        <v>0.4867158830165863</v>
      </c>
      <c r="J20">
        <v>1096</v>
      </c>
      <c r="K20">
        <v>45</v>
      </c>
      <c r="L20">
        <v>62</v>
      </c>
      <c r="M20">
        <v>49</v>
      </c>
      <c r="N20">
        <v>0.89573818445205688</v>
      </c>
      <c r="O20">
        <v>0.3919999897480011</v>
      </c>
      <c r="P20">
        <v>0.44545453786849976</v>
      </c>
      <c r="Q20">
        <v>0.41702127456665039</v>
      </c>
      <c r="R20">
        <v>0.83402305841445923</v>
      </c>
      <c r="S20">
        <v>0.39942216873168945</v>
      </c>
      <c r="T20">
        <v>1128</v>
      </c>
      <c r="U20">
        <v>76</v>
      </c>
      <c r="V20">
        <v>61</v>
      </c>
      <c r="W20">
        <v>49</v>
      </c>
    </row>
    <row r="21" spans="1:23" x14ac:dyDescent="0.25">
      <c r="A21" t="s">
        <v>111</v>
      </c>
      <c r="B21">
        <v>4</v>
      </c>
      <c r="C21">
        <v>12</v>
      </c>
      <c r="D21">
        <v>0.90703517198562622</v>
      </c>
      <c r="E21">
        <v>0.45217391848564148</v>
      </c>
      <c r="F21">
        <v>0.51999998092651367</v>
      </c>
      <c r="G21">
        <v>0.48372092843055725</v>
      </c>
      <c r="H21">
        <v>0.88782447576522827</v>
      </c>
      <c r="I21">
        <v>0.5037422776222229</v>
      </c>
      <c r="J21">
        <v>1031</v>
      </c>
      <c r="K21">
        <v>63</v>
      </c>
      <c r="L21">
        <v>48</v>
      </c>
      <c r="M21">
        <v>52</v>
      </c>
      <c r="N21">
        <v>0.88203954696655273</v>
      </c>
      <c r="O21">
        <v>0.35668790340423584</v>
      </c>
      <c r="P21">
        <v>0.50909090042114258</v>
      </c>
      <c r="Q21">
        <v>0.41947564482688904</v>
      </c>
      <c r="R21">
        <v>0.85207641124725342</v>
      </c>
      <c r="S21">
        <v>0.42061442136764526</v>
      </c>
      <c r="T21">
        <v>1103</v>
      </c>
      <c r="U21">
        <v>101</v>
      </c>
      <c r="V21">
        <v>54</v>
      </c>
      <c r="W21">
        <v>56</v>
      </c>
    </row>
    <row r="22" spans="1:23" x14ac:dyDescent="0.25">
      <c r="A22" t="s">
        <v>112</v>
      </c>
      <c r="B22">
        <v>1</v>
      </c>
      <c r="C22">
        <v>6</v>
      </c>
      <c r="D22">
        <v>0.85933506488800049</v>
      </c>
      <c r="E22">
        <v>0.38693466782569885</v>
      </c>
      <c r="F22">
        <v>0.64166665077209473</v>
      </c>
      <c r="G22">
        <v>0.48275861144065857</v>
      </c>
      <c r="H22">
        <v>0.85998737812042236</v>
      </c>
      <c r="I22">
        <v>0.45638599991798401</v>
      </c>
      <c r="J22">
        <v>931</v>
      </c>
      <c r="K22">
        <v>122</v>
      </c>
      <c r="L22">
        <v>43</v>
      </c>
      <c r="M22">
        <v>77</v>
      </c>
      <c r="N22">
        <v>0.8614916205406189</v>
      </c>
      <c r="O22">
        <v>0.32857143878936768</v>
      </c>
      <c r="P22">
        <v>0.62727272510528564</v>
      </c>
      <c r="Q22">
        <v>0.43125000596046448</v>
      </c>
      <c r="R22">
        <v>0.84783291816711426</v>
      </c>
      <c r="S22">
        <v>0.40785783529281616</v>
      </c>
      <c r="T22">
        <v>1063</v>
      </c>
      <c r="U22">
        <v>141</v>
      </c>
      <c r="V22">
        <v>41</v>
      </c>
      <c r="W22">
        <v>69</v>
      </c>
    </row>
    <row r="23" spans="1:23" x14ac:dyDescent="0.25">
      <c r="A23" t="s">
        <v>112</v>
      </c>
      <c r="B23">
        <v>2</v>
      </c>
      <c r="C23">
        <v>8</v>
      </c>
      <c r="D23">
        <v>0.89024388790130615</v>
      </c>
      <c r="E23">
        <v>0.44134077429771423</v>
      </c>
      <c r="F23">
        <v>0.69298243522644043</v>
      </c>
      <c r="G23">
        <v>0.53924912214279175</v>
      </c>
      <c r="H23">
        <v>0.90959250926971436</v>
      </c>
      <c r="I23">
        <v>0.59181779623031616</v>
      </c>
      <c r="J23">
        <v>1016</v>
      </c>
      <c r="K23">
        <v>100</v>
      </c>
      <c r="L23">
        <v>35</v>
      </c>
      <c r="M23">
        <v>79</v>
      </c>
      <c r="N23">
        <v>0.86986303329467773</v>
      </c>
      <c r="O23">
        <v>0.34825870394706726</v>
      </c>
      <c r="P23">
        <v>0.63636362552642822</v>
      </c>
      <c r="Q23">
        <v>0.45016077160835266</v>
      </c>
      <c r="R23">
        <v>0.87742376327514648</v>
      </c>
      <c r="S23">
        <v>0.46001112461090088</v>
      </c>
      <c r="T23">
        <v>1073</v>
      </c>
      <c r="U23">
        <v>131</v>
      </c>
      <c r="V23">
        <v>40</v>
      </c>
      <c r="W23">
        <v>70</v>
      </c>
    </row>
    <row r="24" spans="1:23" x14ac:dyDescent="0.25">
      <c r="A24" t="s">
        <v>112</v>
      </c>
      <c r="B24">
        <v>3</v>
      </c>
      <c r="C24">
        <v>47</v>
      </c>
      <c r="D24">
        <v>0.91693288087844849</v>
      </c>
      <c r="E24">
        <v>0.54117649793624878</v>
      </c>
      <c r="F24">
        <v>0.41441440582275391</v>
      </c>
      <c r="G24">
        <v>0.46938776969909668</v>
      </c>
      <c r="H24">
        <v>0.8744819164276123</v>
      </c>
      <c r="I24">
        <v>0.43241029977798462</v>
      </c>
      <c r="J24">
        <v>1102</v>
      </c>
      <c r="K24">
        <v>39</v>
      </c>
      <c r="L24">
        <v>65</v>
      </c>
      <c r="M24">
        <v>46</v>
      </c>
      <c r="N24">
        <v>0.90334856510162354</v>
      </c>
      <c r="O24">
        <v>0.41584157943725586</v>
      </c>
      <c r="P24">
        <v>0.38181817531585693</v>
      </c>
      <c r="Q24">
        <v>0.39810428023338318</v>
      </c>
      <c r="R24">
        <v>0.86158257722854614</v>
      </c>
      <c r="S24">
        <v>0.40750414133071899</v>
      </c>
      <c r="T24">
        <v>1145</v>
      </c>
      <c r="U24">
        <v>59</v>
      </c>
      <c r="V24">
        <v>68</v>
      </c>
      <c r="W24">
        <v>42</v>
      </c>
    </row>
    <row r="25" spans="1:23" x14ac:dyDescent="0.25">
      <c r="A25" t="s">
        <v>112</v>
      </c>
      <c r="B25">
        <v>4</v>
      </c>
      <c r="C25">
        <v>46</v>
      </c>
      <c r="D25">
        <v>0.87855947017669678</v>
      </c>
      <c r="E25">
        <v>0.3668639063835144</v>
      </c>
      <c r="F25">
        <v>0.62000000476837158</v>
      </c>
      <c r="G25">
        <v>0.460966557264328</v>
      </c>
      <c r="H25">
        <v>0.8863985538482666</v>
      </c>
      <c r="I25">
        <v>0.50386369228363037</v>
      </c>
      <c r="J25">
        <v>987</v>
      </c>
      <c r="K25">
        <v>107</v>
      </c>
      <c r="L25">
        <v>38</v>
      </c>
      <c r="M25">
        <v>62</v>
      </c>
      <c r="N25">
        <v>0.86225265264511108</v>
      </c>
      <c r="O25">
        <v>0.34222221374511719</v>
      </c>
      <c r="P25">
        <v>0.69999998807907104</v>
      </c>
      <c r="Q25">
        <v>0.45970147848129272</v>
      </c>
      <c r="R25">
        <v>0.87160223722457886</v>
      </c>
      <c r="S25">
        <v>0.47835493087768555</v>
      </c>
      <c r="T25">
        <v>1056</v>
      </c>
      <c r="U25">
        <v>148</v>
      </c>
      <c r="V25">
        <v>33</v>
      </c>
      <c r="W25">
        <v>77</v>
      </c>
    </row>
    <row r="26" spans="1:23" x14ac:dyDescent="0.25">
      <c r="A26" t="s">
        <v>113</v>
      </c>
      <c r="B26">
        <v>1</v>
      </c>
      <c r="C26">
        <v>14</v>
      </c>
      <c r="D26">
        <v>0.89343565702438354</v>
      </c>
      <c r="E26">
        <v>0.47474747896194458</v>
      </c>
      <c r="F26">
        <v>0.39166668057441711</v>
      </c>
      <c r="G26">
        <v>0.42922374606132507</v>
      </c>
      <c r="H26">
        <v>0.83475786447525024</v>
      </c>
      <c r="I26">
        <v>0.40157926082611084</v>
      </c>
      <c r="J26">
        <v>1001</v>
      </c>
      <c r="K26">
        <v>52</v>
      </c>
      <c r="L26">
        <v>73</v>
      </c>
      <c r="M26">
        <v>47</v>
      </c>
      <c r="N26">
        <v>0.89193302392959595</v>
      </c>
      <c r="O26">
        <v>0.36885246634483337</v>
      </c>
      <c r="P26">
        <v>0.40909090638160706</v>
      </c>
      <c r="Q26">
        <v>0.38793104887008667</v>
      </c>
      <c r="R26">
        <v>0.82057535648345947</v>
      </c>
      <c r="S26">
        <v>0.38543951511383057</v>
      </c>
      <c r="T26">
        <v>1127</v>
      </c>
      <c r="U26">
        <v>77</v>
      </c>
      <c r="V26">
        <v>65</v>
      </c>
      <c r="W26">
        <v>45</v>
      </c>
    </row>
    <row r="27" spans="1:23" x14ac:dyDescent="0.25">
      <c r="A27" t="s">
        <v>113</v>
      </c>
      <c r="B27">
        <v>2</v>
      </c>
      <c r="C27">
        <v>7</v>
      </c>
      <c r="D27">
        <v>0.90406501293182373</v>
      </c>
      <c r="E27">
        <v>0.48245614767074585</v>
      </c>
      <c r="F27">
        <v>0.48245614767074585</v>
      </c>
      <c r="G27">
        <v>0.48245614767074585</v>
      </c>
      <c r="H27">
        <v>0.8917577862739563</v>
      </c>
      <c r="I27">
        <v>0.48384791612625122</v>
      </c>
      <c r="J27">
        <v>1057</v>
      </c>
      <c r="K27">
        <v>59</v>
      </c>
      <c r="L27">
        <v>59</v>
      </c>
      <c r="M27">
        <v>55</v>
      </c>
      <c r="N27">
        <v>0.88356167078018188</v>
      </c>
      <c r="O27">
        <v>0.33587786555290222</v>
      </c>
      <c r="P27">
        <v>0.40000000596046448</v>
      </c>
      <c r="Q27">
        <v>0.3651452362537384</v>
      </c>
      <c r="R27">
        <v>0.82056021690368652</v>
      </c>
      <c r="S27">
        <v>0.34231603145599365</v>
      </c>
      <c r="T27">
        <v>1117</v>
      </c>
      <c r="U27">
        <v>87</v>
      </c>
      <c r="V27">
        <v>66</v>
      </c>
      <c r="W27">
        <v>44</v>
      </c>
    </row>
    <row r="28" spans="1:23" x14ac:dyDescent="0.25">
      <c r="A28" t="s">
        <v>113</v>
      </c>
      <c r="B28">
        <v>3</v>
      </c>
      <c r="C28">
        <v>34</v>
      </c>
      <c r="D28">
        <v>0.88817888498306274</v>
      </c>
      <c r="E28">
        <v>0.38582676649093628</v>
      </c>
      <c r="F28">
        <v>0.44144144654273987</v>
      </c>
      <c r="G28">
        <v>0.4117647111415863</v>
      </c>
      <c r="H28">
        <v>0.83987492322921753</v>
      </c>
      <c r="I28">
        <v>0.41325199604034424</v>
      </c>
      <c r="J28">
        <v>1063</v>
      </c>
      <c r="K28">
        <v>78</v>
      </c>
      <c r="L28">
        <v>62</v>
      </c>
      <c r="M28">
        <v>49</v>
      </c>
      <c r="N28">
        <v>0.87747335433959961</v>
      </c>
      <c r="O28">
        <v>0.33962264657020569</v>
      </c>
      <c r="P28">
        <v>0.49090909957885742</v>
      </c>
      <c r="Q28">
        <v>0.40148699283599854</v>
      </c>
      <c r="R28">
        <v>0.81970709562301636</v>
      </c>
      <c r="S28">
        <v>0.36401847004890442</v>
      </c>
      <c r="T28">
        <v>1099</v>
      </c>
      <c r="U28">
        <v>105</v>
      </c>
      <c r="V28">
        <v>56</v>
      </c>
      <c r="W28">
        <v>54</v>
      </c>
    </row>
    <row r="29" spans="1:23" x14ac:dyDescent="0.25">
      <c r="A29" t="s">
        <v>113</v>
      </c>
      <c r="B29">
        <v>4</v>
      </c>
      <c r="C29">
        <v>36</v>
      </c>
      <c r="D29">
        <v>0.87018424272537231</v>
      </c>
      <c r="E29">
        <v>0.35602095723152161</v>
      </c>
      <c r="F29">
        <v>0.68000000715255737</v>
      </c>
      <c r="G29">
        <v>0.4673539400100708</v>
      </c>
      <c r="H29">
        <v>0.86933279037475586</v>
      </c>
      <c r="I29">
        <v>0.41838085651397705</v>
      </c>
      <c r="J29">
        <v>971</v>
      </c>
      <c r="K29">
        <v>123</v>
      </c>
      <c r="L29">
        <v>32</v>
      </c>
      <c r="M29">
        <v>68</v>
      </c>
      <c r="N29">
        <v>0.83713853359222412</v>
      </c>
      <c r="O29">
        <v>0.2699114978313446</v>
      </c>
      <c r="P29">
        <v>0.55454546213150024</v>
      </c>
      <c r="Q29">
        <v>0.36309522390365601</v>
      </c>
      <c r="R29">
        <v>0.82864689826965332</v>
      </c>
      <c r="S29">
        <v>0.34560629725456238</v>
      </c>
      <c r="T29">
        <v>1039</v>
      </c>
      <c r="U29">
        <v>165</v>
      </c>
      <c r="V29">
        <v>49</v>
      </c>
      <c r="W29">
        <v>61</v>
      </c>
    </row>
  </sheetData>
  <pageMargins left="0.7" right="0.7" top="0.75" bottom="0.75" header="0.3" footer="0.3"/>
  <pageSetup paperSize="9" scale="60" fitToWidth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4E35-647D-4DFA-A6C2-2391D3AC421A}">
  <sheetPr>
    <tabColor theme="3" tint="0.249977111117893"/>
  </sheetPr>
  <dimension ref="A1:W29"/>
  <sheetViews>
    <sheetView workbookViewId="0">
      <selection activeCell="C10" sqref="C10:W13"/>
    </sheetView>
  </sheetViews>
  <sheetFormatPr defaultRowHeight="15" x14ac:dyDescent="0.25"/>
  <cols>
    <col min="1" max="1" width="27.85546875" bestFit="1" customWidth="1"/>
    <col min="2" max="2" width="6.85546875" bestFit="1" customWidth="1"/>
    <col min="3" max="3" width="13.7109375" bestFit="1" customWidth="1"/>
    <col min="4" max="4" width="19.28515625" bestFit="1" customWidth="1"/>
    <col min="5" max="5" width="20" bestFit="1" customWidth="1"/>
    <col min="6" max="6" width="16.42578125" bestFit="1" customWidth="1"/>
    <col min="7" max="7" width="13" bestFit="1" customWidth="1"/>
    <col min="8" max="8" width="16.42578125" bestFit="1" customWidth="1"/>
    <col min="9" max="9" width="28.140625" bestFit="1" customWidth="1"/>
    <col min="10" max="10" width="13.7109375" bestFit="1" customWidth="1"/>
    <col min="11" max="11" width="13.42578125" bestFit="1" customWidth="1"/>
    <col min="12" max="12" width="13.7109375" bestFit="1" customWidth="1"/>
    <col min="13" max="13" width="13.42578125" bestFit="1" customWidth="1"/>
    <col min="14" max="14" width="15.7109375" bestFit="1" customWidth="1"/>
    <col min="15" max="15" width="16.28515625" bestFit="1" customWidth="1"/>
    <col min="16" max="16" width="12.7109375" bestFit="1" customWidth="1"/>
    <col min="17" max="17" width="12" bestFit="1" customWidth="1"/>
    <col min="18" max="18" width="12.7109375" bestFit="1" customWidth="1"/>
    <col min="19" max="19" width="24.42578125" bestFit="1" customWidth="1"/>
    <col min="20" max="20" width="10.140625" bestFit="1" customWidth="1"/>
    <col min="21" max="21" width="9.85546875" bestFit="1" customWidth="1"/>
    <col min="22" max="22" width="10.140625" bestFit="1" customWidth="1"/>
    <col min="23" max="23" width="9.85546875" bestFit="1" customWidth="1"/>
  </cols>
  <sheetData>
    <row r="1" spans="1:23" x14ac:dyDescent="0.25">
      <c r="A1" t="s">
        <v>69</v>
      </c>
      <c r="B1" t="s">
        <v>68</v>
      </c>
      <c r="C1" t="s">
        <v>67</v>
      </c>
      <c r="D1" t="s">
        <v>66</v>
      </c>
      <c r="E1" t="s">
        <v>65</v>
      </c>
      <c r="F1" t="s">
        <v>64</v>
      </c>
      <c r="G1" t="s">
        <v>63</v>
      </c>
      <c r="H1" t="s">
        <v>62</v>
      </c>
      <c r="I1" t="s">
        <v>61</v>
      </c>
      <c r="J1" t="s">
        <v>60</v>
      </c>
      <c r="K1" t="s">
        <v>59</v>
      </c>
      <c r="L1" t="s">
        <v>58</v>
      </c>
      <c r="M1" t="s">
        <v>57</v>
      </c>
      <c r="N1" t="s">
        <v>56</v>
      </c>
      <c r="O1" t="s">
        <v>55</v>
      </c>
      <c r="P1" t="s">
        <v>54</v>
      </c>
      <c r="Q1" t="s">
        <v>53</v>
      </c>
      <c r="R1" t="s">
        <v>52</v>
      </c>
      <c r="S1" t="s">
        <v>51</v>
      </c>
      <c r="T1" t="s">
        <v>50</v>
      </c>
      <c r="U1" t="s">
        <v>49</v>
      </c>
      <c r="V1" t="s">
        <v>48</v>
      </c>
      <c r="W1" t="s">
        <v>47</v>
      </c>
    </row>
    <row r="2" spans="1:23" x14ac:dyDescent="0.25">
      <c r="A2" t="s">
        <v>141</v>
      </c>
      <c r="B2">
        <v>1</v>
      </c>
      <c r="C2">
        <v>5</v>
      </c>
      <c r="D2">
        <v>0.84910488128662109</v>
      </c>
      <c r="E2">
        <v>0.34759357571601868</v>
      </c>
      <c r="F2">
        <v>0.54166668653488159</v>
      </c>
      <c r="G2">
        <v>0.42345276474952698</v>
      </c>
      <c r="H2">
        <v>0.83869105577468872</v>
      </c>
      <c r="I2">
        <v>0.33923211693763733</v>
      </c>
      <c r="J2">
        <v>931</v>
      </c>
      <c r="K2">
        <v>122</v>
      </c>
      <c r="L2">
        <v>55</v>
      </c>
      <c r="M2">
        <v>65</v>
      </c>
      <c r="N2">
        <v>0.84094369411468506</v>
      </c>
      <c r="O2">
        <v>0.2800000011920929</v>
      </c>
      <c r="P2">
        <v>0.5727272629737854</v>
      </c>
      <c r="Q2">
        <v>0.37611940503120422</v>
      </c>
      <c r="R2">
        <v>0.84143012762069702</v>
      </c>
      <c r="S2">
        <v>0.30523020029067993</v>
      </c>
      <c r="T2">
        <v>1042</v>
      </c>
      <c r="U2">
        <v>162</v>
      </c>
      <c r="V2">
        <v>47</v>
      </c>
      <c r="W2">
        <v>63</v>
      </c>
    </row>
    <row r="3" spans="1:23" x14ac:dyDescent="0.25">
      <c r="A3" t="s">
        <v>141</v>
      </c>
      <c r="B3">
        <v>2</v>
      </c>
      <c r="C3">
        <v>1</v>
      </c>
      <c r="D3">
        <v>0.90243899822235107</v>
      </c>
      <c r="E3">
        <v>0.43181818723678589</v>
      </c>
      <c r="F3">
        <v>0.1666666716337204</v>
      </c>
      <c r="G3">
        <v>0.24050633609294891</v>
      </c>
      <c r="H3">
        <v>0.8888888955116272</v>
      </c>
      <c r="I3">
        <v>0.39872854948043823</v>
      </c>
      <c r="J3">
        <v>1091</v>
      </c>
      <c r="K3">
        <v>25</v>
      </c>
      <c r="L3">
        <v>95</v>
      </c>
      <c r="M3">
        <v>19</v>
      </c>
      <c r="N3">
        <v>0.91019785404205322</v>
      </c>
      <c r="O3">
        <v>0.3888888955116272</v>
      </c>
      <c r="P3">
        <v>0.12727272510528564</v>
      </c>
      <c r="Q3">
        <v>0.19178082048892975</v>
      </c>
      <c r="R3">
        <v>0.82495474815368652</v>
      </c>
      <c r="S3">
        <v>0.31585291028022766</v>
      </c>
      <c r="T3">
        <v>1182</v>
      </c>
      <c r="U3">
        <v>22</v>
      </c>
      <c r="V3">
        <v>96</v>
      </c>
      <c r="W3">
        <v>14</v>
      </c>
    </row>
    <row r="4" spans="1:23" x14ac:dyDescent="0.25">
      <c r="A4" t="s">
        <v>141</v>
      </c>
      <c r="B4">
        <v>3</v>
      </c>
      <c r="C4">
        <v>25</v>
      </c>
      <c r="D4">
        <v>0.89696484804153442</v>
      </c>
      <c r="E4">
        <v>0.4117647111415863</v>
      </c>
      <c r="F4">
        <v>0.37837839126586914</v>
      </c>
      <c r="G4">
        <v>0.39436620473861694</v>
      </c>
      <c r="H4">
        <v>0.85655057430267334</v>
      </c>
      <c r="I4">
        <v>0.3894086480140686</v>
      </c>
      <c r="J4">
        <v>1081</v>
      </c>
      <c r="K4">
        <v>60</v>
      </c>
      <c r="L4">
        <v>69</v>
      </c>
      <c r="M4">
        <v>42</v>
      </c>
      <c r="N4">
        <v>0.88736683130264282</v>
      </c>
      <c r="O4">
        <v>0.3303571343421936</v>
      </c>
      <c r="P4">
        <v>0.33636364340782166</v>
      </c>
      <c r="Q4">
        <v>0.3333333432674408</v>
      </c>
      <c r="R4">
        <v>0.82619291543960571</v>
      </c>
      <c r="S4">
        <v>0.33812522888183594</v>
      </c>
      <c r="T4">
        <v>1129</v>
      </c>
      <c r="U4">
        <v>75</v>
      </c>
      <c r="V4">
        <v>73</v>
      </c>
      <c r="W4">
        <v>37</v>
      </c>
    </row>
    <row r="5" spans="1:23" x14ac:dyDescent="0.25">
      <c r="A5" t="s">
        <v>141</v>
      </c>
      <c r="B5">
        <v>4</v>
      </c>
      <c r="C5">
        <v>30</v>
      </c>
      <c r="D5">
        <v>0.88190954923629761</v>
      </c>
      <c r="E5">
        <v>0.37267079949378967</v>
      </c>
      <c r="F5">
        <v>0.60000002384185791</v>
      </c>
      <c r="G5">
        <v>0.45977011322975159</v>
      </c>
      <c r="H5">
        <v>0.88812613487243652</v>
      </c>
      <c r="I5">
        <v>0.52838146686553955</v>
      </c>
      <c r="J5">
        <v>993</v>
      </c>
      <c r="K5">
        <v>101</v>
      </c>
      <c r="L5">
        <v>40</v>
      </c>
      <c r="M5">
        <v>60</v>
      </c>
      <c r="N5">
        <v>0.86605781316757202</v>
      </c>
      <c r="O5">
        <v>0.31460675597190857</v>
      </c>
      <c r="P5">
        <v>0.50909090042114258</v>
      </c>
      <c r="Q5">
        <v>0.3888888955116272</v>
      </c>
      <c r="R5">
        <v>0.81362873315811157</v>
      </c>
      <c r="S5">
        <v>0.35676214098930359</v>
      </c>
      <c r="T5">
        <v>1082</v>
      </c>
      <c r="U5">
        <v>122</v>
      </c>
      <c r="V5">
        <v>54</v>
      </c>
      <c r="W5">
        <v>56</v>
      </c>
    </row>
    <row r="6" spans="1:23" x14ac:dyDescent="0.25">
      <c r="A6" t="s">
        <v>142</v>
      </c>
      <c r="B6">
        <v>1</v>
      </c>
      <c r="C6">
        <v>26</v>
      </c>
      <c r="D6">
        <v>0.85507243871688843</v>
      </c>
      <c r="E6">
        <v>0.35955056548118591</v>
      </c>
      <c r="F6">
        <v>0.53333336114883423</v>
      </c>
      <c r="G6">
        <v>0.42953020334243774</v>
      </c>
      <c r="H6">
        <v>0.83668094873428345</v>
      </c>
      <c r="I6">
        <v>0.35470432043075562</v>
      </c>
      <c r="J6">
        <v>939</v>
      </c>
      <c r="K6">
        <v>114</v>
      </c>
      <c r="L6">
        <v>56</v>
      </c>
      <c r="M6">
        <v>64</v>
      </c>
      <c r="N6">
        <v>0.87290716171264648</v>
      </c>
      <c r="O6">
        <v>0.33714285492897034</v>
      </c>
      <c r="P6">
        <v>0.53636366128921509</v>
      </c>
      <c r="Q6">
        <v>0.41403508186340332</v>
      </c>
      <c r="R6">
        <v>0.8464210033416748</v>
      </c>
      <c r="S6">
        <v>0.32204467058181763</v>
      </c>
      <c r="T6">
        <v>1088</v>
      </c>
      <c r="U6">
        <v>116</v>
      </c>
      <c r="V6">
        <v>51</v>
      </c>
      <c r="W6">
        <v>59</v>
      </c>
    </row>
    <row r="7" spans="1:23" x14ac:dyDescent="0.25">
      <c r="A7" t="s">
        <v>142</v>
      </c>
      <c r="B7">
        <v>2</v>
      </c>
      <c r="C7">
        <v>9</v>
      </c>
      <c r="D7">
        <v>0.90813010931015015</v>
      </c>
      <c r="E7">
        <v>0.50877195596694946</v>
      </c>
      <c r="F7">
        <v>0.25438597798347473</v>
      </c>
      <c r="G7">
        <v>0.33918127417564392</v>
      </c>
      <c r="H7">
        <v>0.87361663579940796</v>
      </c>
      <c r="I7">
        <v>0.40419590473175049</v>
      </c>
      <c r="J7">
        <v>1088</v>
      </c>
      <c r="K7">
        <v>28</v>
      </c>
      <c r="L7">
        <v>85</v>
      </c>
      <c r="M7">
        <v>29</v>
      </c>
      <c r="N7">
        <v>0.91019785404205322</v>
      </c>
      <c r="O7">
        <v>0.43939393758773804</v>
      </c>
      <c r="P7">
        <v>0.26363635063171387</v>
      </c>
      <c r="Q7">
        <v>0.32954546809196472</v>
      </c>
      <c r="R7">
        <v>0.84615683555603027</v>
      </c>
      <c r="S7">
        <v>0.33921819925308228</v>
      </c>
      <c r="T7">
        <v>1167</v>
      </c>
      <c r="U7">
        <v>37</v>
      </c>
      <c r="V7">
        <v>81</v>
      </c>
      <c r="W7">
        <v>29</v>
      </c>
    </row>
    <row r="8" spans="1:23" x14ac:dyDescent="0.25">
      <c r="A8" t="s">
        <v>142</v>
      </c>
      <c r="B8">
        <v>3</v>
      </c>
      <c r="C8">
        <v>18</v>
      </c>
      <c r="D8">
        <v>0.90255588293075562</v>
      </c>
      <c r="E8">
        <v>0.42253521084785461</v>
      </c>
      <c r="F8">
        <v>0.27027025818824768</v>
      </c>
      <c r="G8">
        <v>0.32967033982276917</v>
      </c>
      <c r="H8">
        <v>0.84732067584991455</v>
      </c>
      <c r="I8">
        <v>0.37737250328063965</v>
      </c>
      <c r="J8">
        <v>1100</v>
      </c>
      <c r="K8">
        <v>41</v>
      </c>
      <c r="L8">
        <v>81</v>
      </c>
      <c r="M8">
        <v>30</v>
      </c>
      <c r="N8">
        <v>0.91019785404205322</v>
      </c>
      <c r="O8">
        <v>0.44594594836235046</v>
      </c>
      <c r="P8">
        <v>0.30000001192092896</v>
      </c>
      <c r="Q8">
        <v>0.35869565606117249</v>
      </c>
      <c r="R8">
        <v>0.87485659122467041</v>
      </c>
      <c r="S8">
        <v>0.37571907043457031</v>
      </c>
      <c r="T8">
        <v>1163</v>
      </c>
      <c r="U8">
        <v>41</v>
      </c>
      <c r="V8">
        <v>77</v>
      </c>
      <c r="W8">
        <v>33</v>
      </c>
    </row>
    <row r="9" spans="1:23" x14ac:dyDescent="0.25">
      <c r="A9" t="s">
        <v>142</v>
      </c>
      <c r="B9">
        <v>4</v>
      </c>
      <c r="C9">
        <v>27</v>
      </c>
      <c r="D9">
        <v>0.92797321081161499</v>
      </c>
      <c r="E9">
        <v>0.75</v>
      </c>
      <c r="F9">
        <v>0.20999999344348907</v>
      </c>
      <c r="G9">
        <v>0.328125</v>
      </c>
      <c r="H9">
        <v>0.87060332298278809</v>
      </c>
      <c r="I9">
        <v>0.4950718879699707</v>
      </c>
      <c r="J9">
        <v>1087</v>
      </c>
      <c r="K9">
        <v>7</v>
      </c>
      <c r="L9">
        <v>79</v>
      </c>
      <c r="M9">
        <v>21</v>
      </c>
      <c r="N9">
        <v>0.9162861704826355</v>
      </c>
      <c r="O9">
        <v>0.5</v>
      </c>
      <c r="P9">
        <v>0.16363635659217834</v>
      </c>
      <c r="Q9">
        <v>0.24657534062862396</v>
      </c>
      <c r="R9">
        <v>0.83798706531524658</v>
      </c>
      <c r="S9">
        <v>0.32807037234306335</v>
      </c>
      <c r="T9">
        <v>1186</v>
      </c>
      <c r="U9">
        <v>18</v>
      </c>
      <c r="V9">
        <v>92</v>
      </c>
      <c r="W9">
        <v>18</v>
      </c>
    </row>
    <row r="10" spans="1:23" x14ac:dyDescent="0.25">
      <c r="A10" t="s">
        <v>143</v>
      </c>
      <c r="B10">
        <v>1</v>
      </c>
      <c r="C10">
        <v>15</v>
      </c>
      <c r="D10">
        <v>0.86615514755249023</v>
      </c>
      <c r="E10">
        <v>0.35658913850784302</v>
      </c>
      <c r="F10">
        <v>0.38333332538604736</v>
      </c>
      <c r="G10">
        <v>0.36947789788246155</v>
      </c>
      <c r="H10">
        <v>0.82415312528610229</v>
      </c>
      <c r="I10">
        <v>0.37224280834197998</v>
      </c>
      <c r="J10">
        <v>970</v>
      </c>
      <c r="K10">
        <v>83</v>
      </c>
      <c r="L10">
        <v>74</v>
      </c>
      <c r="M10">
        <v>46</v>
      </c>
      <c r="N10">
        <v>0.8782343864440918</v>
      </c>
      <c r="O10">
        <v>0.3310810923576355</v>
      </c>
      <c r="P10">
        <v>0.44545453786849976</v>
      </c>
      <c r="Q10">
        <v>0.37984496355056763</v>
      </c>
      <c r="R10">
        <v>0.84356689453125</v>
      </c>
      <c r="S10">
        <v>0.35837206244468689</v>
      </c>
      <c r="T10">
        <v>1105</v>
      </c>
      <c r="U10">
        <v>99</v>
      </c>
      <c r="V10">
        <v>61</v>
      </c>
      <c r="W10">
        <v>49</v>
      </c>
    </row>
    <row r="11" spans="1:23" x14ac:dyDescent="0.25">
      <c r="A11" t="s">
        <v>143</v>
      </c>
      <c r="B11">
        <v>2</v>
      </c>
      <c r="C11">
        <v>5</v>
      </c>
      <c r="D11">
        <v>0.9154471755027771</v>
      </c>
      <c r="E11">
        <v>0.55102038383483887</v>
      </c>
      <c r="F11">
        <v>0.47368422150611877</v>
      </c>
      <c r="G11">
        <v>0.50943398475646973</v>
      </c>
      <c r="H11">
        <v>0.88807141780853271</v>
      </c>
      <c r="I11">
        <v>0.49678730964660645</v>
      </c>
      <c r="J11">
        <v>1072</v>
      </c>
      <c r="K11">
        <v>44</v>
      </c>
      <c r="L11">
        <v>60</v>
      </c>
      <c r="M11">
        <v>54</v>
      </c>
      <c r="N11">
        <v>0.89345508813858032</v>
      </c>
      <c r="O11">
        <v>0.34375</v>
      </c>
      <c r="P11">
        <v>0.30000001192092896</v>
      </c>
      <c r="Q11">
        <v>0.32038834691047668</v>
      </c>
      <c r="R11">
        <v>0.84879946708679199</v>
      </c>
      <c r="S11">
        <v>0.32130381464958191</v>
      </c>
      <c r="T11">
        <v>1141</v>
      </c>
      <c r="U11">
        <v>63</v>
      </c>
      <c r="V11">
        <v>77</v>
      </c>
      <c r="W11">
        <v>33</v>
      </c>
    </row>
    <row r="12" spans="1:23" x14ac:dyDescent="0.25">
      <c r="A12" t="s">
        <v>143</v>
      </c>
      <c r="B12">
        <v>3</v>
      </c>
      <c r="C12">
        <v>30</v>
      </c>
      <c r="D12">
        <v>0.88977634906768799</v>
      </c>
      <c r="E12">
        <v>0.38842976093292236</v>
      </c>
      <c r="F12">
        <v>0.4234234094619751</v>
      </c>
      <c r="G12">
        <v>0.40517240762710571</v>
      </c>
      <c r="H12">
        <v>0.85340815782546997</v>
      </c>
      <c r="I12">
        <v>0.40808600187301636</v>
      </c>
      <c r="J12">
        <v>1067</v>
      </c>
      <c r="K12">
        <v>74</v>
      </c>
      <c r="L12">
        <v>64</v>
      </c>
      <c r="M12">
        <v>47</v>
      </c>
      <c r="N12">
        <v>0.88127851486206055</v>
      </c>
      <c r="O12">
        <v>0.33571428060531616</v>
      </c>
      <c r="P12">
        <v>0.4272727370262146</v>
      </c>
      <c r="Q12">
        <v>0.37599998712539673</v>
      </c>
      <c r="R12">
        <v>0.83651471138000488</v>
      </c>
      <c r="S12">
        <v>0.32147696614265442</v>
      </c>
      <c r="T12">
        <v>1111</v>
      </c>
      <c r="U12">
        <v>93</v>
      </c>
      <c r="V12">
        <v>63</v>
      </c>
      <c r="W12">
        <v>47</v>
      </c>
    </row>
    <row r="13" spans="1:23" x14ac:dyDescent="0.25">
      <c r="A13" t="s">
        <v>143</v>
      </c>
      <c r="B13">
        <v>4</v>
      </c>
      <c r="C13">
        <v>21</v>
      </c>
      <c r="D13">
        <v>0.9179229736328125</v>
      </c>
      <c r="E13">
        <v>0.50925928354263306</v>
      </c>
      <c r="F13">
        <v>0.55000001192092896</v>
      </c>
      <c r="G13">
        <v>0.5288461446762085</v>
      </c>
      <c r="H13">
        <v>0.88712066411972046</v>
      </c>
      <c r="I13">
        <v>0.54123437404632568</v>
      </c>
      <c r="J13">
        <v>1041</v>
      </c>
      <c r="K13">
        <v>53</v>
      </c>
      <c r="L13">
        <v>45</v>
      </c>
      <c r="M13">
        <v>55</v>
      </c>
      <c r="N13">
        <v>0.8782343864440918</v>
      </c>
      <c r="O13">
        <v>0.3046875</v>
      </c>
      <c r="P13">
        <v>0.35454544425010681</v>
      </c>
      <c r="Q13">
        <v>0.32773110270500183</v>
      </c>
      <c r="R13">
        <v>0.84009361267089844</v>
      </c>
      <c r="S13">
        <v>0.31534093618392944</v>
      </c>
      <c r="T13">
        <v>1115</v>
      </c>
      <c r="U13">
        <v>89</v>
      </c>
      <c r="V13">
        <v>71</v>
      </c>
      <c r="W13">
        <v>39</v>
      </c>
    </row>
    <row r="14" spans="1:23" x14ac:dyDescent="0.25">
      <c r="A14" t="s">
        <v>144</v>
      </c>
      <c r="B14">
        <v>1</v>
      </c>
      <c r="C14">
        <v>6</v>
      </c>
      <c r="D14">
        <v>0.84910488128662109</v>
      </c>
      <c r="E14">
        <v>0.35384616255760193</v>
      </c>
      <c r="F14">
        <v>0.57499998807907104</v>
      </c>
      <c r="G14">
        <v>0.43809524178504944</v>
      </c>
      <c r="H14">
        <v>0.85629159212112427</v>
      </c>
      <c r="I14">
        <v>0.34919330477714539</v>
      </c>
      <c r="J14">
        <v>927</v>
      </c>
      <c r="K14">
        <v>126</v>
      </c>
      <c r="L14">
        <v>51</v>
      </c>
      <c r="M14">
        <v>69</v>
      </c>
      <c r="N14">
        <v>0.84779298305511475</v>
      </c>
      <c r="O14">
        <v>0.29545453190803528</v>
      </c>
      <c r="P14">
        <v>0.59090906381607056</v>
      </c>
      <c r="Q14">
        <v>0.39393940567970276</v>
      </c>
      <c r="R14">
        <v>0.86011022329330444</v>
      </c>
      <c r="S14">
        <v>0.41020861268043518</v>
      </c>
      <c r="T14">
        <v>1049</v>
      </c>
      <c r="U14">
        <v>155</v>
      </c>
      <c r="V14">
        <v>45</v>
      </c>
      <c r="W14">
        <v>65</v>
      </c>
    </row>
    <row r="15" spans="1:23" x14ac:dyDescent="0.25">
      <c r="A15" t="s">
        <v>144</v>
      </c>
      <c r="B15">
        <v>2</v>
      </c>
      <c r="C15">
        <v>22</v>
      </c>
      <c r="D15">
        <v>0.89999997615814209</v>
      </c>
      <c r="E15">
        <v>0.46853145956993103</v>
      </c>
      <c r="F15">
        <v>0.58771932125091553</v>
      </c>
      <c r="G15">
        <v>0.52140074968338013</v>
      </c>
      <c r="H15">
        <v>0.89829748868942261</v>
      </c>
      <c r="I15">
        <v>0.56973749399185181</v>
      </c>
      <c r="J15">
        <v>1040</v>
      </c>
      <c r="K15">
        <v>76</v>
      </c>
      <c r="L15">
        <v>47</v>
      </c>
      <c r="M15">
        <v>67</v>
      </c>
      <c r="N15">
        <v>0.88584476709365845</v>
      </c>
      <c r="O15">
        <v>0.36666667461395264</v>
      </c>
      <c r="P15">
        <v>0.5</v>
      </c>
      <c r="Q15">
        <v>0.42307692766189575</v>
      </c>
      <c r="R15">
        <v>0.85652369260787964</v>
      </c>
      <c r="S15">
        <v>0.41629785299301147</v>
      </c>
      <c r="T15">
        <v>1109</v>
      </c>
      <c r="U15">
        <v>95</v>
      </c>
      <c r="V15">
        <v>55</v>
      </c>
      <c r="W15">
        <v>55</v>
      </c>
    </row>
    <row r="16" spans="1:23" x14ac:dyDescent="0.25">
      <c r="A16" t="s">
        <v>144</v>
      </c>
      <c r="B16">
        <v>3</v>
      </c>
      <c r="C16">
        <v>9</v>
      </c>
      <c r="D16">
        <v>0.88498401641845703</v>
      </c>
      <c r="E16">
        <v>0.40000000596046448</v>
      </c>
      <c r="F16">
        <v>0.59459459781646729</v>
      </c>
      <c r="G16">
        <v>0.47826087474822998</v>
      </c>
      <c r="H16">
        <v>0.86212509870529175</v>
      </c>
      <c r="I16">
        <v>0.41715344786643982</v>
      </c>
      <c r="J16">
        <v>1042</v>
      </c>
      <c r="K16">
        <v>99</v>
      </c>
      <c r="L16">
        <v>45</v>
      </c>
      <c r="M16">
        <v>66</v>
      </c>
      <c r="N16">
        <v>0.8554033637046814</v>
      </c>
      <c r="O16">
        <v>0.30392158031463623</v>
      </c>
      <c r="P16">
        <v>0.56363636255264282</v>
      </c>
      <c r="Q16">
        <v>0.39490446448326111</v>
      </c>
      <c r="R16">
        <v>0.85362428426742554</v>
      </c>
      <c r="S16">
        <v>0.42625048756599426</v>
      </c>
      <c r="T16">
        <v>1062</v>
      </c>
      <c r="U16">
        <v>142</v>
      </c>
      <c r="V16">
        <v>48</v>
      </c>
      <c r="W16">
        <v>62</v>
      </c>
    </row>
    <row r="17" spans="1:23" x14ac:dyDescent="0.25">
      <c r="A17" t="s">
        <v>144</v>
      </c>
      <c r="B17">
        <v>4</v>
      </c>
      <c r="C17">
        <v>14</v>
      </c>
      <c r="D17">
        <v>0.9162479043006897</v>
      </c>
      <c r="E17">
        <v>0.5</v>
      </c>
      <c r="F17">
        <v>0.61000001430511475</v>
      </c>
      <c r="G17">
        <v>0.54954952001571655</v>
      </c>
      <c r="H17">
        <v>0.88748627901077271</v>
      </c>
      <c r="I17">
        <v>0.47303581237792969</v>
      </c>
      <c r="J17">
        <v>1033</v>
      </c>
      <c r="K17">
        <v>61</v>
      </c>
      <c r="L17">
        <v>39</v>
      </c>
      <c r="M17">
        <v>61</v>
      </c>
      <c r="N17">
        <v>0.89573818445205688</v>
      </c>
      <c r="O17">
        <v>0.40145984292030334</v>
      </c>
      <c r="P17">
        <v>0.5</v>
      </c>
      <c r="Q17">
        <v>0.44534412026405334</v>
      </c>
      <c r="R17">
        <v>0.87231200933456421</v>
      </c>
      <c r="S17">
        <v>0.45742598176002502</v>
      </c>
      <c r="T17">
        <v>1122</v>
      </c>
      <c r="U17">
        <v>82</v>
      </c>
      <c r="V17">
        <v>55</v>
      </c>
      <c r="W17">
        <v>55</v>
      </c>
    </row>
    <row r="18" spans="1:23" x14ac:dyDescent="0.25">
      <c r="A18" t="s">
        <v>145</v>
      </c>
      <c r="B18">
        <v>1</v>
      </c>
      <c r="C18">
        <v>6</v>
      </c>
      <c r="D18">
        <v>0.8388746976852417</v>
      </c>
      <c r="E18">
        <v>0.3349282443523407</v>
      </c>
      <c r="F18">
        <v>0.58333331346511841</v>
      </c>
      <c r="G18">
        <v>0.42553192377090454</v>
      </c>
      <c r="H18">
        <v>0.85293608903884888</v>
      </c>
      <c r="I18">
        <v>0.39459502696990967</v>
      </c>
      <c r="J18">
        <v>914</v>
      </c>
      <c r="K18">
        <v>139</v>
      </c>
      <c r="L18">
        <v>50</v>
      </c>
      <c r="M18">
        <v>70</v>
      </c>
      <c r="N18">
        <v>0.84170472621917725</v>
      </c>
      <c r="O18">
        <v>0.29752066731452942</v>
      </c>
      <c r="P18">
        <v>0.65454542636871338</v>
      </c>
      <c r="Q18">
        <v>0.40909090638160706</v>
      </c>
      <c r="R18">
        <v>0.84395194053649902</v>
      </c>
      <c r="S18">
        <v>0.36986622214317322</v>
      </c>
      <c r="T18">
        <v>1034</v>
      </c>
      <c r="U18">
        <v>170</v>
      </c>
      <c r="V18">
        <v>38</v>
      </c>
      <c r="W18">
        <v>72</v>
      </c>
    </row>
    <row r="19" spans="1:23" x14ac:dyDescent="0.25">
      <c r="A19" t="s">
        <v>145</v>
      </c>
      <c r="B19">
        <v>2</v>
      </c>
      <c r="C19">
        <v>14</v>
      </c>
      <c r="D19">
        <v>0.90487802028656006</v>
      </c>
      <c r="E19">
        <v>0.48717948794364929</v>
      </c>
      <c r="F19">
        <v>0.5</v>
      </c>
      <c r="G19">
        <v>0.49350649118423462</v>
      </c>
      <c r="H19">
        <v>0.89317268133163452</v>
      </c>
      <c r="I19">
        <v>0.53546810150146484</v>
      </c>
      <c r="J19">
        <v>1056</v>
      </c>
      <c r="K19">
        <v>60</v>
      </c>
      <c r="L19">
        <v>57</v>
      </c>
      <c r="M19">
        <v>57</v>
      </c>
      <c r="N19">
        <v>0.8888888955116272</v>
      </c>
      <c r="O19">
        <v>0.36567163467407227</v>
      </c>
      <c r="P19">
        <v>0.44545453786849976</v>
      </c>
      <c r="Q19">
        <v>0.40163934230804443</v>
      </c>
      <c r="R19">
        <v>0.86241310834884644</v>
      </c>
      <c r="S19">
        <v>0.42060226202011108</v>
      </c>
      <c r="T19">
        <v>1119</v>
      </c>
      <c r="U19">
        <v>85</v>
      </c>
      <c r="V19">
        <v>61</v>
      </c>
      <c r="W19">
        <v>49</v>
      </c>
    </row>
    <row r="20" spans="1:23" x14ac:dyDescent="0.25">
      <c r="A20" t="s">
        <v>145</v>
      </c>
      <c r="B20">
        <v>3</v>
      </c>
      <c r="C20">
        <v>20</v>
      </c>
      <c r="D20">
        <v>0.90495204925537109</v>
      </c>
      <c r="E20">
        <v>0.4583333432674408</v>
      </c>
      <c r="F20">
        <v>0.39639639854431152</v>
      </c>
      <c r="G20">
        <v>0.4251207709312439</v>
      </c>
      <c r="H20">
        <v>0.87024968862533569</v>
      </c>
      <c r="I20">
        <v>0.39742696285247803</v>
      </c>
      <c r="J20">
        <v>1089</v>
      </c>
      <c r="K20">
        <v>52</v>
      </c>
      <c r="L20">
        <v>67</v>
      </c>
      <c r="M20">
        <v>44</v>
      </c>
      <c r="N20">
        <v>0.8995434045791626</v>
      </c>
      <c r="O20">
        <v>0.4140625</v>
      </c>
      <c r="P20">
        <v>0.48181816935539246</v>
      </c>
      <c r="Q20">
        <v>0.44537815451622009</v>
      </c>
      <c r="R20">
        <v>0.876517653465271</v>
      </c>
      <c r="S20">
        <v>0.44919180870056152</v>
      </c>
      <c r="T20">
        <v>1129</v>
      </c>
      <c r="U20">
        <v>75</v>
      </c>
      <c r="V20">
        <v>57</v>
      </c>
      <c r="W20">
        <v>53</v>
      </c>
    </row>
    <row r="21" spans="1:23" x14ac:dyDescent="0.25">
      <c r="A21" t="s">
        <v>145</v>
      </c>
      <c r="B21">
        <v>4</v>
      </c>
      <c r="C21">
        <v>12</v>
      </c>
      <c r="D21">
        <v>0.8919597864151001</v>
      </c>
      <c r="E21">
        <v>0.40000000596046448</v>
      </c>
      <c r="F21">
        <v>0.57999998331069946</v>
      </c>
      <c r="G21">
        <v>0.47346937656402588</v>
      </c>
      <c r="H21">
        <v>0.87591403722763062</v>
      </c>
      <c r="I21">
        <v>0.39654123783111572</v>
      </c>
      <c r="J21">
        <v>1007</v>
      </c>
      <c r="K21">
        <v>87</v>
      </c>
      <c r="L21">
        <v>42</v>
      </c>
      <c r="M21">
        <v>58</v>
      </c>
      <c r="N21">
        <v>0.86225265264511108</v>
      </c>
      <c r="O21">
        <v>0.31413611769676208</v>
      </c>
      <c r="P21">
        <v>0.54545456171035767</v>
      </c>
      <c r="Q21">
        <v>0.39867109060287476</v>
      </c>
      <c r="R21">
        <v>0.83094233274459839</v>
      </c>
      <c r="S21">
        <v>0.35366618633270264</v>
      </c>
      <c r="T21">
        <v>1073</v>
      </c>
      <c r="U21">
        <v>131</v>
      </c>
      <c r="V21">
        <v>50</v>
      </c>
      <c r="W21">
        <v>60</v>
      </c>
    </row>
    <row r="22" spans="1:23" x14ac:dyDescent="0.25">
      <c r="A22" t="s">
        <v>146</v>
      </c>
      <c r="B22">
        <v>1</v>
      </c>
      <c r="C22">
        <v>3</v>
      </c>
      <c r="D22">
        <v>0.87553280591964722</v>
      </c>
      <c r="E22">
        <v>0.3839285671710968</v>
      </c>
      <c r="F22">
        <v>0.35833331942558289</v>
      </c>
      <c r="G22">
        <v>0.37068966031074524</v>
      </c>
      <c r="H22">
        <v>0.87257832288742065</v>
      </c>
      <c r="I22">
        <v>0.41111811995506287</v>
      </c>
      <c r="J22">
        <v>984</v>
      </c>
      <c r="K22">
        <v>69</v>
      </c>
      <c r="L22">
        <v>77</v>
      </c>
      <c r="M22">
        <v>43</v>
      </c>
      <c r="N22">
        <v>0.88432270288467407</v>
      </c>
      <c r="O22">
        <v>0.35810810327529913</v>
      </c>
      <c r="P22">
        <v>0.48181816935539246</v>
      </c>
      <c r="Q22">
        <v>0.41085270047187805</v>
      </c>
      <c r="R22">
        <v>0.86763060092926025</v>
      </c>
      <c r="S22">
        <v>0.41785532236099243</v>
      </c>
      <c r="T22">
        <v>1109</v>
      </c>
      <c r="U22">
        <v>95</v>
      </c>
      <c r="V22">
        <v>57</v>
      </c>
      <c r="W22">
        <v>53</v>
      </c>
    </row>
    <row r="23" spans="1:23" x14ac:dyDescent="0.25">
      <c r="A23" t="s">
        <v>146</v>
      </c>
      <c r="B23">
        <v>2</v>
      </c>
      <c r="C23">
        <v>8</v>
      </c>
      <c r="D23">
        <v>0.87398374080657959</v>
      </c>
      <c r="E23">
        <v>0.40284359455108643</v>
      </c>
      <c r="F23">
        <v>0.74561405181884766</v>
      </c>
      <c r="G23">
        <v>0.52307695150375366</v>
      </c>
      <c r="H23">
        <v>0.89854896068572998</v>
      </c>
      <c r="I23">
        <v>0.4933907687664032</v>
      </c>
      <c r="J23">
        <v>990</v>
      </c>
      <c r="K23">
        <v>126</v>
      </c>
      <c r="L23">
        <v>29</v>
      </c>
      <c r="M23">
        <v>85</v>
      </c>
      <c r="N23">
        <v>0.844748854637146</v>
      </c>
      <c r="O23">
        <v>0.30084747076034546</v>
      </c>
      <c r="P23">
        <v>0.6454545259475708</v>
      </c>
      <c r="Q23">
        <v>0.41040462255477905</v>
      </c>
      <c r="R23">
        <v>0.85516464710235596</v>
      </c>
      <c r="S23">
        <v>0.41472384333610535</v>
      </c>
      <c r="T23">
        <v>1039</v>
      </c>
      <c r="U23">
        <v>165</v>
      </c>
      <c r="V23">
        <v>39</v>
      </c>
      <c r="W23">
        <v>71</v>
      </c>
    </row>
    <row r="24" spans="1:23" x14ac:dyDescent="0.25">
      <c r="A24" t="s">
        <v>146</v>
      </c>
      <c r="B24">
        <v>3</v>
      </c>
      <c r="C24">
        <v>12</v>
      </c>
      <c r="D24">
        <v>0.88019168376922607</v>
      </c>
      <c r="E24">
        <v>0.38596490025520325</v>
      </c>
      <c r="F24">
        <v>0.59459459781646729</v>
      </c>
      <c r="G24">
        <v>0.46808511018753052</v>
      </c>
      <c r="H24">
        <v>0.86625444889068604</v>
      </c>
      <c r="I24">
        <v>0.42262500524520874</v>
      </c>
      <c r="J24">
        <v>1036</v>
      </c>
      <c r="K24">
        <v>105</v>
      </c>
      <c r="L24">
        <v>45</v>
      </c>
      <c r="M24">
        <v>66</v>
      </c>
      <c r="N24">
        <v>0.86757993698120117</v>
      </c>
      <c r="O24">
        <v>0.33505153656005859</v>
      </c>
      <c r="P24">
        <v>0.59090906381607056</v>
      </c>
      <c r="Q24">
        <v>0.42763158679008484</v>
      </c>
      <c r="R24">
        <v>0.85499846935272217</v>
      </c>
      <c r="S24">
        <v>0.40342152118682861</v>
      </c>
      <c r="T24">
        <v>1075</v>
      </c>
      <c r="U24">
        <v>129</v>
      </c>
      <c r="V24">
        <v>45</v>
      </c>
      <c r="W24">
        <v>65</v>
      </c>
    </row>
    <row r="25" spans="1:23" x14ac:dyDescent="0.25">
      <c r="A25" t="s">
        <v>146</v>
      </c>
      <c r="B25">
        <v>4</v>
      </c>
      <c r="C25">
        <v>6</v>
      </c>
      <c r="D25">
        <v>0.89028477668762207</v>
      </c>
      <c r="E25">
        <v>0.39735099673271179</v>
      </c>
      <c r="F25">
        <v>0.60000002384185791</v>
      </c>
      <c r="G25">
        <v>0.4780876636505127</v>
      </c>
      <c r="H25">
        <v>0.87142598628997803</v>
      </c>
      <c r="I25">
        <v>0.38470578193664551</v>
      </c>
      <c r="J25">
        <v>1003</v>
      </c>
      <c r="K25">
        <v>91</v>
      </c>
      <c r="L25">
        <v>40</v>
      </c>
      <c r="M25">
        <v>60</v>
      </c>
      <c r="N25">
        <v>0.86910200119018555</v>
      </c>
      <c r="O25">
        <v>0.32584270834922791</v>
      </c>
      <c r="P25">
        <v>0.52727270126342773</v>
      </c>
      <c r="Q25">
        <v>0.40277779102325439</v>
      </c>
      <c r="R25">
        <v>0.84113562107086182</v>
      </c>
      <c r="S25">
        <v>0.2953987717628479</v>
      </c>
      <c r="T25">
        <v>1084</v>
      </c>
      <c r="U25">
        <v>120</v>
      </c>
      <c r="V25">
        <v>52</v>
      </c>
      <c r="W25">
        <v>58</v>
      </c>
    </row>
    <row r="26" spans="1:23" x14ac:dyDescent="0.25">
      <c r="A26" t="s">
        <v>147</v>
      </c>
      <c r="B26">
        <v>1</v>
      </c>
      <c r="C26">
        <v>3</v>
      </c>
      <c r="D26">
        <v>0.84143221378326416</v>
      </c>
      <c r="E26">
        <v>0.29878050088882446</v>
      </c>
      <c r="F26">
        <v>0.40833333134651184</v>
      </c>
      <c r="G26">
        <v>0.34507042169570923</v>
      </c>
      <c r="H26">
        <v>0.8084757924079895</v>
      </c>
      <c r="I26">
        <v>0.29249930381774902</v>
      </c>
      <c r="J26">
        <v>938</v>
      </c>
      <c r="K26">
        <v>115</v>
      </c>
      <c r="L26">
        <v>71</v>
      </c>
      <c r="M26">
        <v>49</v>
      </c>
      <c r="N26">
        <v>0.8508371114730835</v>
      </c>
      <c r="O26">
        <v>0.27127659320831299</v>
      </c>
      <c r="P26">
        <v>0.4636363685131073</v>
      </c>
      <c r="Q26">
        <v>0.34228187799453735</v>
      </c>
      <c r="R26">
        <v>0.81119757890701294</v>
      </c>
      <c r="S26">
        <v>0.25189876556396484</v>
      </c>
      <c r="T26">
        <v>1067</v>
      </c>
      <c r="U26">
        <v>137</v>
      </c>
      <c r="V26">
        <v>59</v>
      </c>
      <c r="W26">
        <v>51</v>
      </c>
    </row>
    <row r="27" spans="1:23" x14ac:dyDescent="0.25">
      <c r="A27" t="s">
        <v>147</v>
      </c>
      <c r="B27">
        <v>2</v>
      </c>
      <c r="C27">
        <v>14</v>
      </c>
      <c r="D27">
        <v>0.89918696880340576</v>
      </c>
      <c r="E27">
        <v>0.40000000596046448</v>
      </c>
      <c r="F27">
        <v>0.17543859779834747</v>
      </c>
      <c r="G27">
        <v>0.24390244483947754</v>
      </c>
      <c r="H27">
        <v>0.79900020360946655</v>
      </c>
      <c r="I27">
        <v>0.29220038652420044</v>
      </c>
      <c r="J27">
        <v>1086</v>
      </c>
      <c r="K27">
        <v>30</v>
      </c>
      <c r="L27">
        <v>94</v>
      </c>
      <c r="M27">
        <v>20</v>
      </c>
      <c r="N27">
        <v>0.9056316614151001</v>
      </c>
      <c r="O27">
        <v>0.34090909361839294</v>
      </c>
      <c r="P27">
        <v>0.13636364042758942</v>
      </c>
      <c r="Q27">
        <v>0.19480518996715546</v>
      </c>
      <c r="R27">
        <v>0.77353519201278687</v>
      </c>
      <c r="S27">
        <v>0.25516399741172791</v>
      </c>
      <c r="T27">
        <v>1175</v>
      </c>
      <c r="U27">
        <v>29</v>
      </c>
      <c r="V27">
        <v>95</v>
      </c>
      <c r="W27">
        <v>15</v>
      </c>
    </row>
    <row r="28" spans="1:23" x14ac:dyDescent="0.25">
      <c r="A28" t="s">
        <v>147</v>
      </c>
      <c r="B28">
        <v>3</v>
      </c>
      <c r="C28">
        <v>13</v>
      </c>
      <c r="D28">
        <v>0.88897764682769775</v>
      </c>
      <c r="E28">
        <v>0.35106381773948669</v>
      </c>
      <c r="F28">
        <v>0.29729729890823364</v>
      </c>
      <c r="G28">
        <v>0.32195121049880981</v>
      </c>
      <c r="H28">
        <v>0.7722165584564209</v>
      </c>
      <c r="I28">
        <v>0.3199215829372406</v>
      </c>
      <c r="J28">
        <v>1080</v>
      </c>
      <c r="K28">
        <v>61</v>
      </c>
      <c r="L28">
        <v>78</v>
      </c>
      <c r="M28">
        <v>33</v>
      </c>
      <c r="N28">
        <v>0.86453574895858765</v>
      </c>
      <c r="O28">
        <v>0.234375</v>
      </c>
      <c r="P28">
        <v>0.27272728085517883</v>
      </c>
      <c r="Q28">
        <v>0.25210085511207581</v>
      </c>
      <c r="R28">
        <v>0.74747055768966675</v>
      </c>
      <c r="S28">
        <v>0.23095114529132843</v>
      </c>
      <c r="T28">
        <v>1106</v>
      </c>
      <c r="U28">
        <v>98</v>
      </c>
      <c r="V28">
        <v>80</v>
      </c>
      <c r="W28">
        <v>30</v>
      </c>
    </row>
    <row r="29" spans="1:23" x14ac:dyDescent="0.25">
      <c r="A29" t="s">
        <v>147</v>
      </c>
      <c r="B29">
        <v>4</v>
      </c>
      <c r="C29">
        <v>24</v>
      </c>
      <c r="D29">
        <v>0.90117251873016357</v>
      </c>
      <c r="E29">
        <v>0.37142857909202576</v>
      </c>
      <c r="F29">
        <v>0.25999999046325684</v>
      </c>
      <c r="G29">
        <v>0.30588236451148987</v>
      </c>
      <c r="H29">
        <v>0.84933280944824219</v>
      </c>
      <c r="I29">
        <v>0.35585764050483704</v>
      </c>
      <c r="J29">
        <v>1050</v>
      </c>
      <c r="K29">
        <v>44</v>
      </c>
      <c r="L29">
        <v>74</v>
      </c>
      <c r="M29">
        <v>26</v>
      </c>
      <c r="N29">
        <v>0.88964992761611938</v>
      </c>
      <c r="O29">
        <v>0.30337077379226685</v>
      </c>
      <c r="P29">
        <v>0.24545454978942871</v>
      </c>
      <c r="Q29">
        <v>0.27135679125785828</v>
      </c>
      <c r="R29">
        <v>0.81559956073760986</v>
      </c>
      <c r="S29">
        <v>0.27385705709457397</v>
      </c>
      <c r="T29">
        <v>1142</v>
      </c>
      <c r="U29">
        <v>62</v>
      </c>
      <c r="V29">
        <v>83</v>
      </c>
      <c r="W29">
        <v>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E553-562C-49C6-B026-8FF73FBADF83}">
  <sheetPr>
    <tabColor theme="4" tint="0.39997558519241921"/>
    <pageSetUpPr fitToPage="1"/>
  </sheetPr>
  <dimension ref="A1:AI75"/>
  <sheetViews>
    <sheetView workbookViewId="0">
      <selection activeCell="L53" sqref="L53"/>
    </sheetView>
  </sheetViews>
  <sheetFormatPr defaultRowHeight="15" x14ac:dyDescent="0.25"/>
  <cols>
    <col min="1" max="1" width="19.7109375" customWidth="1"/>
    <col min="2" max="2" width="19.140625" style="1" customWidth="1"/>
    <col min="3" max="3" width="7" customWidth="1"/>
    <col min="4" max="4" width="7.5703125" customWidth="1"/>
    <col min="5" max="5" width="12.140625" style="3" customWidth="1"/>
    <col min="11" max="11" width="17.5703125" customWidth="1"/>
    <col min="15" max="15" width="9.140625" style="3"/>
    <col min="21" max="21" width="17.7109375" customWidth="1"/>
    <col min="31" max="31" width="14" customWidth="1"/>
  </cols>
  <sheetData>
    <row r="1" spans="1:35" x14ac:dyDescent="0.25">
      <c r="A1" s="126" t="s">
        <v>15</v>
      </c>
      <c r="B1" s="126" t="s">
        <v>0</v>
      </c>
      <c r="C1" s="128"/>
      <c r="D1" s="126" t="s">
        <v>12</v>
      </c>
      <c r="E1" s="139" t="s">
        <v>28</v>
      </c>
      <c r="F1" s="138" t="s">
        <v>13</v>
      </c>
      <c r="G1" s="138"/>
      <c r="H1" s="138"/>
      <c r="I1" s="138"/>
      <c r="J1" s="138"/>
      <c r="K1" s="138"/>
      <c r="L1" s="138"/>
      <c r="M1" s="138"/>
      <c r="N1" s="138"/>
      <c r="O1" s="138"/>
      <c r="P1" s="135" t="s">
        <v>14</v>
      </c>
      <c r="Q1" s="135"/>
      <c r="R1" s="135"/>
      <c r="S1" s="135"/>
      <c r="T1" s="135"/>
      <c r="U1" s="135"/>
      <c r="V1" s="135"/>
      <c r="W1" s="135"/>
      <c r="X1" s="135"/>
      <c r="Y1" s="135"/>
      <c r="Z1" s="142" t="s">
        <v>130</v>
      </c>
      <c r="AA1" s="143"/>
      <c r="AB1" s="143"/>
      <c r="AC1" s="143"/>
      <c r="AD1" s="143"/>
      <c r="AE1" s="143"/>
      <c r="AF1" s="143"/>
      <c r="AG1" s="143"/>
      <c r="AH1" s="143"/>
      <c r="AI1" s="143"/>
    </row>
    <row r="2" spans="1:35" x14ac:dyDescent="0.25">
      <c r="A2" s="126"/>
      <c r="B2" s="126" t="s">
        <v>16</v>
      </c>
      <c r="C2" s="128" t="s">
        <v>17</v>
      </c>
      <c r="D2" s="126"/>
      <c r="E2" s="140"/>
      <c r="F2" s="120" t="s">
        <v>1</v>
      </c>
      <c r="G2" s="122" t="s">
        <v>2</v>
      </c>
      <c r="H2" s="122" t="s">
        <v>3</v>
      </c>
      <c r="I2" s="122" t="s">
        <v>4</v>
      </c>
      <c r="J2" s="122" t="s">
        <v>5</v>
      </c>
      <c r="K2" s="122" t="s">
        <v>6</v>
      </c>
      <c r="L2" s="137" t="s">
        <v>11</v>
      </c>
      <c r="M2" s="137"/>
      <c r="N2" s="137"/>
      <c r="O2" s="137"/>
      <c r="P2" s="109" t="s">
        <v>1</v>
      </c>
      <c r="Q2" s="109" t="s">
        <v>2</v>
      </c>
      <c r="R2" s="109" t="s">
        <v>3</v>
      </c>
      <c r="S2" s="109" t="s">
        <v>4</v>
      </c>
      <c r="T2" s="109" t="s">
        <v>5</v>
      </c>
      <c r="U2" s="109" t="s">
        <v>6</v>
      </c>
      <c r="V2" s="136" t="s">
        <v>11</v>
      </c>
      <c r="W2" s="136"/>
      <c r="X2" s="136"/>
      <c r="Y2" s="136"/>
      <c r="Z2" s="144" t="s">
        <v>1</v>
      </c>
      <c r="AA2" s="146" t="s">
        <v>2</v>
      </c>
      <c r="AB2" s="146" t="s">
        <v>3</v>
      </c>
      <c r="AC2" s="146" t="s">
        <v>4</v>
      </c>
      <c r="AD2" s="146" t="s">
        <v>5</v>
      </c>
      <c r="AE2" s="146" t="s">
        <v>6</v>
      </c>
      <c r="AF2" s="143" t="s">
        <v>11</v>
      </c>
      <c r="AG2" s="143"/>
      <c r="AH2" s="143"/>
      <c r="AI2" s="143"/>
    </row>
    <row r="3" spans="1:35" ht="15.75" thickBot="1" x14ac:dyDescent="0.3">
      <c r="A3" s="127"/>
      <c r="B3" s="127"/>
      <c r="C3" s="129"/>
      <c r="D3" s="127"/>
      <c r="E3" s="141"/>
      <c r="F3" s="121"/>
      <c r="G3" s="123"/>
      <c r="H3" s="123"/>
      <c r="I3" s="123"/>
      <c r="J3" s="123"/>
      <c r="K3" s="123"/>
      <c r="L3" s="4" t="s">
        <v>7</v>
      </c>
      <c r="M3" s="4" t="s">
        <v>8</v>
      </c>
      <c r="N3" s="4" t="s">
        <v>9</v>
      </c>
      <c r="O3" s="4" t="s">
        <v>10</v>
      </c>
      <c r="P3" s="110"/>
      <c r="Q3" s="110"/>
      <c r="R3" s="110"/>
      <c r="S3" s="110"/>
      <c r="T3" s="110"/>
      <c r="U3" s="110"/>
      <c r="V3" s="5" t="s">
        <v>7</v>
      </c>
      <c r="W3" s="5" t="s">
        <v>8</v>
      </c>
      <c r="X3" s="5" t="s">
        <v>9</v>
      </c>
      <c r="Y3" s="5" t="s">
        <v>10</v>
      </c>
      <c r="Z3" s="145"/>
      <c r="AA3" s="147"/>
      <c r="AB3" s="147"/>
      <c r="AC3" s="147"/>
      <c r="AD3" s="147"/>
      <c r="AE3" s="147"/>
      <c r="AF3" s="43" t="s">
        <v>7</v>
      </c>
      <c r="AG3" s="43" t="s">
        <v>8</v>
      </c>
      <c r="AH3" s="43" t="s">
        <v>9</v>
      </c>
      <c r="AI3" s="43" t="s">
        <v>10</v>
      </c>
    </row>
    <row r="4" spans="1:35" x14ac:dyDescent="0.25">
      <c r="A4" s="111" t="s">
        <v>19</v>
      </c>
      <c r="B4" s="111" t="s">
        <v>18</v>
      </c>
      <c r="C4" s="111">
        <v>18</v>
      </c>
      <c r="D4" s="6">
        <v>1</v>
      </c>
      <c r="E4" s="11">
        <f>k_fold_output!C2</f>
        <v>34</v>
      </c>
      <c r="F4" s="6">
        <f>k_fold_output!D2</f>
        <v>0.84313726425170898</v>
      </c>
      <c r="G4" s="6">
        <f>k_fold_output!E2</f>
        <v>0.324175834655761</v>
      </c>
      <c r="H4" s="6">
        <f>k_fold_output!F2</f>
        <v>0.49166667461395203</v>
      </c>
      <c r="I4" s="6">
        <f>k_fold_output!G2</f>
        <v>0.39072847366333002</v>
      </c>
      <c r="J4" s="6">
        <f>k_fold_output!H2</f>
        <v>0.82061576843261697</v>
      </c>
      <c r="K4" s="6">
        <f>k_fold_output!I2</f>
        <v>0.29654428362846302</v>
      </c>
      <c r="L4" s="6">
        <f>k_fold_output!J2</f>
        <v>930</v>
      </c>
      <c r="M4" s="6">
        <f>k_fold_output!K2</f>
        <v>123</v>
      </c>
      <c r="N4" s="6">
        <f>k_fold_output!L2</f>
        <v>61</v>
      </c>
      <c r="O4" s="11">
        <f>k_fold_output!M2</f>
        <v>59</v>
      </c>
      <c r="P4" s="66">
        <f>k_fold_output!N2</f>
        <v>0.86605781316757202</v>
      </c>
      <c r="Q4" s="6">
        <f>k_fold_output!O2</f>
        <v>0.322580635547637</v>
      </c>
      <c r="R4" s="6">
        <f>k_fold_output!P2</f>
        <v>0.545454561710357</v>
      </c>
      <c r="S4" s="6">
        <f>k_fold_output!Q2</f>
        <v>0.40540540218353199</v>
      </c>
      <c r="T4" s="6">
        <f>k_fold_output!R2</f>
        <v>0.84757626056671098</v>
      </c>
      <c r="U4" s="6">
        <f>k_fold_output!S2</f>
        <v>0.37488147616386402</v>
      </c>
      <c r="V4" s="6">
        <f>k_fold_output!T2</f>
        <v>1078</v>
      </c>
      <c r="W4" s="6">
        <f>k_fold_output!U2</f>
        <v>126</v>
      </c>
      <c r="X4" s="6">
        <f>k_fold_output!V2</f>
        <v>50</v>
      </c>
      <c r="Y4" s="11">
        <f>k_fold_output!W2</f>
        <v>60</v>
      </c>
      <c r="Z4">
        <f>luna16_k_fold_output!C2</f>
        <v>0.69565218687057495</v>
      </c>
      <c r="AA4">
        <f>luna16_k_fold_output!D2</f>
        <v>0.94736844301223755</v>
      </c>
      <c r="AB4">
        <f>luna16_k_fold_output!E2</f>
        <v>0.39130434393882751</v>
      </c>
      <c r="AC4">
        <f>luna16_k_fold_output!F2</f>
        <v>0.55384618043899536</v>
      </c>
      <c r="AD4">
        <f>luna16_k_fold_output!G2</f>
        <v>0.81092804670333862</v>
      </c>
      <c r="AE4">
        <f>luna16_k_fold_output!H2</f>
        <v>0.83184784650802612</v>
      </c>
      <c r="AF4">
        <f>luna16_k_fold_output!I2</f>
        <v>338</v>
      </c>
      <c r="AG4">
        <f>luna16_k_fold_output!J2</f>
        <v>7</v>
      </c>
      <c r="AH4">
        <f>luna16_k_fold_output!K2</f>
        <v>196</v>
      </c>
      <c r="AI4" s="3">
        <f>luna16_k_fold_output!L2</f>
        <v>126</v>
      </c>
    </row>
    <row r="5" spans="1:35" x14ac:dyDescent="0.25">
      <c r="A5" s="105"/>
      <c r="B5" s="105"/>
      <c r="C5" s="105"/>
      <c r="D5">
        <v>2</v>
      </c>
      <c r="E5" s="3">
        <f>k_fold_output!C3</f>
        <v>24</v>
      </c>
      <c r="F5">
        <f>k_fold_output!D3</f>
        <v>0.87479674816131503</v>
      </c>
      <c r="G5">
        <f>k_fold_output!E3</f>
        <v>0.386363625526428</v>
      </c>
      <c r="H5">
        <f>k_fold_output!F3</f>
        <v>0.59649121761321999</v>
      </c>
      <c r="I5">
        <f>k_fold_output!G3</f>
        <v>0.46896553039550698</v>
      </c>
      <c r="J5">
        <f>k_fold_output!H3</f>
        <v>0.88657021522521895</v>
      </c>
      <c r="K5">
        <f>k_fold_output!I3</f>
        <v>0.47210073471069303</v>
      </c>
      <c r="L5">
        <f>k_fold_output!J3</f>
        <v>1008</v>
      </c>
      <c r="M5">
        <f>k_fold_output!K3</f>
        <v>108</v>
      </c>
      <c r="N5">
        <f>k_fold_output!L3</f>
        <v>46</v>
      </c>
      <c r="O5" s="3">
        <f>k_fold_output!M3</f>
        <v>68</v>
      </c>
      <c r="P5" s="44">
        <f>k_fold_output!N3</f>
        <v>0.83789956569671598</v>
      </c>
      <c r="Q5">
        <f>k_fold_output!O3</f>
        <v>0.25821596384048401</v>
      </c>
      <c r="R5">
        <f>k_fold_output!P3</f>
        <v>0.5</v>
      </c>
      <c r="S5">
        <f>k_fold_output!Q3</f>
        <v>0.34055727720260598</v>
      </c>
      <c r="T5">
        <f>k_fold_output!R3</f>
        <v>0.78593331575393599</v>
      </c>
      <c r="U5">
        <f>k_fold_output!S3</f>
        <v>0.299771457910537</v>
      </c>
      <c r="V5">
        <f>k_fold_output!T3</f>
        <v>1046</v>
      </c>
      <c r="W5">
        <f>k_fold_output!U3</f>
        <v>158</v>
      </c>
      <c r="X5">
        <f>k_fold_output!V3</f>
        <v>55</v>
      </c>
      <c r="Y5" s="3">
        <f>k_fold_output!W3</f>
        <v>55</v>
      </c>
      <c r="Z5">
        <f>luna16_k_fold_output!C3</f>
        <v>0.66866564750671387</v>
      </c>
      <c r="AA5">
        <f>luna16_k_fold_output!D3</f>
        <v>0.85314685106277466</v>
      </c>
      <c r="AB5">
        <f>luna16_k_fold_output!E3</f>
        <v>0.37888199090957642</v>
      </c>
      <c r="AC5">
        <f>luna16_k_fold_output!F3</f>
        <v>0.52473115921020508</v>
      </c>
      <c r="AD5">
        <f>luna16_k_fold_output!G3</f>
        <v>0.75666570663452148</v>
      </c>
      <c r="AE5">
        <f>luna16_k_fold_output!H3</f>
        <v>0.77139532566070557</v>
      </c>
      <c r="AF5">
        <f>luna16_k_fold_output!I3</f>
        <v>324</v>
      </c>
      <c r="AG5">
        <f>luna16_k_fold_output!J3</f>
        <v>21</v>
      </c>
      <c r="AH5">
        <f>luna16_k_fold_output!K3</f>
        <v>200</v>
      </c>
      <c r="AI5" s="3">
        <f>luna16_k_fold_output!L3</f>
        <v>122</v>
      </c>
    </row>
    <row r="6" spans="1:35" x14ac:dyDescent="0.25">
      <c r="A6" s="105"/>
      <c r="B6" s="105"/>
      <c r="C6" s="105"/>
      <c r="D6">
        <v>3</v>
      </c>
      <c r="E6" s="3">
        <f>k_fold_output!C4</f>
        <v>36</v>
      </c>
      <c r="F6">
        <f>k_fold_output!D4</f>
        <v>0.882587850093841</v>
      </c>
      <c r="G6">
        <f>k_fold_output!E4</f>
        <v>0.34482759237289401</v>
      </c>
      <c r="H6">
        <f>k_fold_output!F4</f>
        <v>0.36036035418510398</v>
      </c>
      <c r="I6">
        <f>k_fold_output!G4</f>
        <v>0.35242289304733199</v>
      </c>
      <c r="J6">
        <f>k_fold_output!H4</f>
        <v>0.83903002738952603</v>
      </c>
      <c r="K6">
        <f>k_fold_output!I4</f>
        <v>0.363223016262054</v>
      </c>
      <c r="L6">
        <f>k_fold_output!J4</f>
        <v>1065</v>
      </c>
      <c r="M6">
        <f>k_fold_output!K4</f>
        <v>76</v>
      </c>
      <c r="N6">
        <f>k_fold_output!L4</f>
        <v>71</v>
      </c>
      <c r="O6" s="3">
        <f>k_fold_output!M4</f>
        <v>40</v>
      </c>
      <c r="P6" s="44">
        <f>k_fold_output!N4</f>
        <v>0.87899541854858398</v>
      </c>
      <c r="Q6">
        <f>k_fold_output!O4</f>
        <v>0.33986929059028598</v>
      </c>
      <c r="R6">
        <f>k_fold_output!P4</f>
        <v>0.47272726893424899</v>
      </c>
      <c r="S6">
        <f>k_fold_output!Q4</f>
        <v>0.39543727040290799</v>
      </c>
      <c r="T6">
        <f>k_fold_output!R4</f>
        <v>0.814791560173034</v>
      </c>
      <c r="U6">
        <f>k_fold_output!S4</f>
        <v>0.29309141635894698</v>
      </c>
      <c r="V6">
        <f>k_fold_output!T4</f>
        <v>1103</v>
      </c>
      <c r="W6">
        <f>k_fold_output!U4</f>
        <v>101</v>
      </c>
      <c r="X6">
        <f>k_fold_output!V4</f>
        <v>58</v>
      </c>
      <c r="Y6" s="3">
        <f>k_fold_output!W4</f>
        <v>52</v>
      </c>
      <c r="Z6">
        <f>luna16_k_fold_output!C4</f>
        <v>0.61169415712356567</v>
      </c>
      <c r="AA6">
        <f>luna16_k_fold_output!D4</f>
        <v>0.86206895112991333</v>
      </c>
      <c r="AB6">
        <f>luna16_k_fold_output!E4</f>
        <v>0.23291926085948944</v>
      </c>
      <c r="AC6">
        <f>luna16_k_fold_output!F4</f>
        <v>0.3667481541633606</v>
      </c>
      <c r="AD6">
        <f>luna16_k_fold_output!G4</f>
        <v>0.75101274251937866</v>
      </c>
      <c r="AE6">
        <f>luna16_k_fold_output!H4</f>
        <v>0.74560064077377319</v>
      </c>
      <c r="AF6">
        <f>luna16_k_fold_output!I4</f>
        <v>333</v>
      </c>
      <c r="AG6">
        <f>luna16_k_fold_output!J4</f>
        <v>12</v>
      </c>
      <c r="AH6">
        <f>luna16_k_fold_output!K4</f>
        <v>247</v>
      </c>
      <c r="AI6" s="3">
        <f>luna16_k_fold_output!L4</f>
        <v>75</v>
      </c>
    </row>
    <row r="7" spans="1:35" x14ac:dyDescent="0.25">
      <c r="A7" s="105"/>
      <c r="B7" s="105"/>
      <c r="C7" s="105"/>
      <c r="D7">
        <v>4</v>
      </c>
      <c r="E7" s="3">
        <f>k_fold_output!C5</f>
        <v>34</v>
      </c>
      <c r="F7">
        <f>k_fold_output!D5</f>
        <v>0.87688440084457397</v>
      </c>
      <c r="G7">
        <f>k_fold_output!E5</f>
        <v>0.370165735483169</v>
      </c>
      <c r="H7">
        <f>k_fold_output!F5</f>
        <v>0.67000001668929998</v>
      </c>
      <c r="I7">
        <f>k_fold_output!G5</f>
        <v>0.47686833143234197</v>
      </c>
      <c r="J7">
        <f>k_fold_output!H5</f>
        <v>0.87851005792617798</v>
      </c>
      <c r="K7">
        <f>k_fold_output!I5</f>
        <v>0.55413776636123602</v>
      </c>
      <c r="L7">
        <f>k_fold_output!J5</f>
        <v>980</v>
      </c>
      <c r="M7">
        <f>k_fold_output!K5</f>
        <v>114</v>
      </c>
      <c r="N7">
        <f>k_fold_output!L5</f>
        <v>33</v>
      </c>
      <c r="O7" s="3">
        <f>k_fold_output!M5</f>
        <v>67</v>
      </c>
      <c r="P7" s="44">
        <f>k_fold_output!N5</f>
        <v>0.844748854637146</v>
      </c>
      <c r="Q7">
        <f>k_fold_output!O5</f>
        <v>0.29565218091010997</v>
      </c>
      <c r="R7">
        <f>k_fold_output!P5</f>
        <v>0.61818182468414296</v>
      </c>
      <c r="S7">
        <f>k_fold_output!Q5</f>
        <v>0.40000000596046398</v>
      </c>
      <c r="T7">
        <f>k_fold_output!R5</f>
        <v>0.85419058799743597</v>
      </c>
      <c r="U7">
        <f>k_fold_output!S5</f>
        <v>0.35654956102371199</v>
      </c>
      <c r="V7">
        <f>k_fold_output!T5</f>
        <v>1042</v>
      </c>
      <c r="W7">
        <f>k_fold_output!U5</f>
        <v>162</v>
      </c>
      <c r="X7">
        <f>k_fold_output!V5</f>
        <v>42</v>
      </c>
      <c r="Y7" s="3">
        <f>k_fold_output!W5</f>
        <v>68</v>
      </c>
      <c r="Z7">
        <f>luna16_k_fold_output!C5</f>
        <v>0.70014995336532593</v>
      </c>
      <c r="AA7">
        <f>luna16_k_fold_output!D5</f>
        <v>0.88125002384185791</v>
      </c>
      <c r="AB7">
        <f>luna16_k_fold_output!E5</f>
        <v>0.43788820505142212</v>
      </c>
      <c r="AC7">
        <f>luna16_k_fold_output!F5</f>
        <v>0.58506226539611816</v>
      </c>
      <c r="AD7">
        <f>luna16_k_fold_output!G5</f>
        <v>0.78428298234939575</v>
      </c>
      <c r="AE7">
        <f>luna16_k_fold_output!H5</f>
        <v>0.80389529466629028</v>
      </c>
      <c r="AF7">
        <f>luna16_k_fold_output!I5</f>
        <v>326</v>
      </c>
      <c r="AG7">
        <f>luna16_k_fold_output!J5</f>
        <v>19</v>
      </c>
      <c r="AH7">
        <f>luna16_k_fold_output!K5</f>
        <v>181</v>
      </c>
      <c r="AI7" s="3">
        <f>luna16_k_fold_output!L5</f>
        <v>141</v>
      </c>
    </row>
    <row r="8" spans="1:35" x14ac:dyDescent="0.25">
      <c r="A8" s="105"/>
      <c r="B8" s="105"/>
      <c r="C8" s="105">
        <v>34</v>
      </c>
      <c r="D8">
        <v>1</v>
      </c>
      <c r="E8" s="3">
        <f>k_fold_output!C6</f>
        <v>47</v>
      </c>
      <c r="F8">
        <f>k_fold_output!D6</f>
        <v>0.86104005575179998</v>
      </c>
      <c r="G8">
        <f>k_fold_output!E6</f>
        <v>0.37572255730628901</v>
      </c>
      <c r="H8">
        <f>k_fold_output!F6</f>
        <v>0.54166668653488104</v>
      </c>
      <c r="I8">
        <f>k_fold_output!G6</f>
        <v>0.44368600845336897</v>
      </c>
      <c r="J8">
        <f>k_fold_output!H6</f>
        <v>0.83456790447235096</v>
      </c>
      <c r="K8">
        <f>k_fold_output!I6</f>
        <v>0.41071850061416598</v>
      </c>
      <c r="L8">
        <f>k_fold_output!J6</f>
        <v>945</v>
      </c>
      <c r="M8">
        <f>k_fold_output!K6</f>
        <v>108</v>
      </c>
      <c r="N8">
        <f>k_fold_output!L6</f>
        <v>55</v>
      </c>
      <c r="O8" s="3">
        <f>k_fold_output!M6</f>
        <v>65</v>
      </c>
      <c r="P8" s="44">
        <f>k_fold_output!N6</f>
        <v>0.86529678106307895</v>
      </c>
      <c r="Q8">
        <f>k_fold_output!O6</f>
        <v>0.31693989038467402</v>
      </c>
      <c r="R8">
        <f>k_fold_output!P6</f>
        <v>0.52727270126342696</v>
      </c>
      <c r="S8">
        <f>k_fold_output!Q6</f>
        <v>0.395904451608657</v>
      </c>
      <c r="T8">
        <f>k_fold_output!R6</f>
        <v>0.842698574066162</v>
      </c>
      <c r="U8">
        <f>k_fold_output!S6</f>
        <v>0.35345256328582703</v>
      </c>
      <c r="V8">
        <f>k_fold_output!T6</f>
        <v>1079</v>
      </c>
      <c r="W8">
        <f>k_fold_output!U6</f>
        <v>125</v>
      </c>
      <c r="X8">
        <f>k_fold_output!V6</f>
        <v>52</v>
      </c>
      <c r="Y8" s="3">
        <f>k_fold_output!W6</f>
        <v>58</v>
      </c>
      <c r="Z8">
        <f>luna16_k_fold_output!C6</f>
        <v>0.69115442037582397</v>
      </c>
      <c r="AA8">
        <f>luna16_k_fold_output!D6</f>
        <v>0.89189189672470093</v>
      </c>
      <c r="AB8">
        <f>luna16_k_fold_output!E6</f>
        <v>0.40993788838386536</v>
      </c>
      <c r="AC8">
        <f>luna16_k_fold_output!F6</f>
        <v>0.56170213222503662</v>
      </c>
      <c r="AD8">
        <f>luna16_k_fold_output!G6</f>
        <v>0.79862278699874878</v>
      </c>
      <c r="AE8">
        <f>luna16_k_fold_output!H6</f>
        <v>0.80966544151306152</v>
      </c>
      <c r="AF8">
        <f>luna16_k_fold_output!I6</f>
        <v>329</v>
      </c>
      <c r="AG8">
        <f>luna16_k_fold_output!J6</f>
        <v>16</v>
      </c>
      <c r="AH8">
        <f>luna16_k_fold_output!K6</f>
        <v>190</v>
      </c>
      <c r="AI8" s="3">
        <f>luna16_k_fold_output!L6</f>
        <v>132</v>
      </c>
    </row>
    <row r="9" spans="1:35" x14ac:dyDescent="0.25">
      <c r="A9" s="105"/>
      <c r="B9" s="105"/>
      <c r="C9" s="105"/>
      <c r="D9">
        <v>2</v>
      </c>
      <c r="E9" s="3">
        <f>k_fold_output!C7</f>
        <v>46</v>
      </c>
      <c r="F9">
        <f>k_fold_output!D7</f>
        <v>0.91707319021224898</v>
      </c>
      <c r="G9">
        <f>k_fold_output!E7</f>
        <v>0.57317072153091397</v>
      </c>
      <c r="H9">
        <f>k_fold_output!F7</f>
        <v>0.41228070855140603</v>
      </c>
      <c r="I9">
        <f>k_fold_output!G7</f>
        <v>0.47959184646606401</v>
      </c>
      <c r="J9">
        <f>k_fold_output!H7</f>
        <v>0.88806360960006703</v>
      </c>
      <c r="K9">
        <f>k_fold_output!I7</f>
        <v>0.51720136404037398</v>
      </c>
      <c r="L9">
        <f>k_fold_output!J7</f>
        <v>1081</v>
      </c>
      <c r="M9">
        <f>k_fold_output!K7</f>
        <v>35</v>
      </c>
      <c r="N9">
        <f>k_fold_output!L7</f>
        <v>67</v>
      </c>
      <c r="O9" s="3">
        <f>k_fold_output!M7</f>
        <v>47</v>
      </c>
      <c r="P9" s="44">
        <f>k_fold_output!N7</f>
        <v>0.89726024866104104</v>
      </c>
      <c r="Q9">
        <f>k_fold_output!O7</f>
        <v>0.32394367456436102</v>
      </c>
      <c r="R9">
        <f>k_fold_output!P7</f>
        <v>0.20909090340137401</v>
      </c>
      <c r="S9">
        <f>k_fold_output!Q7</f>
        <v>0.25414365530013999</v>
      </c>
      <c r="T9">
        <f>k_fold_output!R7</f>
        <v>0.78586530685424805</v>
      </c>
      <c r="U9">
        <f>k_fold_output!S7</f>
        <v>0.270405113697052</v>
      </c>
      <c r="V9">
        <f>k_fold_output!T7</f>
        <v>1156</v>
      </c>
      <c r="W9">
        <f>k_fold_output!U7</f>
        <v>48</v>
      </c>
      <c r="X9">
        <f>k_fold_output!V7</f>
        <v>87</v>
      </c>
      <c r="Y9" s="3">
        <f>k_fold_output!W7</f>
        <v>23</v>
      </c>
      <c r="Z9">
        <f>luna16_k_fold_output!C7</f>
        <v>0.57571214437484741</v>
      </c>
      <c r="AA9">
        <f>luna16_k_fold_output!D7</f>
        <v>0.88235294818878174</v>
      </c>
      <c r="AB9">
        <f>luna16_k_fold_output!E7</f>
        <v>0.13975155353546143</v>
      </c>
      <c r="AC9">
        <f>luna16_k_fold_output!F7</f>
        <v>0.24128685891628265</v>
      </c>
      <c r="AD9">
        <f>luna16_k_fold_output!G7</f>
        <v>0.74853724241256714</v>
      </c>
      <c r="AE9">
        <f>luna16_k_fold_output!H7</f>
        <v>0.74480986595153809</v>
      </c>
      <c r="AF9">
        <f>luna16_k_fold_output!I7</f>
        <v>339</v>
      </c>
      <c r="AG9">
        <f>luna16_k_fold_output!J7</f>
        <v>6</v>
      </c>
      <c r="AH9">
        <f>luna16_k_fold_output!K7</f>
        <v>277</v>
      </c>
      <c r="AI9" s="3">
        <f>luna16_k_fold_output!L7</f>
        <v>45</v>
      </c>
    </row>
    <row r="10" spans="1:35" x14ac:dyDescent="0.25">
      <c r="A10" s="105"/>
      <c r="B10" s="105"/>
      <c r="C10" s="105"/>
      <c r="D10">
        <v>3</v>
      </c>
      <c r="E10" s="3">
        <f>k_fold_output!C8</f>
        <v>22</v>
      </c>
      <c r="F10">
        <f>k_fold_output!D8</f>
        <v>0.88658148050308205</v>
      </c>
      <c r="G10">
        <f>k_fold_output!E8</f>
        <v>0.37190082669258101</v>
      </c>
      <c r="H10">
        <f>k_fold_output!F8</f>
        <v>0.40540540218353199</v>
      </c>
      <c r="I10">
        <f>k_fold_output!G8</f>
        <v>0.387931048870086</v>
      </c>
      <c r="J10">
        <f>k_fold_output!H8</f>
        <v>0.84649145603179898</v>
      </c>
      <c r="K10">
        <f>k_fold_output!I8</f>
        <v>0.33777293562889099</v>
      </c>
      <c r="L10">
        <f>k_fold_output!J8</f>
        <v>1065</v>
      </c>
      <c r="M10">
        <f>k_fold_output!K8</f>
        <v>76</v>
      </c>
      <c r="N10">
        <f>k_fold_output!L8</f>
        <v>66</v>
      </c>
      <c r="O10" s="3">
        <f>k_fold_output!M8</f>
        <v>45</v>
      </c>
      <c r="P10" s="44">
        <f>k_fold_output!N8</f>
        <v>0.87975645065307595</v>
      </c>
      <c r="Q10">
        <f>k_fold_output!O8</f>
        <v>0.30645161867141701</v>
      </c>
      <c r="R10">
        <f>k_fold_output!P8</f>
        <v>0.34545454382896401</v>
      </c>
      <c r="S10">
        <f>k_fold_output!Q8</f>
        <v>0.32478633522987299</v>
      </c>
      <c r="T10">
        <f>k_fold_output!R8</f>
        <v>0.81576555967330899</v>
      </c>
      <c r="U10">
        <f>k_fold_output!S8</f>
        <v>0.30284184217452997</v>
      </c>
      <c r="V10">
        <f>k_fold_output!T8</f>
        <v>1118</v>
      </c>
      <c r="W10">
        <f>k_fold_output!U8</f>
        <v>86</v>
      </c>
      <c r="X10">
        <f>k_fold_output!V8</f>
        <v>72</v>
      </c>
      <c r="Y10" s="3">
        <f>k_fold_output!W8</f>
        <v>38</v>
      </c>
      <c r="Z10">
        <f>luna16_k_fold_output!C8</f>
        <v>0.66416794061660767</v>
      </c>
      <c r="AA10">
        <f>luna16_k_fold_output!D8</f>
        <v>0.90163934230804443</v>
      </c>
      <c r="AB10">
        <f>luna16_k_fold_output!E8</f>
        <v>0.34161490201950073</v>
      </c>
      <c r="AC10">
        <f>luna16_k_fold_output!F8</f>
        <v>0.4954954981803894</v>
      </c>
      <c r="AD10">
        <f>luna16_k_fold_output!G8</f>
        <v>0.81018096208572388</v>
      </c>
      <c r="AE10">
        <f>luna16_k_fold_output!H8</f>
        <v>0.80914407968521118</v>
      </c>
      <c r="AF10">
        <f>luna16_k_fold_output!I8</f>
        <v>333</v>
      </c>
      <c r="AG10">
        <f>luna16_k_fold_output!J8</f>
        <v>12</v>
      </c>
      <c r="AH10">
        <f>luna16_k_fold_output!K8</f>
        <v>212</v>
      </c>
      <c r="AI10" s="3">
        <f>luna16_k_fold_output!L8</f>
        <v>110</v>
      </c>
    </row>
    <row r="11" spans="1:35" x14ac:dyDescent="0.25">
      <c r="A11" s="105"/>
      <c r="B11" s="105"/>
      <c r="C11" s="105"/>
      <c r="D11">
        <v>4</v>
      </c>
      <c r="E11" s="3">
        <f>k_fold_output!C9</f>
        <v>43</v>
      </c>
      <c r="F11">
        <f>k_fold_output!D9</f>
        <v>0.92294806241989102</v>
      </c>
      <c r="G11">
        <f>k_fold_output!E9</f>
        <v>0.557142853736877</v>
      </c>
      <c r="H11">
        <f>k_fold_output!F9</f>
        <v>0.38999998569488498</v>
      </c>
      <c r="I11">
        <f>k_fold_output!G9</f>
        <v>0.458823531866073</v>
      </c>
      <c r="J11">
        <f>k_fold_output!H9</f>
        <v>0.86962527036666804</v>
      </c>
      <c r="K11">
        <f>k_fold_output!I9</f>
        <v>0.48580339550971902</v>
      </c>
      <c r="L11">
        <f>k_fold_output!J9</f>
        <v>1063</v>
      </c>
      <c r="M11">
        <f>k_fold_output!K9</f>
        <v>31</v>
      </c>
      <c r="N11">
        <f>k_fold_output!L9</f>
        <v>61</v>
      </c>
      <c r="O11" s="3">
        <f>k_fold_output!M9</f>
        <v>39</v>
      </c>
      <c r="P11" s="44">
        <f>k_fold_output!N9</f>
        <v>0.89117199182510298</v>
      </c>
      <c r="Q11">
        <f>k_fold_output!O9</f>
        <v>0.24615384638309401</v>
      </c>
      <c r="R11">
        <f>k_fold_output!P9</f>
        <v>0.14545454084873199</v>
      </c>
      <c r="S11">
        <f>k_fold_output!Q9</f>
        <v>0.182857140898704</v>
      </c>
      <c r="T11">
        <f>k_fold_output!R9</f>
        <v>0.83652973175048795</v>
      </c>
      <c r="U11">
        <f>k_fold_output!S9</f>
        <v>0.27166512608528098</v>
      </c>
      <c r="V11">
        <f>k_fold_output!T9</f>
        <v>1155</v>
      </c>
      <c r="W11">
        <f>k_fold_output!U9</f>
        <v>49</v>
      </c>
      <c r="X11">
        <f>k_fold_output!V9</f>
        <v>94</v>
      </c>
      <c r="Y11" s="3">
        <f>k_fold_output!W9</f>
        <v>16</v>
      </c>
      <c r="Z11">
        <f>luna16_k_fold_output!C9</f>
        <v>0.58770614862442017</v>
      </c>
      <c r="AA11">
        <f>luna16_k_fold_output!D9</f>
        <v>0.89830505847930908</v>
      </c>
      <c r="AB11">
        <f>luna16_k_fold_output!E9</f>
        <v>0.16459627449512482</v>
      </c>
      <c r="AC11">
        <f>luna16_k_fold_output!F9</f>
        <v>0.27821522951126099</v>
      </c>
      <c r="AD11">
        <f>luna16_k_fold_output!G9</f>
        <v>0.75701683759689331</v>
      </c>
      <c r="AE11">
        <f>luna16_k_fold_output!H9</f>
        <v>0.76895564794540405</v>
      </c>
      <c r="AF11">
        <f>luna16_k_fold_output!I9</f>
        <v>339</v>
      </c>
      <c r="AG11">
        <f>luna16_k_fold_output!J9</f>
        <v>6</v>
      </c>
      <c r="AH11">
        <f>luna16_k_fold_output!K9</f>
        <v>269</v>
      </c>
      <c r="AI11" s="3">
        <f>luna16_k_fold_output!L9</f>
        <v>53</v>
      </c>
    </row>
    <row r="12" spans="1:35" x14ac:dyDescent="0.25">
      <c r="A12" s="105"/>
      <c r="B12" s="105"/>
      <c r="C12" s="105">
        <v>50</v>
      </c>
      <c r="D12">
        <v>1</v>
      </c>
      <c r="E12" s="3">
        <f>k_fold_output!C10</f>
        <v>28</v>
      </c>
      <c r="F12">
        <f>k_fold_output!D10</f>
        <v>0.89002555608749301</v>
      </c>
      <c r="G12">
        <f>k_fold_output!E10</f>
        <v>0.45945945382118197</v>
      </c>
      <c r="H12">
        <f>k_fold_output!F10</f>
        <v>0.42500001192092801</v>
      </c>
      <c r="I12">
        <f>k_fold_output!G10</f>
        <v>0.44155845046043302</v>
      </c>
      <c r="J12">
        <f>k_fold_output!H10</f>
        <v>0.83556497097015303</v>
      </c>
      <c r="K12">
        <f>k_fold_output!I10</f>
        <v>0.42802810668945301</v>
      </c>
      <c r="L12">
        <f>k_fold_output!J10</f>
        <v>993</v>
      </c>
      <c r="M12">
        <f>k_fold_output!K10</f>
        <v>60</v>
      </c>
      <c r="N12">
        <f>k_fold_output!L10</f>
        <v>69</v>
      </c>
      <c r="O12" s="3">
        <f>k_fold_output!M10</f>
        <v>51</v>
      </c>
      <c r="P12" s="44">
        <f>k_fold_output!N10</f>
        <v>0.89345508813857999</v>
      </c>
      <c r="Q12">
        <f>k_fold_output!O10</f>
        <v>0.3828125</v>
      </c>
      <c r="R12">
        <f>k_fold_output!P10</f>
        <v>0.44545453786849898</v>
      </c>
      <c r="S12">
        <f>k_fold_output!Q10</f>
        <v>0.41176471114158603</v>
      </c>
      <c r="T12">
        <f>k_fold_output!R10</f>
        <v>0.85384315252303999</v>
      </c>
      <c r="U12">
        <f>k_fold_output!S10</f>
        <v>0.37506282329559298</v>
      </c>
      <c r="V12">
        <f>k_fold_output!T10</f>
        <v>1125</v>
      </c>
      <c r="W12">
        <f>k_fold_output!U10</f>
        <v>79</v>
      </c>
      <c r="X12">
        <f>k_fold_output!V10</f>
        <v>61</v>
      </c>
      <c r="Y12" s="3">
        <f>k_fold_output!W10</f>
        <v>49</v>
      </c>
      <c r="Z12">
        <f>luna16_k_fold_output!C10</f>
        <v>0.64767616987228394</v>
      </c>
      <c r="AA12">
        <f>luna16_k_fold_output!D10</f>
        <v>0.96774190664291382</v>
      </c>
      <c r="AB12">
        <f>luna16_k_fold_output!E10</f>
        <v>0.27950310707092285</v>
      </c>
      <c r="AC12">
        <f>luna16_k_fold_output!F10</f>
        <v>0.4337349534034729</v>
      </c>
      <c r="AD12">
        <f>luna16_k_fold_output!G10</f>
        <v>0.78731662034988403</v>
      </c>
      <c r="AE12">
        <f>luna16_k_fold_output!H10</f>
        <v>0.81632018089294434</v>
      </c>
      <c r="AF12">
        <f>luna16_k_fold_output!I10</f>
        <v>342</v>
      </c>
      <c r="AG12">
        <f>luna16_k_fold_output!J10</f>
        <v>3</v>
      </c>
      <c r="AH12">
        <f>luna16_k_fold_output!K10</f>
        <v>232</v>
      </c>
      <c r="AI12" s="3">
        <f>luna16_k_fold_output!L10</f>
        <v>90</v>
      </c>
    </row>
    <row r="13" spans="1:35" x14ac:dyDescent="0.25">
      <c r="A13" s="105"/>
      <c r="B13" s="105"/>
      <c r="C13" s="105"/>
      <c r="D13">
        <v>2</v>
      </c>
      <c r="E13" s="3">
        <f>k_fold_output!C11</f>
        <v>9</v>
      </c>
      <c r="F13">
        <f>k_fold_output!D11</f>
        <v>0.90894311666488603</v>
      </c>
      <c r="G13">
        <f>k_fold_output!E11</f>
        <v>0.51190477609634399</v>
      </c>
      <c r="H13">
        <f>k_fold_output!F11</f>
        <v>0.37719297409057601</v>
      </c>
      <c r="I13">
        <f>k_fold_output!G11</f>
        <v>0.43434342741966198</v>
      </c>
      <c r="J13">
        <f>k_fold_output!H11</f>
        <v>0.88175189495086603</v>
      </c>
      <c r="K13">
        <f>k_fold_output!I11</f>
        <v>0.459152221679687</v>
      </c>
      <c r="L13">
        <f>k_fold_output!J11</f>
        <v>1075</v>
      </c>
      <c r="M13">
        <f>k_fold_output!K11</f>
        <v>41</v>
      </c>
      <c r="N13">
        <f>k_fold_output!L11</f>
        <v>71</v>
      </c>
      <c r="O13" s="3">
        <f>k_fold_output!M11</f>
        <v>43</v>
      </c>
      <c r="P13" s="44">
        <f>k_fold_output!N11</f>
        <v>0.90258753299713101</v>
      </c>
      <c r="Q13">
        <f>k_fold_output!O11</f>
        <v>0.39024388790130599</v>
      </c>
      <c r="R13">
        <f>k_fold_output!P11</f>
        <v>0.29090908169746399</v>
      </c>
      <c r="S13">
        <f>k_fold_output!Q11</f>
        <v>0.33333334326744002</v>
      </c>
      <c r="T13">
        <f>k_fold_output!R11</f>
        <v>0.85286170244216897</v>
      </c>
      <c r="U13">
        <f>k_fold_output!S11</f>
        <v>0.33635324239730802</v>
      </c>
      <c r="V13">
        <f>k_fold_output!T11</f>
        <v>1154</v>
      </c>
      <c r="W13">
        <f>k_fold_output!U11</f>
        <v>50</v>
      </c>
      <c r="X13">
        <f>k_fold_output!V11</f>
        <v>78</v>
      </c>
      <c r="Y13" s="3">
        <f>k_fold_output!W11</f>
        <v>32</v>
      </c>
      <c r="Z13">
        <f>luna16_k_fold_output!C11</f>
        <v>0.57871061563491821</v>
      </c>
      <c r="AA13">
        <f>luna16_k_fold_output!D11</f>
        <v>0.97674417495727539</v>
      </c>
      <c r="AB13">
        <f>luna16_k_fold_output!E11</f>
        <v>0.1304347813129425</v>
      </c>
      <c r="AC13">
        <f>luna16_k_fold_output!F11</f>
        <v>0.23013699054718018</v>
      </c>
      <c r="AD13">
        <f>luna16_k_fold_output!G11</f>
        <v>0.77729767560958862</v>
      </c>
      <c r="AE13">
        <f>luna16_k_fold_output!H11</f>
        <v>0.80045926570892334</v>
      </c>
      <c r="AF13">
        <f>luna16_k_fold_output!I11</f>
        <v>344</v>
      </c>
      <c r="AG13">
        <f>luna16_k_fold_output!J11</f>
        <v>1</v>
      </c>
      <c r="AH13">
        <f>luna16_k_fold_output!K11</f>
        <v>280</v>
      </c>
      <c r="AI13" s="3">
        <f>luna16_k_fold_output!L11</f>
        <v>42</v>
      </c>
    </row>
    <row r="14" spans="1:35" x14ac:dyDescent="0.25">
      <c r="A14" s="105"/>
      <c r="B14" s="105"/>
      <c r="C14" s="105"/>
      <c r="D14">
        <v>3</v>
      </c>
      <c r="E14" s="3">
        <f>k_fold_output!C12</f>
        <v>18</v>
      </c>
      <c r="F14">
        <f>k_fold_output!D12</f>
        <v>0.90575081110000599</v>
      </c>
      <c r="G14">
        <f>k_fold_output!E12</f>
        <v>0.45333334803581199</v>
      </c>
      <c r="H14">
        <f>k_fold_output!F12</f>
        <v>0.306306302547454</v>
      </c>
      <c r="I14">
        <f>k_fold_output!G12</f>
        <v>0.36559140682220398</v>
      </c>
      <c r="J14">
        <f>k_fold_output!H12</f>
        <v>0.82869464159011796</v>
      </c>
      <c r="K14">
        <f>k_fold_output!I12</f>
        <v>0.39162975549697798</v>
      </c>
      <c r="L14">
        <f>k_fold_output!J12</f>
        <v>1100</v>
      </c>
      <c r="M14">
        <f>k_fold_output!K12</f>
        <v>41</v>
      </c>
      <c r="N14">
        <f>k_fold_output!L12</f>
        <v>77</v>
      </c>
      <c r="O14" s="3">
        <f>k_fold_output!M12</f>
        <v>34</v>
      </c>
      <c r="P14" s="44">
        <f>k_fold_output!N12</f>
        <v>0.90410959720611495</v>
      </c>
      <c r="Q14">
        <f>k_fold_output!O12</f>
        <v>0.37096774578094399</v>
      </c>
      <c r="R14">
        <f>k_fold_output!P12</f>
        <v>0.20909090340137401</v>
      </c>
      <c r="S14">
        <f>k_fold_output!Q12</f>
        <v>0.26744186878204301</v>
      </c>
      <c r="T14">
        <f>k_fold_output!R12</f>
        <v>0.84774994850158603</v>
      </c>
      <c r="U14">
        <f>k_fold_output!S12</f>
        <v>0.320197343826293</v>
      </c>
      <c r="V14">
        <f>k_fold_output!T12</f>
        <v>1165</v>
      </c>
      <c r="W14">
        <f>k_fold_output!U12</f>
        <v>39</v>
      </c>
      <c r="X14">
        <f>k_fold_output!V12</f>
        <v>87</v>
      </c>
      <c r="Y14" s="3">
        <f>k_fold_output!W12</f>
        <v>23</v>
      </c>
      <c r="Z14">
        <f>luna16_k_fold_output!C12</f>
        <v>0.57271361351013184</v>
      </c>
      <c r="AA14">
        <f>luna16_k_fold_output!D12</f>
        <v>0.91111111640930176</v>
      </c>
      <c r="AB14">
        <f>luna16_k_fold_output!E12</f>
        <v>0.12732918560504913</v>
      </c>
      <c r="AC14">
        <f>luna16_k_fold_output!F12</f>
        <v>0.2234332412481308</v>
      </c>
      <c r="AD14">
        <f>luna16_k_fold_output!G12</f>
        <v>0.7817986011505127</v>
      </c>
      <c r="AE14">
        <f>luna16_k_fold_output!H12</f>
        <v>0.77736735343933105</v>
      </c>
      <c r="AF14">
        <f>luna16_k_fold_output!I12</f>
        <v>341</v>
      </c>
      <c r="AG14">
        <f>luna16_k_fold_output!J12</f>
        <v>4</v>
      </c>
      <c r="AH14">
        <f>luna16_k_fold_output!K12</f>
        <v>281</v>
      </c>
      <c r="AI14" s="3">
        <f>luna16_k_fold_output!L12</f>
        <v>41</v>
      </c>
    </row>
    <row r="15" spans="1:35" x14ac:dyDescent="0.25">
      <c r="A15" s="107"/>
      <c r="B15" s="107"/>
      <c r="C15" s="107"/>
      <c r="D15" s="7">
        <v>4</v>
      </c>
      <c r="E15" s="8">
        <f>k_fold_output!C13</f>
        <v>16</v>
      </c>
      <c r="F15" s="7">
        <f>k_fold_output!D13</f>
        <v>0.89782243967056197</v>
      </c>
      <c r="G15" s="7">
        <f>k_fold_output!E13</f>
        <v>0.40983605384826599</v>
      </c>
      <c r="H15" s="7">
        <f>k_fold_output!F13</f>
        <v>0.5</v>
      </c>
      <c r="I15" s="7">
        <f>k_fold_output!G13</f>
        <v>0.450450450181961</v>
      </c>
      <c r="J15" s="7">
        <f>k_fold_output!H13</f>
        <v>0.86980807781219405</v>
      </c>
      <c r="K15" s="7">
        <f>k_fold_output!I13</f>
        <v>0.52274638414382901</v>
      </c>
      <c r="L15" s="7">
        <f>k_fold_output!J13</f>
        <v>1022</v>
      </c>
      <c r="M15" s="7">
        <f>k_fold_output!K13</f>
        <v>72</v>
      </c>
      <c r="N15" s="7">
        <f>k_fold_output!L13</f>
        <v>50</v>
      </c>
      <c r="O15" s="8">
        <f>k_fold_output!M13</f>
        <v>50</v>
      </c>
      <c r="P15" s="32">
        <f>k_fold_output!N13</f>
        <v>0.90639269351959195</v>
      </c>
      <c r="Q15" s="7">
        <f>k_fold_output!O13</f>
        <v>0.44144144654273898</v>
      </c>
      <c r="R15" s="7">
        <f>k_fold_output!P13</f>
        <v>0.44545453786849898</v>
      </c>
      <c r="S15" s="7">
        <f>k_fold_output!Q13</f>
        <v>0.44343891739845198</v>
      </c>
      <c r="T15" s="7">
        <f>k_fold_output!R13</f>
        <v>0.85299003124237005</v>
      </c>
      <c r="U15" s="7">
        <f>k_fold_output!S13</f>
        <v>0.405628621578216</v>
      </c>
      <c r="V15" s="7">
        <f>k_fold_output!T13</f>
        <v>1142</v>
      </c>
      <c r="W15" s="7">
        <f>k_fold_output!U13</f>
        <v>62</v>
      </c>
      <c r="X15" s="7">
        <f>k_fold_output!V13</f>
        <v>61</v>
      </c>
      <c r="Y15" s="8">
        <f>k_fold_output!W13</f>
        <v>49</v>
      </c>
      <c r="Z15" s="7">
        <f>luna16_k_fold_output!C13</f>
        <v>0.60269862413406372</v>
      </c>
      <c r="AA15" s="7">
        <f>luna16_k_fold_output!D13</f>
        <v>0.91304349899291992</v>
      </c>
      <c r="AB15" s="7">
        <f>luna16_k_fold_output!E13</f>
        <v>0.19565217196941376</v>
      </c>
      <c r="AC15" s="7">
        <f>luna16_k_fold_output!F13</f>
        <v>0.32225063443183899</v>
      </c>
      <c r="AD15" s="7">
        <f>luna16_k_fold_output!G13</f>
        <v>0.78977406024932861</v>
      </c>
      <c r="AE15" s="7">
        <f>luna16_k_fold_output!H13</f>
        <v>0.78692126274108887</v>
      </c>
      <c r="AF15" s="7">
        <f>luna16_k_fold_output!I13</f>
        <v>339</v>
      </c>
      <c r="AG15" s="7">
        <f>luna16_k_fold_output!J13</f>
        <v>6</v>
      </c>
      <c r="AH15" s="7">
        <f>luna16_k_fold_output!K13</f>
        <v>259</v>
      </c>
      <c r="AI15" s="8">
        <f>luna16_k_fold_output!L13</f>
        <v>63</v>
      </c>
    </row>
    <row r="16" spans="1:35" x14ac:dyDescent="0.25">
      <c r="A16" s="103" t="s">
        <v>20</v>
      </c>
      <c r="B16" s="105" t="s">
        <v>18</v>
      </c>
      <c r="C16" s="105">
        <v>18</v>
      </c>
      <c r="D16">
        <v>1</v>
      </c>
      <c r="E16" s="3">
        <f>k_fold_output!C38</f>
        <v>26</v>
      </c>
      <c r="F16">
        <f>k_fold_output!D38</f>
        <v>0.863597631454467</v>
      </c>
      <c r="G16">
        <f>k_fold_output!E38</f>
        <v>0.379518061876297</v>
      </c>
      <c r="H16">
        <f>k_fold_output!F38</f>
        <v>0.52499997615814198</v>
      </c>
      <c r="I16">
        <f>k_fold_output!G38</f>
        <v>0.44055944681167603</v>
      </c>
      <c r="J16">
        <f>k_fold_output!H38</f>
        <v>0.82682806253433205</v>
      </c>
      <c r="K16">
        <f>k_fold_output!I38</f>
        <v>0.373557448387146</v>
      </c>
      <c r="L16">
        <f>k_fold_output!J38</f>
        <v>950</v>
      </c>
      <c r="M16">
        <f>k_fold_output!K38</f>
        <v>103</v>
      </c>
      <c r="N16">
        <f>k_fold_output!L38</f>
        <v>57</v>
      </c>
      <c r="O16" s="3">
        <f>k_fold_output!M38</f>
        <v>63</v>
      </c>
      <c r="P16" s="67">
        <f>k_fold_output!N38</f>
        <v>0.86225265264511097</v>
      </c>
      <c r="Q16" s="9">
        <f>k_fold_output!O38</f>
        <v>0.31216931343078602</v>
      </c>
      <c r="R16" s="9">
        <f>k_fold_output!P38</f>
        <v>0.53636366128921498</v>
      </c>
      <c r="S16" s="9">
        <f>k_fold_output!Q38</f>
        <v>0.39464882016181901</v>
      </c>
      <c r="T16" s="9">
        <f>k_fold_output!R38</f>
        <v>0.81551653146743697</v>
      </c>
      <c r="U16" s="9">
        <f>k_fold_output!S38</f>
        <v>0.35379672050476002</v>
      </c>
      <c r="V16" s="9">
        <f>k_fold_output!T38</f>
        <v>1074</v>
      </c>
      <c r="W16" s="9">
        <f>k_fold_output!U38</f>
        <v>130</v>
      </c>
      <c r="X16" s="9">
        <f>k_fold_output!V38</f>
        <v>51</v>
      </c>
      <c r="Y16" s="10">
        <f>k_fold_output!W38</f>
        <v>59</v>
      </c>
      <c r="Z16" s="9">
        <f>luna16_k_fold_output!C38</f>
        <v>0.64167916774749756</v>
      </c>
      <c r="AA16" s="9">
        <f>luna16_k_fold_output!D38</f>
        <v>0.90291261672973633</v>
      </c>
      <c r="AB16" s="9">
        <f>luna16_k_fold_output!E38</f>
        <v>0.28881987929344177</v>
      </c>
      <c r="AC16" s="9">
        <f>luna16_k_fold_output!F38</f>
        <v>0.43764704465866089</v>
      </c>
      <c r="AD16" s="9">
        <f>luna16_k_fold_output!G38</f>
        <v>0.76985323429107666</v>
      </c>
      <c r="AE16" s="9">
        <f>luna16_k_fold_output!H38</f>
        <v>0.77507287263870239</v>
      </c>
      <c r="AF16" s="9">
        <f>luna16_k_fold_output!I38</f>
        <v>335</v>
      </c>
      <c r="AG16" s="9">
        <f>luna16_k_fold_output!J38</f>
        <v>10</v>
      </c>
      <c r="AH16" s="9">
        <f>luna16_k_fold_output!K38</f>
        <v>229</v>
      </c>
      <c r="AI16" s="10">
        <f>luna16_k_fold_output!L38</f>
        <v>93</v>
      </c>
    </row>
    <row r="17" spans="1:35" x14ac:dyDescent="0.25">
      <c r="A17" s="105"/>
      <c r="B17" s="105"/>
      <c r="C17" s="105"/>
      <c r="D17">
        <v>2</v>
      </c>
      <c r="E17" s="3">
        <f>k_fold_output!C39</f>
        <v>37</v>
      </c>
      <c r="F17">
        <f>k_fold_output!D39</f>
        <v>0.92113822698593095</v>
      </c>
      <c r="G17">
        <f>k_fold_output!E39</f>
        <v>0.623188376426696</v>
      </c>
      <c r="H17">
        <f>k_fold_output!F39</f>
        <v>0.37719297409057601</v>
      </c>
      <c r="I17">
        <f>k_fold_output!G39</f>
        <v>0.46994534134864802</v>
      </c>
      <c r="J17">
        <f>k_fold_output!H39</f>
        <v>0.88385057449340798</v>
      </c>
      <c r="K17">
        <f>k_fold_output!I39</f>
        <v>0.532526135444641</v>
      </c>
      <c r="L17">
        <f>k_fold_output!J39</f>
        <v>1090</v>
      </c>
      <c r="M17">
        <f>k_fold_output!K39</f>
        <v>26</v>
      </c>
      <c r="N17">
        <f>k_fold_output!L39</f>
        <v>71</v>
      </c>
      <c r="O17" s="3">
        <f>k_fold_output!M39</f>
        <v>43</v>
      </c>
      <c r="P17" s="44">
        <f>k_fold_output!N39</f>
        <v>0.91095888614654497</v>
      </c>
      <c r="Q17">
        <f>k_fold_output!O39</f>
        <v>0.43137255311012201</v>
      </c>
      <c r="R17">
        <f>k_fold_output!P39</f>
        <v>0.20000000298023199</v>
      </c>
      <c r="S17">
        <f>k_fold_output!Q39</f>
        <v>0.273291915655136</v>
      </c>
      <c r="T17">
        <f>k_fold_output!R39</f>
        <v>0.82139086723327603</v>
      </c>
      <c r="U17">
        <f>k_fold_output!S39</f>
        <v>0.32400599122047402</v>
      </c>
      <c r="V17">
        <f>k_fold_output!T39</f>
        <v>1175</v>
      </c>
      <c r="W17">
        <f>k_fold_output!U39</f>
        <v>29</v>
      </c>
      <c r="X17">
        <f>k_fold_output!V39</f>
        <v>88</v>
      </c>
      <c r="Y17" s="3">
        <f>k_fold_output!W39</f>
        <v>22</v>
      </c>
      <c r="Z17">
        <f>luna16_k_fold_output!C39</f>
        <v>0.5487256646156311</v>
      </c>
      <c r="AA17">
        <f>luna16_k_fold_output!D39</f>
        <v>0.95652174949645996</v>
      </c>
      <c r="AB17">
        <f>luna16_k_fold_output!E39</f>
        <v>6.8322978913784027E-2</v>
      </c>
      <c r="AC17">
        <f>luna16_k_fold_output!F39</f>
        <v>0.12753623723983765</v>
      </c>
      <c r="AD17">
        <f>luna16_k_fold_output!G39</f>
        <v>0.75902420282363892</v>
      </c>
      <c r="AE17">
        <f>luna16_k_fold_output!H39</f>
        <v>0.75366610288619995</v>
      </c>
      <c r="AF17">
        <f>luna16_k_fold_output!I39</f>
        <v>344</v>
      </c>
      <c r="AG17">
        <f>luna16_k_fold_output!J39</f>
        <v>1</v>
      </c>
      <c r="AH17">
        <f>luna16_k_fold_output!K39</f>
        <v>300</v>
      </c>
      <c r="AI17" s="3">
        <f>luna16_k_fold_output!L39</f>
        <v>22</v>
      </c>
    </row>
    <row r="18" spans="1:35" x14ac:dyDescent="0.25">
      <c r="A18" s="105"/>
      <c r="B18" s="105"/>
      <c r="C18" s="105"/>
      <c r="D18">
        <v>3</v>
      </c>
      <c r="E18" s="3">
        <f>k_fold_output!C40</f>
        <v>39</v>
      </c>
      <c r="F18">
        <f>k_fold_output!D40</f>
        <v>0.90575081110000599</v>
      </c>
      <c r="G18">
        <f>k_fold_output!E40</f>
        <v>0.47008547186851501</v>
      </c>
      <c r="H18">
        <f>k_fold_output!F40</f>
        <v>0.49549549818038902</v>
      </c>
      <c r="I18">
        <f>k_fold_output!G40</f>
        <v>0.48245614767074502</v>
      </c>
      <c r="J18">
        <f>k_fold_output!H40</f>
        <v>0.87084978818893399</v>
      </c>
      <c r="K18">
        <f>k_fold_output!I40</f>
        <v>0.44323885440826399</v>
      </c>
      <c r="L18">
        <f>k_fold_output!J40</f>
        <v>1079</v>
      </c>
      <c r="M18">
        <f>k_fold_output!K40</f>
        <v>62</v>
      </c>
      <c r="N18">
        <f>k_fold_output!L40</f>
        <v>56</v>
      </c>
      <c r="O18" s="3">
        <f>k_fold_output!M40</f>
        <v>55</v>
      </c>
      <c r="P18" s="44">
        <f>k_fold_output!N40</f>
        <v>0.88051748275756803</v>
      </c>
      <c r="Q18">
        <f>k_fold_output!O40</f>
        <v>0.32846716046333302</v>
      </c>
      <c r="R18">
        <f>k_fold_output!P40</f>
        <v>0.409090906381607</v>
      </c>
      <c r="S18">
        <f>k_fold_output!Q40</f>
        <v>0.36437246203422502</v>
      </c>
      <c r="T18">
        <f>k_fold_output!R40</f>
        <v>0.83143305778503396</v>
      </c>
      <c r="U18">
        <f>k_fold_output!S40</f>
        <v>0.318134725093841</v>
      </c>
      <c r="V18">
        <f>k_fold_output!T40</f>
        <v>1112</v>
      </c>
      <c r="W18">
        <f>k_fold_output!U40</f>
        <v>92</v>
      </c>
      <c r="X18">
        <f>k_fold_output!V40</f>
        <v>65</v>
      </c>
      <c r="Y18" s="3">
        <f>k_fold_output!W40</f>
        <v>45</v>
      </c>
      <c r="Z18">
        <f>luna16_k_fold_output!C40</f>
        <v>0.64017993211746216</v>
      </c>
      <c r="AA18">
        <f>luna16_k_fold_output!D40</f>
        <v>0.95555555820465088</v>
      </c>
      <c r="AB18">
        <f>luna16_k_fold_output!E40</f>
        <v>0.26708075404167175</v>
      </c>
      <c r="AC18">
        <f>luna16_k_fold_output!F40</f>
        <v>0.41747573018074036</v>
      </c>
      <c r="AD18">
        <f>luna16_k_fold_output!G40</f>
        <v>0.79346472024917603</v>
      </c>
      <c r="AE18">
        <f>luna16_k_fold_output!H40</f>
        <v>0.81275749206542969</v>
      </c>
      <c r="AF18">
        <f>luna16_k_fold_output!I40</f>
        <v>341</v>
      </c>
      <c r="AG18">
        <f>luna16_k_fold_output!J40</f>
        <v>4</v>
      </c>
      <c r="AH18">
        <f>luna16_k_fold_output!K40</f>
        <v>236</v>
      </c>
      <c r="AI18" s="3">
        <f>luna16_k_fold_output!L40</f>
        <v>86</v>
      </c>
    </row>
    <row r="19" spans="1:35" x14ac:dyDescent="0.25">
      <c r="A19" s="105"/>
      <c r="B19" s="105"/>
      <c r="C19" s="105"/>
      <c r="D19">
        <v>4</v>
      </c>
      <c r="E19" s="3">
        <f>k_fold_output!C41</f>
        <v>42</v>
      </c>
      <c r="F19">
        <f>k_fold_output!D41</f>
        <v>0.89865994453430098</v>
      </c>
      <c r="G19">
        <f>k_fold_output!E41</f>
        <v>0.42222222685813898</v>
      </c>
      <c r="H19">
        <f>k_fold_output!F41</f>
        <v>0.56999999284744196</v>
      </c>
      <c r="I19">
        <f>k_fold_output!G41</f>
        <v>0.48510637879371599</v>
      </c>
      <c r="J19">
        <f>k_fold_output!H41</f>
        <v>0.87267822027206399</v>
      </c>
      <c r="K19">
        <f>k_fold_output!I41</f>
        <v>0.54256165027618397</v>
      </c>
      <c r="L19">
        <f>k_fold_output!J41</f>
        <v>1016</v>
      </c>
      <c r="M19">
        <f>k_fold_output!K41</f>
        <v>78</v>
      </c>
      <c r="N19">
        <f>k_fold_output!L41</f>
        <v>43</v>
      </c>
      <c r="O19" s="3">
        <f>k_fold_output!M41</f>
        <v>57</v>
      </c>
      <c r="P19" s="44">
        <f>k_fold_output!N41</f>
        <v>0.88051748275756803</v>
      </c>
      <c r="Q19">
        <f>k_fold_output!O41</f>
        <v>0.34013605117797802</v>
      </c>
      <c r="R19">
        <f>k_fold_output!P41</f>
        <v>0.454545468091964</v>
      </c>
      <c r="S19">
        <f>k_fold_output!Q41</f>
        <v>0.38910505175590498</v>
      </c>
      <c r="T19">
        <f>k_fold_output!R41</f>
        <v>0.85246908664703303</v>
      </c>
      <c r="U19">
        <f>k_fold_output!S41</f>
        <v>0.37204933166503901</v>
      </c>
      <c r="V19">
        <f>k_fold_output!T41</f>
        <v>1107</v>
      </c>
      <c r="W19">
        <f>k_fold_output!U41</f>
        <v>97</v>
      </c>
      <c r="X19">
        <f>k_fold_output!V41</f>
        <v>60</v>
      </c>
      <c r="Y19" s="3">
        <f>k_fold_output!W41</f>
        <v>50</v>
      </c>
      <c r="Z19">
        <f>luna16_k_fold_output!C41</f>
        <v>0.64167916774749756</v>
      </c>
      <c r="AA19">
        <f>luna16_k_fold_output!D41</f>
        <v>0.86725664138793945</v>
      </c>
      <c r="AB19">
        <f>luna16_k_fold_output!E41</f>
        <v>0.30434781312942505</v>
      </c>
      <c r="AC19">
        <f>luna16_k_fold_output!F41</f>
        <v>0.45057472586631775</v>
      </c>
      <c r="AD19">
        <f>luna16_k_fold_output!G41</f>
        <v>0.78220367431640625</v>
      </c>
      <c r="AE19">
        <f>luna16_k_fold_output!H41</f>
        <v>0.7842068076133728</v>
      </c>
      <c r="AF19">
        <f>luna16_k_fold_output!I41</f>
        <v>330</v>
      </c>
      <c r="AG19">
        <f>luna16_k_fold_output!J41</f>
        <v>15</v>
      </c>
      <c r="AH19">
        <f>luna16_k_fold_output!K41</f>
        <v>224</v>
      </c>
      <c r="AI19" s="3">
        <f>luna16_k_fold_output!L41</f>
        <v>98</v>
      </c>
    </row>
    <row r="20" spans="1:35" x14ac:dyDescent="0.25">
      <c r="A20" s="105"/>
      <c r="B20" s="105"/>
      <c r="C20" s="105">
        <v>34</v>
      </c>
      <c r="D20">
        <v>1</v>
      </c>
      <c r="E20" s="3">
        <f>k_fold_output!C42</f>
        <v>33</v>
      </c>
      <c r="F20">
        <f>k_fold_output!D42</f>
        <v>0.89855074882507302</v>
      </c>
      <c r="G20">
        <f>k_fold_output!E42</f>
        <v>0.50847458839416504</v>
      </c>
      <c r="H20">
        <f>k_fold_output!F42</f>
        <v>0.25</v>
      </c>
      <c r="I20">
        <f>k_fold_output!G42</f>
        <v>0.33519554138183499</v>
      </c>
      <c r="J20">
        <f>k_fold_output!H42</f>
        <v>0.84637540578842096</v>
      </c>
      <c r="K20">
        <f>k_fold_output!I42</f>
        <v>0.42002362012863098</v>
      </c>
      <c r="L20">
        <f>k_fold_output!J42</f>
        <v>1024</v>
      </c>
      <c r="M20">
        <f>k_fold_output!K42</f>
        <v>29</v>
      </c>
      <c r="N20">
        <f>k_fold_output!L42</f>
        <v>90</v>
      </c>
      <c r="O20" s="3">
        <f>k_fold_output!M42</f>
        <v>30</v>
      </c>
      <c r="P20" s="44">
        <f>k_fold_output!N42</f>
        <v>0.91400301456451405</v>
      </c>
      <c r="Q20">
        <f>k_fold_output!O42</f>
        <v>0.47761192917823703</v>
      </c>
      <c r="R20">
        <f>k_fold_output!P42</f>
        <v>0.29090908169746399</v>
      </c>
      <c r="S20">
        <f>k_fold_output!Q42</f>
        <v>0.361581921577453</v>
      </c>
      <c r="T20">
        <f>k_fold_output!R42</f>
        <v>0.83520078659057595</v>
      </c>
      <c r="U20">
        <f>k_fold_output!S42</f>
        <v>0.38183352351188599</v>
      </c>
      <c r="V20">
        <f>k_fold_output!T42</f>
        <v>1169</v>
      </c>
      <c r="W20">
        <f>k_fold_output!U42</f>
        <v>35</v>
      </c>
      <c r="X20">
        <f>k_fold_output!V42</f>
        <v>78</v>
      </c>
      <c r="Y20" s="3">
        <f>k_fold_output!W42</f>
        <v>32</v>
      </c>
      <c r="Z20">
        <f>luna16_k_fold_output!C42</f>
        <v>0.59520238637924194</v>
      </c>
      <c r="AA20">
        <f>luna16_k_fold_output!D42</f>
        <v>1</v>
      </c>
      <c r="AB20">
        <f>luna16_k_fold_output!E42</f>
        <v>0.16149067878723145</v>
      </c>
      <c r="AC20">
        <f>luna16_k_fold_output!F42</f>
        <v>0.27807486057281494</v>
      </c>
      <c r="AD20">
        <f>luna16_k_fold_output!G42</f>
        <v>0.82657301425933838</v>
      </c>
      <c r="AE20">
        <f>luna16_k_fold_output!H42</f>
        <v>0.83123910427093506</v>
      </c>
      <c r="AF20">
        <f>luna16_k_fold_output!I42</f>
        <v>345</v>
      </c>
      <c r="AG20">
        <f>luna16_k_fold_output!J42</f>
        <v>0</v>
      </c>
      <c r="AH20">
        <f>luna16_k_fold_output!K42</f>
        <v>270</v>
      </c>
      <c r="AI20" s="3">
        <f>luna16_k_fold_output!L42</f>
        <v>52</v>
      </c>
    </row>
    <row r="21" spans="1:35" x14ac:dyDescent="0.25">
      <c r="A21" s="105"/>
      <c r="B21" s="105"/>
      <c r="C21" s="105"/>
      <c r="D21">
        <v>2</v>
      </c>
      <c r="E21" s="3">
        <f>k_fold_output!C43</f>
        <v>29</v>
      </c>
      <c r="F21">
        <f>k_fold_output!D43</f>
        <v>0.90569102764129605</v>
      </c>
      <c r="G21">
        <f>k_fold_output!E43</f>
        <v>0.483333319425582</v>
      </c>
      <c r="H21">
        <f>k_fold_output!F43</f>
        <v>0.25438597798347401</v>
      </c>
      <c r="I21">
        <f>k_fold_output!G43</f>
        <v>0.33333334326744002</v>
      </c>
      <c r="J21">
        <f>k_fold_output!H43</f>
        <v>0.89451676607131902</v>
      </c>
      <c r="K21">
        <f>k_fold_output!I43</f>
        <v>0.48057109117507901</v>
      </c>
      <c r="L21">
        <f>k_fold_output!J43</f>
        <v>1085</v>
      </c>
      <c r="M21">
        <f>k_fold_output!K43</f>
        <v>31</v>
      </c>
      <c r="N21">
        <f>k_fold_output!L43</f>
        <v>85</v>
      </c>
      <c r="O21" s="3">
        <f>k_fold_output!M43</f>
        <v>29</v>
      </c>
      <c r="P21" s="44">
        <f>k_fold_output!N43</f>
        <v>0.90639269351959195</v>
      </c>
      <c r="Q21">
        <f>k_fold_output!O43</f>
        <v>0.36170211434364302</v>
      </c>
      <c r="R21">
        <f>k_fold_output!P43</f>
        <v>0.15454545617103499</v>
      </c>
      <c r="S21">
        <f>k_fold_output!Q43</f>
        <v>0.21656051278114299</v>
      </c>
      <c r="T21">
        <f>k_fold_output!R43</f>
        <v>0.82518118619918801</v>
      </c>
      <c r="U21">
        <f>k_fold_output!S43</f>
        <v>0.26359781622886602</v>
      </c>
      <c r="V21">
        <f>k_fold_output!T43</f>
        <v>1174</v>
      </c>
      <c r="W21">
        <f>k_fold_output!U43</f>
        <v>30</v>
      </c>
      <c r="X21">
        <f>k_fold_output!V43</f>
        <v>93</v>
      </c>
      <c r="Y21" s="3">
        <f>k_fold_output!W43</f>
        <v>17</v>
      </c>
      <c r="Z21">
        <f>luna16_k_fold_output!C43</f>
        <v>0.5517241358757019</v>
      </c>
      <c r="AA21">
        <f>luna16_k_fold_output!D43</f>
        <v>0.95999997854232788</v>
      </c>
      <c r="AB21">
        <f>luna16_k_fold_output!E43</f>
        <v>7.4534162878990173E-2</v>
      </c>
      <c r="AC21">
        <f>luna16_k_fold_output!F43</f>
        <v>0.13832853734493256</v>
      </c>
      <c r="AD21">
        <f>luna16_k_fold_output!G43</f>
        <v>0.76547837257385254</v>
      </c>
      <c r="AE21">
        <f>luna16_k_fold_output!H43</f>
        <v>0.74337112903594971</v>
      </c>
      <c r="AF21">
        <f>luna16_k_fold_output!I43</f>
        <v>344</v>
      </c>
      <c r="AG21">
        <f>luna16_k_fold_output!J43</f>
        <v>1</v>
      </c>
      <c r="AH21">
        <f>luna16_k_fold_output!K43</f>
        <v>298</v>
      </c>
      <c r="AI21" s="3">
        <f>luna16_k_fold_output!L43</f>
        <v>24</v>
      </c>
    </row>
    <row r="22" spans="1:35" x14ac:dyDescent="0.25">
      <c r="A22" s="105"/>
      <c r="B22" s="105"/>
      <c r="C22" s="105"/>
      <c r="D22">
        <v>3</v>
      </c>
      <c r="E22" s="3">
        <f>k_fold_output!C44</f>
        <v>45</v>
      </c>
      <c r="F22">
        <f>k_fold_output!D44</f>
        <v>0.87300318479537897</v>
      </c>
      <c r="G22">
        <f>k_fold_output!E44</f>
        <v>0.34210526943206698</v>
      </c>
      <c r="H22">
        <f>k_fold_output!F44</f>
        <v>0.468468457460403</v>
      </c>
      <c r="I22">
        <f>k_fold_output!G44</f>
        <v>0.39543727040290799</v>
      </c>
      <c r="J22">
        <f>k_fold_output!H44</f>
        <v>0.84839439392089799</v>
      </c>
      <c r="K22">
        <f>k_fold_output!I44</f>
        <v>0.35826829075813199</v>
      </c>
      <c r="L22">
        <f>k_fold_output!J44</f>
        <v>1041</v>
      </c>
      <c r="M22">
        <f>k_fold_output!K44</f>
        <v>100</v>
      </c>
      <c r="N22">
        <f>k_fold_output!L44</f>
        <v>59</v>
      </c>
      <c r="O22" s="3">
        <f>k_fold_output!M44</f>
        <v>52</v>
      </c>
      <c r="P22" s="44">
        <f>k_fold_output!N44</f>
        <v>0.88051748275756803</v>
      </c>
      <c r="Q22">
        <f>k_fold_output!O44</f>
        <v>0.360946744680404</v>
      </c>
      <c r="R22">
        <f>k_fold_output!P44</f>
        <v>0.55454546213150002</v>
      </c>
      <c r="S22">
        <f>k_fold_output!Q44</f>
        <v>0.43727597594261097</v>
      </c>
      <c r="T22">
        <f>k_fold_output!R44</f>
        <v>0.86955595016479403</v>
      </c>
      <c r="U22">
        <f>k_fold_output!S44</f>
        <v>0.38694450259208601</v>
      </c>
      <c r="V22">
        <f>k_fold_output!T44</f>
        <v>1096</v>
      </c>
      <c r="W22">
        <f>k_fold_output!U44</f>
        <v>108</v>
      </c>
      <c r="X22">
        <f>k_fold_output!V44</f>
        <v>49</v>
      </c>
      <c r="Y22" s="3">
        <f>k_fold_output!W44</f>
        <v>61</v>
      </c>
      <c r="Z22">
        <f>luna16_k_fold_output!C44</f>
        <v>0.65367317199707031</v>
      </c>
      <c r="AA22">
        <f>luna16_k_fold_output!D44</f>
        <v>0.86400002241134644</v>
      </c>
      <c r="AB22">
        <f>luna16_k_fold_output!E44</f>
        <v>0.33540374040603638</v>
      </c>
      <c r="AC22">
        <f>luna16_k_fold_output!F44</f>
        <v>0.48322147130966187</v>
      </c>
      <c r="AD22">
        <f>luna16_k_fold_output!G44</f>
        <v>0.78241962194442749</v>
      </c>
      <c r="AE22">
        <f>luna16_k_fold_output!H44</f>
        <v>0.76508671045303345</v>
      </c>
      <c r="AF22">
        <f>luna16_k_fold_output!I44</f>
        <v>328</v>
      </c>
      <c r="AG22">
        <f>luna16_k_fold_output!J44</f>
        <v>17</v>
      </c>
      <c r="AH22">
        <f>luna16_k_fold_output!K44</f>
        <v>214</v>
      </c>
      <c r="AI22" s="3">
        <f>luna16_k_fold_output!L44</f>
        <v>108</v>
      </c>
    </row>
    <row r="23" spans="1:35" x14ac:dyDescent="0.25">
      <c r="A23" s="105"/>
      <c r="B23" s="105"/>
      <c r="C23" s="105"/>
      <c r="D23">
        <v>4</v>
      </c>
      <c r="E23" s="3">
        <f>k_fold_output!C45</f>
        <v>27</v>
      </c>
      <c r="F23">
        <f>k_fold_output!D45</f>
        <v>0.92797321081161499</v>
      </c>
      <c r="G23">
        <f>k_fold_output!E45</f>
        <v>0.66666668653488104</v>
      </c>
      <c r="H23">
        <f>k_fold_output!F45</f>
        <v>0.28000000119209201</v>
      </c>
      <c r="I23">
        <f>k_fold_output!G45</f>
        <v>0.394366204738616</v>
      </c>
      <c r="J23">
        <f>k_fold_output!H45</f>
        <v>0.86474406719207697</v>
      </c>
      <c r="K23">
        <f>k_fold_output!I45</f>
        <v>0.52845835685729903</v>
      </c>
      <c r="L23">
        <f>k_fold_output!J45</f>
        <v>1080</v>
      </c>
      <c r="M23">
        <f>k_fold_output!K45</f>
        <v>14</v>
      </c>
      <c r="N23">
        <f>k_fold_output!L45</f>
        <v>72</v>
      </c>
      <c r="O23" s="3">
        <f>k_fold_output!M45</f>
        <v>28</v>
      </c>
      <c r="P23" s="44">
        <f>k_fold_output!N45</f>
        <v>0.91780823469161898</v>
      </c>
      <c r="Q23">
        <f>k_fold_output!O45</f>
        <v>0.54166668653488104</v>
      </c>
      <c r="R23">
        <f>k_fold_output!P45</f>
        <v>0.118181817233562</v>
      </c>
      <c r="S23">
        <f>k_fold_output!Q45</f>
        <v>0.19402985274791701</v>
      </c>
      <c r="T23">
        <f>k_fold_output!R45</f>
        <v>0.85674268007278398</v>
      </c>
      <c r="U23">
        <f>k_fold_output!S45</f>
        <v>0.37238350510597201</v>
      </c>
      <c r="V23">
        <f>k_fold_output!T45</f>
        <v>1193</v>
      </c>
      <c r="W23">
        <f>k_fold_output!U45</f>
        <v>11</v>
      </c>
      <c r="X23">
        <f>k_fold_output!V45</f>
        <v>97</v>
      </c>
      <c r="Y23" s="3">
        <f>k_fold_output!W45</f>
        <v>13</v>
      </c>
      <c r="Z23">
        <f>luna16_k_fold_output!C45</f>
        <v>0.55472266674041748</v>
      </c>
      <c r="AA23">
        <f>luna16_k_fold_output!D45</f>
        <v>1</v>
      </c>
      <c r="AB23">
        <f>luna16_k_fold_output!E45</f>
        <v>7.7639751136302948E-2</v>
      </c>
      <c r="AC23">
        <f>luna16_k_fold_output!F45</f>
        <v>0.14409221708774567</v>
      </c>
      <c r="AD23">
        <f>luna16_k_fold_output!G45</f>
        <v>0.81302547454833984</v>
      </c>
      <c r="AE23">
        <f>luna16_k_fold_output!H45</f>
        <v>0.83590048551559448</v>
      </c>
      <c r="AF23">
        <f>luna16_k_fold_output!I45</f>
        <v>345</v>
      </c>
      <c r="AG23">
        <f>luna16_k_fold_output!J45</f>
        <v>0</v>
      </c>
      <c r="AH23">
        <f>luna16_k_fold_output!K45</f>
        <v>297</v>
      </c>
      <c r="AI23" s="3">
        <f>luna16_k_fold_output!L45</f>
        <v>25</v>
      </c>
    </row>
    <row r="24" spans="1:35" x14ac:dyDescent="0.25">
      <c r="A24" s="105"/>
      <c r="B24" s="105"/>
      <c r="C24" s="105">
        <v>50</v>
      </c>
      <c r="D24">
        <v>1</v>
      </c>
      <c r="E24" s="3">
        <f>k_fold_output!C46</f>
        <v>13</v>
      </c>
      <c r="F24">
        <f>k_fold_output!D46</f>
        <v>0.84825235605239802</v>
      </c>
      <c r="G24">
        <f>k_fold_output!E46</f>
        <v>0.345744669437408</v>
      </c>
      <c r="H24">
        <f>k_fold_output!F46</f>
        <v>0.54166668653488104</v>
      </c>
      <c r="I24">
        <f>k_fold_output!G46</f>
        <v>0.42207792401313698</v>
      </c>
      <c r="J24">
        <f>k_fold_output!H46</f>
        <v>0.82881456613540605</v>
      </c>
      <c r="K24">
        <f>k_fold_output!I46</f>
        <v>0.37043792009353599</v>
      </c>
      <c r="L24">
        <f>k_fold_output!J46</f>
        <v>930</v>
      </c>
      <c r="M24">
        <f>k_fold_output!K46</f>
        <v>123</v>
      </c>
      <c r="N24">
        <f>k_fold_output!L46</f>
        <v>55</v>
      </c>
      <c r="O24" s="3">
        <f>k_fold_output!M46</f>
        <v>65</v>
      </c>
      <c r="P24" s="44">
        <f>k_fold_output!N46</f>
        <v>0.83789956569671598</v>
      </c>
      <c r="Q24">
        <f>k_fold_output!O46</f>
        <v>0.27111110091209401</v>
      </c>
      <c r="R24">
        <f>k_fold_output!P46</f>
        <v>0.55454546213150002</v>
      </c>
      <c r="S24">
        <f>k_fold_output!Q46</f>
        <v>0.36417910456657399</v>
      </c>
      <c r="T24">
        <f>k_fold_output!R46</f>
        <v>0.83456659317016602</v>
      </c>
      <c r="U24">
        <f>k_fold_output!S46</f>
        <v>0.35174927115440302</v>
      </c>
      <c r="V24">
        <f>k_fold_output!T46</f>
        <v>1040</v>
      </c>
      <c r="W24">
        <f>k_fold_output!U46</f>
        <v>164</v>
      </c>
      <c r="X24">
        <f>k_fold_output!V46</f>
        <v>49</v>
      </c>
      <c r="Y24" s="3">
        <f>k_fold_output!W46</f>
        <v>61</v>
      </c>
      <c r="Z24">
        <f>luna16_k_fold_output!C46</f>
        <v>0.70764619112014771</v>
      </c>
      <c r="AA24">
        <f>luna16_k_fold_output!D46</f>
        <v>0.90445858240127563</v>
      </c>
      <c r="AB24">
        <f>luna16_k_fold_output!E46</f>
        <v>0.4409937858581543</v>
      </c>
      <c r="AC24">
        <f>luna16_k_fold_output!F46</f>
        <v>0.59290188550949097</v>
      </c>
      <c r="AD24">
        <f>luna16_k_fold_output!G46</f>
        <v>0.79089921712875366</v>
      </c>
      <c r="AE24">
        <f>luna16_k_fold_output!H46</f>
        <v>0.80758440494537354</v>
      </c>
      <c r="AF24">
        <f>luna16_k_fold_output!I46</f>
        <v>330</v>
      </c>
      <c r="AG24">
        <f>luna16_k_fold_output!J46</f>
        <v>15</v>
      </c>
      <c r="AH24">
        <f>luna16_k_fold_output!K46</f>
        <v>180</v>
      </c>
      <c r="AI24" s="3">
        <f>luna16_k_fold_output!L46</f>
        <v>142</v>
      </c>
    </row>
    <row r="25" spans="1:35" x14ac:dyDescent="0.25">
      <c r="A25" s="105"/>
      <c r="B25" s="105"/>
      <c r="C25" s="105"/>
      <c r="D25">
        <v>2</v>
      </c>
      <c r="E25" s="3">
        <f>k_fold_output!C47</f>
        <v>12</v>
      </c>
      <c r="F25">
        <f>k_fold_output!D47</f>
        <v>0.913008153438568</v>
      </c>
      <c r="G25">
        <f>k_fold_output!E47</f>
        <v>0.55737704038619995</v>
      </c>
      <c r="H25">
        <f>k_fold_output!F47</f>
        <v>0.29824560880661</v>
      </c>
      <c r="I25">
        <f>k_fold_output!G47</f>
        <v>0.38857144117355302</v>
      </c>
      <c r="J25">
        <f>k_fold_output!H47</f>
        <v>0.83639883995056097</v>
      </c>
      <c r="K25">
        <f>k_fold_output!I47</f>
        <v>0.43921542167663502</v>
      </c>
      <c r="L25">
        <f>k_fold_output!J47</f>
        <v>1089</v>
      </c>
      <c r="M25">
        <f>k_fold_output!K47</f>
        <v>27</v>
      </c>
      <c r="N25">
        <f>k_fold_output!L47</f>
        <v>80</v>
      </c>
      <c r="O25" s="3">
        <f>k_fold_output!M47</f>
        <v>34</v>
      </c>
      <c r="P25" s="44">
        <f>k_fold_output!N47</f>
        <v>0.90182650089263905</v>
      </c>
      <c r="Q25">
        <f>k_fold_output!O47</f>
        <v>0.34426230192184398</v>
      </c>
      <c r="R25">
        <f>k_fold_output!P47</f>
        <v>0.19090908765792799</v>
      </c>
      <c r="S25">
        <f>k_fold_output!Q47</f>
        <v>0.24561403691768599</v>
      </c>
      <c r="T25">
        <f>k_fold_output!R47</f>
        <v>0.79870134592056197</v>
      </c>
      <c r="U25">
        <f>k_fold_output!S47</f>
        <v>0.25840446352958601</v>
      </c>
      <c r="V25">
        <f>k_fold_output!T47</f>
        <v>1164</v>
      </c>
      <c r="W25">
        <f>k_fold_output!U47</f>
        <v>40</v>
      </c>
      <c r="X25">
        <f>k_fold_output!V47</f>
        <v>89</v>
      </c>
      <c r="Y25" s="3">
        <f>k_fold_output!W47</f>
        <v>21</v>
      </c>
      <c r="Z25">
        <f>luna16_k_fold_output!C47</f>
        <v>0.56671667098999023</v>
      </c>
      <c r="AA25">
        <f>luna16_k_fold_output!D47</f>
        <v>0.90243899822235107</v>
      </c>
      <c r="AB25">
        <f>luna16_k_fold_output!E47</f>
        <v>0.11490683257579803</v>
      </c>
      <c r="AC25">
        <f>luna16_k_fold_output!F47</f>
        <v>0.20385675132274628</v>
      </c>
      <c r="AD25">
        <f>luna16_k_fold_output!G47</f>
        <v>0.77810782194137573</v>
      </c>
      <c r="AE25">
        <f>luna16_k_fold_output!H47</f>
        <v>0.76262819766998291</v>
      </c>
      <c r="AF25">
        <f>luna16_k_fold_output!I47</f>
        <v>341</v>
      </c>
      <c r="AG25">
        <f>luna16_k_fold_output!J47</f>
        <v>4</v>
      </c>
      <c r="AH25">
        <f>luna16_k_fold_output!K47</f>
        <v>285</v>
      </c>
      <c r="AI25" s="3">
        <f>luna16_k_fold_output!L47</f>
        <v>37</v>
      </c>
    </row>
    <row r="26" spans="1:35" x14ac:dyDescent="0.25">
      <c r="A26" s="105"/>
      <c r="B26" s="105"/>
      <c r="C26" s="105"/>
      <c r="D26">
        <v>3</v>
      </c>
      <c r="E26" s="3">
        <f>k_fold_output!C48</f>
        <v>24</v>
      </c>
      <c r="F26">
        <f>k_fold_output!D48</f>
        <v>0.86661344766616799</v>
      </c>
      <c r="G26">
        <f>k_fold_output!E48</f>
        <v>0.33529412746429399</v>
      </c>
      <c r="H26">
        <f>k_fold_output!F48</f>
        <v>0.51351350545883101</v>
      </c>
      <c r="I26">
        <f>k_fold_output!G48</f>
        <v>0.40569394826888999</v>
      </c>
      <c r="J26">
        <f>k_fold_output!H48</f>
        <v>0.84645992517471302</v>
      </c>
      <c r="K26">
        <f>k_fold_output!I48</f>
        <v>0.36728855967521601</v>
      </c>
      <c r="L26">
        <f>k_fold_output!J48</f>
        <v>1028</v>
      </c>
      <c r="M26">
        <f>k_fold_output!K48</f>
        <v>113</v>
      </c>
      <c r="N26">
        <f>k_fold_output!L48</f>
        <v>54</v>
      </c>
      <c r="O26" s="3">
        <f>k_fold_output!M48</f>
        <v>57</v>
      </c>
      <c r="P26" s="44">
        <f>k_fold_output!N48</f>
        <v>0.85007607936859098</v>
      </c>
      <c r="Q26">
        <f>k_fold_output!O48</f>
        <v>0.23952095210552199</v>
      </c>
      <c r="R26">
        <f>k_fold_output!P48</f>
        <v>0.363636374473571</v>
      </c>
      <c r="S26">
        <f>k_fold_output!Q48</f>
        <v>0.288808673620224</v>
      </c>
      <c r="T26">
        <f>k_fold_output!R48</f>
        <v>0.79241162538528398</v>
      </c>
      <c r="U26">
        <f>k_fold_output!S48</f>
        <v>0.248978301882743</v>
      </c>
      <c r="V26">
        <f>k_fold_output!T48</f>
        <v>1077</v>
      </c>
      <c r="W26">
        <f>k_fold_output!U48</f>
        <v>127</v>
      </c>
      <c r="X26">
        <f>k_fold_output!V48</f>
        <v>70</v>
      </c>
      <c r="Y26" s="3">
        <f>k_fold_output!W48</f>
        <v>40</v>
      </c>
      <c r="Z26">
        <f>luna16_k_fold_output!C48</f>
        <v>0.63118439912796021</v>
      </c>
      <c r="AA26">
        <f>luna16_k_fold_output!D48</f>
        <v>0.83333331346511841</v>
      </c>
      <c r="AB26">
        <f>luna16_k_fold_output!E48</f>
        <v>0.29503107070922852</v>
      </c>
      <c r="AC26">
        <f>luna16_k_fold_output!F48</f>
        <v>0.43577980995178223</v>
      </c>
      <c r="AD26">
        <f>luna16_k_fold_output!G48</f>
        <v>0.75454133749008179</v>
      </c>
      <c r="AE26">
        <f>luna16_k_fold_output!H48</f>
        <v>0.75094127655029297</v>
      </c>
      <c r="AF26">
        <f>luna16_k_fold_output!I48</f>
        <v>326</v>
      </c>
      <c r="AG26">
        <f>luna16_k_fold_output!J48</f>
        <v>19</v>
      </c>
      <c r="AH26">
        <f>luna16_k_fold_output!K48</f>
        <v>227</v>
      </c>
      <c r="AI26" s="3">
        <f>luna16_k_fold_output!L48</f>
        <v>95</v>
      </c>
    </row>
    <row r="27" spans="1:35" x14ac:dyDescent="0.25">
      <c r="A27" s="107"/>
      <c r="B27" s="107"/>
      <c r="C27" s="107"/>
      <c r="D27" s="7">
        <v>4</v>
      </c>
      <c r="E27" s="8">
        <f>k_fold_output!C49</f>
        <v>24</v>
      </c>
      <c r="F27" s="7">
        <f>k_fold_output!D49</f>
        <v>0.91457283496856601</v>
      </c>
      <c r="G27" s="7">
        <f>k_fold_output!E49</f>
        <v>0.49137932062148998</v>
      </c>
      <c r="H27" s="7">
        <f>k_fold_output!F49</f>
        <v>0.56999999284744196</v>
      </c>
      <c r="I27" s="7">
        <f>k_fold_output!G49</f>
        <v>0.52777779102325395</v>
      </c>
      <c r="J27" s="7">
        <f>k_fold_output!H49</f>
        <v>0.89623397588729803</v>
      </c>
      <c r="K27" s="7">
        <f>k_fold_output!I49</f>
        <v>0.50428050756454401</v>
      </c>
      <c r="L27" s="7">
        <f>k_fold_output!J49</f>
        <v>1035</v>
      </c>
      <c r="M27" s="7">
        <f>k_fold_output!K49</f>
        <v>59</v>
      </c>
      <c r="N27" s="7">
        <f>k_fold_output!L49</f>
        <v>43</v>
      </c>
      <c r="O27" s="8">
        <f>k_fold_output!M49</f>
        <v>57</v>
      </c>
      <c r="P27" s="32">
        <f>k_fold_output!N49</f>
        <v>0.86605781316757202</v>
      </c>
      <c r="Q27" s="7">
        <f>k_fold_output!O49</f>
        <v>0.28000000119209201</v>
      </c>
      <c r="R27" s="7">
        <f>k_fold_output!P49</f>
        <v>0.38181817531585599</v>
      </c>
      <c r="S27" s="7">
        <f>k_fold_output!Q49</f>
        <v>0.32307693362236001</v>
      </c>
      <c r="T27" s="7">
        <f>k_fold_output!R49</f>
        <v>0.82004678249359098</v>
      </c>
      <c r="U27" s="7">
        <f>k_fold_output!S49</f>
        <v>0.25700038671493503</v>
      </c>
      <c r="V27" s="7">
        <f>k_fold_output!T49</f>
        <v>1096</v>
      </c>
      <c r="W27" s="7">
        <f>k_fold_output!U49</f>
        <v>108</v>
      </c>
      <c r="X27" s="7">
        <f>k_fold_output!V49</f>
        <v>68</v>
      </c>
      <c r="Y27" s="8">
        <f>k_fold_output!W49</f>
        <v>42</v>
      </c>
      <c r="Z27" s="7">
        <f>luna16_k_fold_output!C49</f>
        <v>0.6056971549987793</v>
      </c>
      <c r="AA27" s="7">
        <f>luna16_k_fold_output!D49</f>
        <v>0.81052631139755249</v>
      </c>
      <c r="AB27" s="7">
        <f>luna16_k_fold_output!E49</f>
        <v>0.23913043737411499</v>
      </c>
      <c r="AC27" s="7">
        <f>luna16_k_fold_output!F49</f>
        <v>0.36930456757545471</v>
      </c>
      <c r="AD27" s="7">
        <f>luna16_k_fold_output!G49</f>
        <v>0.75329005718231201</v>
      </c>
      <c r="AE27" s="7">
        <f>luna16_k_fold_output!H49</f>
        <v>0.74279379844665527</v>
      </c>
      <c r="AF27" s="7">
        <f>luna16_k_fold_output!I49</f>
        <v>327</v>
      </c>
      <c r="AG27" s="7">
        <f>luna16_k_fold_output!J49</f>
        <v>18</v>
      </c>
      <c r="AH27" s="7">
        <f>luna16_k_fold_output!K49</f>
        <v>245</v>
      </c>
      <c r="AI27" s="8">
        <f>luna16_k_fold_output!L49</f>
        <v>77</v>
      </c>
    </row>
    <row r="28" spans="1:35" x14ac:dyDescent="0.25">
      <c r="A28" s="103" t="s">
        <v>19</v>
      </c>
      <c r="B28" s="105" t="s">
        <v>22</v>
      </c>
      <c r="C28" s="105">
        <v>18</v>
      </c>
      <c r="D28">
        <v>1</v>
      </c>
      <c r="E28" s="3">
        <f>k_fold_output!C14</f>
        <v>18</v>
      </c>
      <c r="F28">
        <f>k_fold_output!D14</f>
        <v>0.85421997308731001</v>
      </c>
      <c r="G28">
        <f>k_fold_output!E14</f>
        <v>0.350877195596694</v>
      </c>
      <c r="H28">
        <f>k_fold_output!F14</f>
        <v>0.5</v>
      </c>
      <c r="I28">
        <f>k_fold_output!G14</f>
        <v>0.41237112879753102</v>
      </c>
      <c r="J28">
        <f>k_fold_output!H14</f>
        <v>0.82613962888717596</v>
      </c>
      <c r="K28">
        <f>k_fold_output!I14</f>
        <v>0.37366023659706099</v>
      </c>
      <c r="L28">
        <f>k_fold_output!J14</f>
        <v>942</v>
      </c>
      <c r="M28">
        <f>k_fold_output!K14</f>
        <v>111</v>
      </c>
      <c r="N28">
        <f>k_fold_output!L14</f>
        <v>60</v>
      </c>
      <c r="O28" s="3">
        <f>k_fold_output!M14</f>
        <v>60</v>
      </c>
      <c r="P28" s="67">
        <f>k_fold_output!N14</f>
        <v>0.87975645065307595</v>
      </c>
      <c r="Q28" s="9">
        <f>k_fold_output!O14</f>
        <v>0.346153855323791</v>
      </c>
      <c r="R28" s="9">
        <f>k_fold_output!P14</f>
        <v>0.49090909957885698</v>
      </c>
      <c r="S28" s="9">
        <f>k_fold_output!Q14</f>
        <v>0.40601503849029502</v>
      </c>
      <c r="T28" s="9">
        <f>k_fold_output!R14</f>
        <v>0.83245998620986905</v>
      </c>
      <c r="U28" s="9">
        <f>k_fold_output!S14</f>
        <v>0.38715964555740301</v>
      </c>
      <c r="V28" s="9">
        <f>k_fold_output!T14</f>
        <v>1102</v>
      </c>
      <c r="W28" s="9">
        <f>k_fold_output!U14</f>
        <v>102</v>
      </c>
      <c r="X28" s="9">
        <f>k_fold_output!V14</f>
        <v>56</v>
      </c>
      <c r="Y28" s="10">
        <f>k_fold_output!W14</f>
        <v>54</v>
      </c>
      <c r="Z28" s="9">
        <f>luna16_k_fold_output!C14</f>
        <v>0.6821589469909668</v>
      </c>
      <c r="AA28" s="9">
        <f>luna16_k_fold_output!D14</f>
        <v>0.94354838132858276</v>
      </c>
      <c r="AB28" s="9">
        <f>luna16_k_fold_output!E14</f>
        <v>0.36335402727127075</v>
      </c>
      <c r="AC28" s="9">
        <f>luna16_k_fold_output!F14</f>
        <v>0.52466368675231934</v>
      </c>
      <c r="AD28" s="9">
        <f>luna16_k_fold_output!G14</f>
        <v>0.83026373386383057</v>
      </c>
      <c r="AE28" s="9">
        <f>luna16_k_fold_output!H14</f>
        <v>0.8405226469039917</v>
      </c>
      <c r="AF28" s="9">
        <f>luna16_k_fold_output!I14</f>
        <v>338</v>
      </c>
      <c r="AG28" s="9">
        <f>luna16_k_fold_output!J14</f>
        <v>7</v>
      </c>
      <c r="AH28" s="9">
        <f>luna16_k_fold_output!K14</f>
        <v>205</v>
      </c>
      <c r="AI28" s="10">
        <f>luna16_k_fold_output!L14</f>
        <v>117</v>
      </c>
    </row>
    <row r="29" spans="1:35" x14ac:dyDescent="0.25">
      <c r="A29" s="105"/>
      <c r="B29" s="105"/>
      <c r="C29" s="105"/>
      <c r="D29">
        <v>2</v>
      </c>
      <c r="E29" s="3">
        <f>k_fold_output!C15</f>
        <v>4</v>
      </c>
      <c r="F29">
        <f>k_fold_output!D15</f>
        <v>0.88455283641815097</v>
      </c>
      <c r="G29">
        <f>k_fold_output!E15</f>
        <v>0.38709676265716497</v>
      </c>
      <c r="H29">
        <f>k_fold_output!F15</f>
        <v>0.42105263471603299</v>
      </c>
      <c r="I29">
        <f>k_fold_output!G15</f>
        <v>0.40336135029792702</v>
      </c>
      <c r="J29">
        <f>k_fold_output!H15</f>
        <v>0.85889452695846502</v>
      </c>
      <c r="K29">
        <f>k_fold_output!I15</f>
        <v>0.35103896260261502</v>
      </c>
      <c r="L29">
        <f>k_fold_output!J15</f>
        <v>1040</v>
      </c>
      <c r="M29">
        <f>k_fold_output!K15</f>
        <v>76</v>
      </c>
      <c r="N29">
        <f>k_fold_output!L15</f>
        <v>66</v>
      </c>
      <c r="O29" s="3">
        <f>k_fold_output!M15</f>
        <v>48</v>
      </c>
      <c r="P29" s="44">
        <f>k_fold_output!N15</f>
        <v>0.88203954696655196</v>
      </c>
      <c r="Q29">
        <f>k_fold_output!O15</f>
        <v>0.33082705736160201</v>
      </c>
      <c r="R29">
        <f>k_fold_output!P15</f>
        <v>0.40000000596046398</v>
      </c>
      <c r="S29">
        <f>k_fold_output!Q15</f>
        <v>0.36213991045951799</v>
      </c>
      <c r="T29">
        <f>k_fold_output!R15</f>
        <v>0.813964784145355</v>
      </c>
      <c r="U29">
        <f>k_fold_output!S15</f>
        <v>0.27334547042846602</v>
      </c>
      <c r="V29">
        <f>k_fold_output!T15</f>
        <v>1115</v>
      </c>
      <c r="W29">
        <f>k_fold_output!U15</f>
        <v>89</v>
      </c>
      <c r="X29">
        <f>k_fold_output!V15</f>
        <v>66</v>
      </c>
      <c r="Y29" s="3">
        <f>k_fold_output!W15</f>
        <v>44</v>
      </c>
      <c r="Z29">
        <f>luna16_k_fold_output!C15</f>
        <v>0.70464766025543213</v>
      </c>
      <c r="AA29">
        <f>luna16_k_fold_output!D15</f>
        <v>0.95620435476303101</v>
      </c>
      <c r="AB29">
        <f>luna16_k_fold_output!E15</f>
        <v>0.40683230757713318</v>
      </c>
      <c r="AC29">
        <f>luna16_k_fold_output!F15</f>
        <v>0.57080608606338501</v>
      </c>
      <c r="AD29">
        <f>luna16_k_fold_output!G15</f>
        <v>0.83759111166000366</v>
      </c>
      <c r="AE29">
        <f>luna16_k_fold_output!H15</f>
        <v>0.86107492446899414</v>
      </c>
      <c r="AF29">
        <f>luna16_k_fold_output!I15</f>
        <v>339</v>
      </c>
      <c r="AG29">
        <f>luna16_k_fold_output!J15</f>
        <v>6</v>
      </c>
      <c r="AH29">
        <f>luna16_k_fold_output!K15</f>
        <v>191</v>
      </c>
      <c r="AI29" s="3">
        <f>luna16_k_fold_output!L15</f>
        <v>131</v>
      </c>
    </row>
    <row r="30" spans="1:35" x14ac:dyDescent="0.25">
      <c r="A30" s="105"/>
      <c r="B30" s="105"/>
      <c r="C30" s="105"/>
      <c r="D30">
        <v>3</v>
      </c>
      <c r="E30" s="3">
        <f>k_fold_output!C16</f>
        <v>24</v>
      </c>
      <c r="F30">
        <f>k_fold_output!D16</f>
        <v>0.890575051307678</v>
      </c>
      <c r="G30">
        <f>k_fold_output!E16</f>
        <v>0.37962964177131597</v>
      </c>
      <c r="H30">
        <f>k_fold_output!F16</f>
        <v>0.36936935782432501</v>
      </c>
      <c r="I30">
        <f>k_fold_output!G16</f>
        <v>0.37442922592163003</v>
      </c>
      <c r="J30">
        <f>k_fold_output!H16</f>
        <v>0.846088826656341</v>
      </c>
      <c r="K30">
        <f>k_fold_output!I16</f>
        <v>0.34211677312850902</v>
      </c>
      <c r="L30">
        <f>k_fold_output!J16</f>
        <v>1074</v>
      </c>
      <c r="M30">
        <f>k_fold_output!K16</f>
        <v>67</v>
      </c>
      <c r="N30">
        <f>k_fold_output!L16</f>
        <v>70</v>
      </c>
      <c r="O30" s="3">
        <f>k_fold_output!M16</f>
        <v>41</v>
      </c>
      <c r="P30" s="44">
        <f>k_fold_output!N16</f>
        <v>0.88432270288467396</v>
      </c>
      <c r="Q30">
        <f>k_fold_output!O16</f>
        <v>0.322033911943435</v>
      </c>
      <c r="R30">
        <f>k_fold_output!P16</f>
        <v>0.34545454382896401</v>
      </c>
      <c r="S30">
        <f>k_fold_output!Q16</f>
        <v>0.33333334326744002</v>
      </c>
      <c r="T30">
        <f>k_fold_output!R16</f>
        <v>0.82397317886352495</v>
      </c>
      <c r="U30">
        <f>k_fold_output!S16</f>
        <v>0.33387562632560702</v>
      </c>
      <c r="V30">
        <f>k_fold_output!T16</f>
        <v>1124</v>
      </c>
      <c r="W30">
        <f>k_fold_output!U16</f>
        <v>80</v>
      </c>
      <c r="X30">
        <f>k_fold_output!V16</f>
        <v>72</v>
      </c>
      <c r="Y30" s="3">
        <f>k_fold_output!W16</f>
        <v>38</v>
      </c>
      <c r="Z30">
        <f>luna16_k_fold_output!C16</f>
        <v>0.66116940975189209</v>
      </c>
      <c r="AA30">
        <f>luna16_k_fold_output!D16</f>
        <v>0.91379308700561523</v>
      </c>
      <c r="AB30">
        <f>luna16_k_fold_output!E16</f>
        <v>0.32919254899024963</v>
      </c>
      <c r="AC30">
        <f>luna16_k_fold_output!F16</f>
        <v>0.48401826620101929</v>
      </c>
      <c r="AD30">
        <f>luna16_k_fold_output!G16</f>
        <v>0.81490683555603027</v>
      </c>
      <c r="AE30">
        <f>luna16_k_fold_output!H16</f>
        <v>0.8039366602897644</v>
      </c>
      <c r="AF30">
        <f>luna16_k_fold_output!I16</f>
        <v>335</v>
      </c>
      <c r="AG30">
        <f>luna16_k_fold_output!J16</f>
        <v>10</v>
      </c>
      <c r="AH30">
        <f>luna16_k_fold_output!K16</f>
        <v>216</v>
      </c>
      <c r="AI30" s="3">
        <f>luna16_k_fold_output!L16</f>
        <v>106</v>
      </c>
    </row>
    <row r="31" spans="1:35" x14ac:dyDescent="0.25">
      <c r="A31" s="105"/>
      <c r="B31" s="105"/>
      <c r="C31" s="105"/>
      <c r="D31">
        <v>4</v>
      </c>
      <c r="E31" s="3">
        <f>k_fold_output!C17</f>
        <v>29</v>
      </c>
      <c r="F31">
        <f>k_fold_output!D17</f>
        <v>0.90368509292602495</v>
      </c>
      <c r="G31">
        <f>k_fold_output!E17</f>
        <v>0.43243244290351801</v>
      </c>
      <c r="H31">
        <f>k_fold_output!F17</f>
        <v>0.479999989271163</v>
      </c>
      <c r="I31">
        <f>k_fold_output!G17</f>
        <v>0.45497629046440102</v>
      </c>
      <c r="J31">
        <f>k_fold_output!H17</f>
        <v>0.86467093229293801</v>
      </c>
      <c r="K31">
        <f>k_fold_output!I17</f>
        <v>0.495308518409729</v>
      </c>
      <c r="L31">
        <f>k_fold_output!J17</f>
        <v>1031</v>
      </c>
      <c r="M31">
        <f>k_fold_output!K17</f>
        <v>63</v>
      </c>
      <c r="N31">
        <f>k_fold_output!L17</f>
        <v>52</v>
      </c>
      <c r="O31" s="3">
        <f>k_fold_output!M17</f>
        <v>48</v>
      </c>
      <c r="P31" s="44">
        <f>k_fold_output!N17</f>
        <v>0.88051748275756803</v>
      </c>
      <c r="Q31">
        <f>k_fold_output!O17</f>
        <v>0.33333334326744002</v>
      </c>
      <c r="R31">
        <f>k_fold_output!P17</f>
        <v>0.42727273702621399</v>
      </c>
      <c r="S31">
        <f>k_fold_output!Q17</f>
        <v>0.374502003192901</v>
      </c>
      <c r="T31">
        <f>k_fold_output!R17</f>
        <v>0.812730312347412</v>
      </c>
      <c r="U31">
        <f>k_fold_output!S17</f>
        <v>0.34888857603073098</v>
      </c>
      <c r="V31">
        <f>k_fold_output!T17</f>
        <v>1110</v>
      </c>
      <c r="W31">
        <f>k_fold_output!U17</f>
        <v>94</v>
      </c>
      <c r="X31">
        <f>k_fold_output!V17</f>
        <v>63</v>
      </c>
      <c r="Y31" s="3">
        <f>k_fold_output!W17</f>
        <v>47</v>
      </c>
      <c r="Z31">
        <f>luna16_k_fold_output!C17</f>
        <v>0.66416794061660767</v>
      </c>
      <c r="AA31">
        <f>luna16_k_fold_output!D17</f>
        <v>0.9375</v>
      </c>
      <c r="AB31">
        <f>luna16_k_fold_output!E17</f>
        <v>0.32608696818351746</v>
      </c>
      <c r="AC31">
        <f>luna16_k_fold_output!F17</f>
        <v>0.48387095332145691</v>
      </c>
      <c r="AD31">
        <f>luna16_k_fold_output!G17</f>
        <v>0.82868844270706177</v>
      </c>
      <c r="AE31">
        <f>luna16_k_fold_output!H17</f>
        <v>0.83844238519668579</v>
      </c>
      <c r="AF31">
        <f>luna16_k_fold_output!I17</f>
        <v>338</v>
      </c>
      <c r="AG31">
        <f>luna16_k_fold_output!J17</f>
        <v>7</v>
      </c>
      <c r="AH31">
        <f>luna16_k_fold_output!K17</f>
        <v>217</v>
      </c>
      <c r="AI31" s="3">
        <f>luna16_k_fold_output!L17</f>
        <v>105</v>
      </c>
    </row>
    <row r="32" spans="1:35" x14ac:dyDescent="0.25">
      <c r="A32" s="105"/>
      <c r="B32" s="105"/>
      <c r="C32" s="105">
        <v>34</v>
      </c>
      <c r="D32">
        <v>1</v>
      </c>
      <c r="E32" s="3">
        <f>k_fold_output!C22</f>
        <v>24</v>
      </c>
      <c r="F32">
        <f>k_fold_output!D22</f>
        <v>0.85592496395110995</v>
      </c>
      <c r="G32">
        <f>k_fold_output!E22</f>
        <v>0.361581921577453</v>
      </c>
      <c r="H32">
        <f>k_fold_output!F22</f>
        <v>0.53333336114883401</v>
      </c>
      <c r="I32">
        <f>k_fold_output!G22</f>
        <v>0.43097642064094499</v>
      </c>
      <c r="J32">
        <f>k_fold_output!H22</f>
        <v>0.84165871143340998</v>
      </c>
      <c r="K32">
        <f>k_fold_output!I22</f>
        <v>0.37042039632797202</v>
      </c>
      <c r="L32">
        <f>k_fold_output!J22</f>
        <v>940</v>
      </c>
      <c r="M32">
        <f>k_fold_output!K22</f>
        <v>113</v>
      </c>
      <c r="N32">
        <f>k_fold_output!L22</f>
        <v>56</v>
      </c>
      <c r="O32" s="3">
        <f>k_fold_output!M22</f>
        <v>64</v>
      </c>
      <c r="P32" s="44">
        <f>k_fold_output!N22</f>
        <v>0.87290716171264604</v>
      </c>
      <c r="Q32">
        <f>k_fold_output!O22</f>
        <v>0.35078534483909601</v>
      </c>
      <c r="R32">
        <f>k_fold_output!P22</f>
        <v>0.60909092426300004</v>
      </c>
      <c r="S32">
        <f>k_fold_output!Q22</f>
        <v>0.44518271088600098</v>
      </c>
      <c r="T32">
        <f>k_fold_output!R22</f>
        <v>0.83746600151062001</v>
      </c>
      <c r="U32">
        <f>k_fold_output!S22</f>
        <v>0.35077840089797901</v>
      </c>
      <c r="V32">
        <f>k_fold_output!T22</f>
        <v>1080</v>
      </c>
      <c r="W32">
        <f>k_fold_output!U22</f>
        <v>124</v>
      </c>
      <c r="X32">
        <f>k_fold_output!V22</f>
        <v>43</v>
      </c>
      <c r="Y32" s="3">
        <f>k_fold_output!W22</f>
        <v>67</v>
      </c>
      <c r="Z32">
        <f>luna16_k_fold_output!C18</f>
        <v>0.69115442037582397</v>
      </c>
      <c r="AA32">
        <f>luna16_k_fold_output!D18</f>
        <v>0.92028987407684326</v>
      </c>
      <c r="AB32">
        <f>luna16_k_fold_output!E18</f>
        <v>0.39440992474555969</v>
      </c>
      <c r="AC32">
        <f>luna16_k_fold_output!F18</f>
        <v>0.552173912525177</v>
      </c>
      <c r="AD32">
        <f>luna16_k_fold_output!G18</f>
        <v>0.82170307636260986</v>
      </c>
      <c r="AE32">
        <f>luna16_k_fold_output!H18</f>
        <v>0.84582829475402832</v>
      </c>
      <c r="AF32">
        <f>luna16_k_fold_output!I18</f>
        <v>334</v>
      </c>
      <c r="AG32">
        <f>luna16_k_fold_output!J18</f>
        <v>11</v>
      </c>
      <c r="AH32">
        <f>luna16_k_fold_output!K18</f>
        <v>195</v>
      </c>
      <c r="AI32" s="3">
        <f>luna16_k_fold_output!L18</f>
        <v>127</v>
      </c>
    </row>
    <row r="33" spans="1:35" x14ac:dyDescent="0.25">
      <c r="A33" s="105"/>
      <c r="B33" s="105"/>
      <c r="C33" s="105"/>
      <c r="D33">
        <v>2</v>
      </c>
      <c r="E33" s="3">
        <f>k_fold_output!C23</f>
        <v>31</v>
      </c>
      <c r="F33">
        <f>k_fold_output!D23</f>
        <v>0.88617885112762396</v>
      </c>
      <c r="G33">
        <f>k_fold_output!E23</f>
        <v>0.40972220897674499</v>
      </c>
      <c r="H33">
        <f>k_fold_output!F23</f>
        <v>0.51754385232925404</v>
      </c>
      <c r="I33">
        <f>k_fold_output!G23</f>
        <v>0.45736435055732699</v>
      </c>
      <c r="J33">
        <f>k_fold_output!H23</f>
        <v>0.86739140748977595</v>
      </c>
      <c r="K33">
        <f>k_fold_output!I23</f>
        <v>0.45576864480972201</v>
      </c>
      <c r="L33">
        <f>k_fold_output!J23</f>
        <v>1031</v>
      </c>
      <c r="M33">
        <f>k_fold_output!K23</f>
        <v>85</v>
      </c>
      <c r="N33">
        <f>k_fold_output!L23</f>
        <v>55</v>
      </c>
      <c r="O33" s="3">
        <f>k_fold_output!M23</f>
        <v>59</v>
      </c>
      <c r="P33" s="44">
        <f>k_fold_output!N23</f>
        <v>0.86529678106307895</v>
      </c>
      <c r="Q33">
        <f>k_fold_output!O23</f>
        <v>0.28662419319152799</v>
      </c>
      <c r="R33">
        <f>k_fold_output!P23</f>
        <v>0.409090906381607</v>
      </c>
      <c r="S33">
        <f>k_fold_output!Q23</f>
        <v>0.33707866072654702</v>
      </c>
      <c r="T33">
        <f>k_fold_output!R23</f>
        <v>0.80572330951690596</v>
      </c>
      <c r="U33">
        <f>k_fold_output!S23</f>
        <v>0.30210384726524298</v>
      </c>
      <c r="V33">
        <f>k_fold_output!T23</f>
        <v>1092</v>
      </c>
      <c r="W33">
        <f>k_fold_output!U23</f>
        <v>112</v>
      </c>
      <c r="X33">
        <f>k_fold_output!V23</f>
        <v>65</v>
      </c>
      <c r="Y33" s="3">
        <f>k_fold_output!W23</f>
        <v>45</v>
      </c>
      <c r="Z33">
        <f>luna16_k_fold_output!C19</f>
        <v>0.686656653881073</v>
      </c>
      <c r="AA33">
        <f>luna16_k_fold_output!D19</f>
        <v>0.94488191604614258</v>
      </c>
      <c r="AB33">
        <f>luna16_k_fold_output!E19</f>
        <v>0.37267079949378967</v>
      </c>
      <c r="AC33">
        <f>luna16_k_fold_output!F19</f>
        <v>0.53452116250991821</v>
      </c>
      <c r="AD33">
        <f>luna16_k_fold_output!G19</f>
        <v>0.84011161327362061</v>
      </c>
      <c r="AE33">
        <f>luna16_k_fold_output!H19</f>
        <v>0.85692673921585083</v>
      </c>
      <c r="AF33">
        <f>luna16_k_fold_output!I19</f>
        <v>338</v>
      </c>
      <c r="AG33">
        <f>luna16_k_fold_output!J19</f>
        <v>7</v>
      </c>
      <c r="AH33">
        <f>luna16_k_fold_output!K19</f>
        <v>202</v>
      </c>
      <c r="AI33" s="3">
        <f>luna16_k_fold_output!L19</f>
        <v>120</v>
      </c>
    </row>
    <row r="34" spans="1:35" x14ac:dyDescent="0.25">
      <c r="A34" s="105"/>
      <c r="B34" s="105"/>
      <c r="C34" s="105"/>
      <c r="D34">
        <v>3</v>
      </c>
      <c r="E34" s="3">
        <f>k_fold_output!C24</f>
        <v>45</v>
      </c>
      <c r="F34">
        <f>k_fold_output!D24</f>
        <v>0.90974438190460205</v>
      </c>
      <c r="G34">
        <f>k_fold_output!E24</f>
        <v>0.49056604504585199</v>
      </c>
      <c r="H34">
        <f>k_fold_output!F24</f>
        <v>0.468468457460403</v>
      </c>
      <c r="I34">
        <f>k_fold_output!G24</f>
        <v>0.47926267981529203</v>
      </c>
      <c r="J34">
        <f>k_fold_output!H24</f>
        <v>0.85060513019561701</v>
      </c>
      <c r="K34">
        <f>k_fold_output!I24</f>
        <v>0.44406235218048001</v>
      </c>
      <c r="L34">
        <f>k_fold_output!J24</f>
        <v>1087</v>
      </c>
      <c r="M34">
        <f>k_fold_output!K24</f>
        <v>54</v>
      </c>
      <c r="N34">
        <f>k_fold_output!L24</f>
        <v>59</v>
      </c>
      <c r="O34" s="3">
        <f>k_fold_output!M24</f>
        <v>52</v>
      </c>
      <c r="P34" s="44">
        <f>k_fold_output!N24</f>
        <v>0.89878237247466997</v>
      </c>
      <c r="Q34">
        <f>k_fold_output!O24</f>
        <v>0.39252337813377303</v>
      </c>
      <c r="R34">
        <f>k_fold_output!P24</f>
        <v>0.38181817531585599</v>
      </c>
      <c r="S34">
        <f>k_fold_output!Q24</f>
        <v>0.38709676265716497</v>
      </c>
      <c r="T34">
        <f>k_fold_output!R24</f>
        <v>0.82949256896972601</v>
      </c>
      <c r="U34">
        <f>k_fold_output!S24</f>
        <v>0.378551036119461</v>
      </c>
      <c r="V34">
        <f>k_fold_output!T24</f>
        <v>1139</v>
      </c>
      <c r="W34">
        <f>k_fold_output!U24</f>
        <v>65</v>
      </c>
      <c r="X34">
        <f>k_fold_output!V24</f>
        <v>68</v>
      </c>
      <c r="Y34" s="3">
        <f>k_fold_output!W24</f>
        <v>42</v>
      </c>
      <c r="Z34">
        <f>luna16_k_fold_output!C20</f>
        <v>0.6056971549987793</v>
      </c>
      <c r="AA34">
        <f>luna16_k_fold_output!D20</f>
        <v>0.94029849767684937</v>
      </c>
      <c r="AB34">
        <f>luna16_k_fold_output!E20</f>
        <v>0.19565217196941376</v>
      </c>
      <c r="AC34">
        <f>luna16_k_fold_output!F20</f>
        <v>0.32390746474266052</v>
      </c>
      <c r="AD34">
        <f>luna16_k_fold_output!G20</f>
        <v>0.79760563373565674</v>
      </c>
      <c r="AE34">
        <f>luna16_k_fold_output!H20</f>
        <v>0.80536586046218872</v>
      </c>
      <c r="AF34">
        <f>luna16_k_fold_output!I20</f>
        <v>341</v>
      </c>
      <c r="AG34">
        <f>luna16_k_fold_output!J20</f>
        <v>4</v>
      </c>
      <c r="AH34">
        <f>luna16_k_fold_output!K20</f>
        <v>259</v>
      </c>
      <c r="AI34" s="3">
        <f>luna16_k_fold_output!L20</f>
        <v>63</v>
      </c>
    </row>
    <row r="35" spans="1:35" x14ac:dyDescent="0.25">
      <c r="A35" s="105"/>
      <c r="B35" s="105"/>
      <c r="C35" s="105"/>
      <c r="D35">
        <v>4</v>
      </c>
      <c r="E35" s="3">
        <f>k_fold_output!C25</f>
        <v>20</v>
      </c>
      <c r="F35">
        <f>k_fold_output!D25</f>
        <v>0.91038525104522705</v>
      </c>
      <c r="G35">
        <f>k_fold_output!E25</f>
        <v>0.46464645862579301</v>
      </c>
      <c r="H35">
        <f>k_fold_output!F25</f>
        <v>0.46000000834464999</v>
      </c>
      <c r="I35">
        <f>k_fold_output!G25</f>
        <v>0.46231156587600702</v>
      </c>
      <c r="J35">
        <f>k_fold_output!H25</f>
        <v>0.86663621664047197</v>
      </c>
      <c r="K35">
        <f>k_fold_output!I25</f>
        <v>0.51087421178817705</v>
      </c>
      <c r="L35">
        <f>k_fold_output!J25</f>
        <v>1041</v>
      </c>
      <c r="M35">
        <f>k_fold_output!K25</f>
        <v>53</v>
      </c>
      <c r="N35">
        <f>k_fold_output!L25</f>
        <v>54</v>
      </c>
      <c r="O35" s="3">
        <f>k_fold_output!M25</f>
        <v>46</v>
      </c>
      <c r="P35" s="44">
        <f>k_fold_output!N25</f>
        <v>0.90182650089263905</v>
      </c>
      <c r="Q35">
        <f>k_fold_output!O25</f>
        <v>0.40000000596046398</v>
      </c>
      <c r="R35">
        <f>k_fold_output!P25</f>
        <v>0.34545454382896401</v>
      </c>
      <c r="S35">
        <f>k_fold_output!Q25</f>
        <v>0.370731711387634</v>
      </c>
      <c r="T35">
        <f>k_fold_output!R25</f>
        <v>0.83450627326965299</v>
      </c>
      <c r="U35">
        <f>k_fold_output!S25</f>
        <v>0.36765474081039401</v>
      </c>
      <c r="V35">
        <f>k_fold_output!T25</f>
        <v>1147</v>
      </c>
      <c r="W35">
        <f>k_fold_output!U25</f>
        <v>57</v>
      </c>
      <c r="X35">
        <f>k_fold_output!V25</f>
        <v>72</v>
      </c>
      <c r="Y35" s="3">
        <f>k_fold_output!W25</f>
        <v>38</v>
      </c>
      <c r="Z35">
        <f>luna16_k_fold_output!C21</f>
        <v>0.73913043737411499</v>
      </c>
      <c r="AA35">
        <f>luna16_k_fold_output!D21</f>
        <v>0.95121949911117554</v>
      </c>
      <c r="AB35">
        <f>luna16_k_fold_output!E21</f>
        <v>0.48447203636169434</v>
      </c>
      <c r="AC35">
        <f>luna16_k_fold_output!F21</f>
        <v>0.6419752836227417</v>
      </c>
      <c r="AD35">
        <f>luna16_k_fold_output!G21</f>
        <v>0.84823113679885864</v>
      </c>
      <c r="AE35">
        <f>luna16_k_fold_output!H21</f>
        <v>0.86757785081863403</v>
      </c>
      <c r="AF35">
        <f>luna16_k_fold_output!I21</f>
        <v>337</v>
      </c>
      <c r="AG35">
        <f>luna16_k_fold_output!J21</f>
        <v>8</v>
      </c>
      <c r="AH35">
        <f>luna16_k_fold_output!K21</f>
        <v>166</v>
      </c>
      <c r="AI35" s="3">
        <f>luna16_k_fold_output!L21</f>
        <v>156</v>
      </c>
    </row>
    <row r="36" spans="1:35" x14ac:dyDescent="0.25">
      <c r="A36" s="105"/>
      <c r="B36" s="105"/>
      <c r="C36" s="105">
        <v>50</v>
      </c>
      <c r="D36">
        <v>1</v>
      </c>
      <c r="E36" s="3">
        <f>k_fold_output!C30</f>
        <v>13</v>
      </c>
      <c r="F36">
        <f>k_fold_output!D30</f>
        <v>0.86530262231826705</v>
      </c>
      <c r="G36">
        <f>k_fold_output!E30</f>
        <v>0.37333333492278997</v>
      </c>
      <c r="H36">
        <f>k_fold_output!F30</f>
        <v>0.46666666865348799</v>
      </c>
      <c r="I36">
        <f>k_fold_output!G30</f>
        <v>0.41481480002403198</v>
      </c>
      <c r="J36">
        <f>k_fold_output!H30</f>
        <v>0.825838923454284</v>
      </c>
      <c r="K36">
        <f>k_fold_output!I30</f>
        <v>0.42227467894554099</v>
      </c>
      <c r="L36">
        <f>k_fold_output!J30</f>
        <v>959</v>
      </c>
      <c r="M36">
        <f>k_fold_output!K30</f>
        <v>94</v>
      </c>
      <c r="N36">
        <f>k_fold_output!L30</f>
        <v>64</v>
      </c>
      <c r="O36" s="3">
        <f>k_fold_output!M30</f>
        <v>56</v>
      </c>
      <c r="P36">
        <f>k_fold_output!N30</f>
        <v>0.871385097503662</v>
      </c>
      <c r="Q36">
        <f>k_fold_output!O30</f>
        <v>0.33142855763435303</v>
      </c>
      <c r="R36">
        <f>k_fold_output!P30</f>
        <v>0.52727270126342696</v>
      </c>
      <c r="S36">
        <f>k_fold_output!Q30</f>
        <v>0.40701752901077198</v>
      </c>
      <c r="T36">
        <f>k_fold_output!R30</f>
        <v>0.86419510841369596</v>
      </c>
      <c r="U36">
        <f>k_fold_output!S30</f>
        <v>0.38425895571708601</v>
      </c>
      <c r="V36">
        <f>k_fold_output!T30</f>
        <v>1087</v>
      </c>
      <c r="W36">
        <f>k_fold_output!U30</f>
        <v>117</v>
      </c>
      <c r="X36">
        <f>k_fold_output!V30</f>
        <v>52</v>
      </c>
      <c r="Y36" s="3">
        <f>k_fold_output!W30</f>
        <v>58</v>
      </c>
      <c r="Z36">
        <f>luna16_k_fold_output!C22</f>
        <v>0.7061469554901123</v>
      </c>
      <c r="AA36">
        <f>luna16_k_fold_output!D22</f>
        <v>0.88414633274078369</v>
      </c>
      <c r="AB36">
        <f>luna16_k_fold_output!E22</f>
        <v>0.45031055808067322</v>
      </c>
      <c r="AC36">
        <f>luna16_k_fold_output!F22</f>
        <v>0.59670782089233398</v>
      </c>
      <c r="AD36">
        <f>luna16_k_fold_output!G22</f>
        <v>0.82557386159896851</v>
      </c>
      <c r="AE36">
        <f>luna16_k_fold_output!H22</f>
        <v>0.81472784280776978</v>
      </c>
      <c r="AF36">
        <f>luna16_k_fold_output!I22</f>
        <v>326</v>
      </c>
      <c r="AG36">
        <f>luna16_k_fold_output!J22</f>
        <v>19</v>
      </c>
      <c r="AH36">
        <f>luna16_k_fold_output!K22</f>
        <v>177</v>
      </c>
      <c r="AI36" s="3">
        <f>luna16_k_fold_output!L22</f>
        <v>145</v>
      </c>
    </row>
    <row r="37" spans="1:35" x14ac:dyDescent="0.25">
      <c r="A37" s="105"/>
      <c r="B37" s="105"/>
      <c r="C37" s="105"/>
      <c r="D37">
        <v>2</v>
      </c>
      <c r="E37" s="3">
        <f>k_fold_output!C31</f>
        <v>25</v>
      </c>
      <c r="F37">
        <f>k_fold_output!D31</f>
        <v>0.89999997615814198</v>
      </c>
      <c r="G37">
        <f>k_fold_output!E31</f>
        <v>0.43999999761581399</v>
      </c>
      <c r="H37">
        <f>k_fold_output!F31</f>
        <v>0.28947368264198298</v>
      </c>
      <c r="I37">
        <f>k_fold_output!G31</f>
        <v>0.34920635819435097</v>
      </c>
      <c r="J37">
        <f>k_fold_output!H31</f>
        <v>0.85023266077041604</v>
      </c>
      <c r="K37">
        <f>k_fold_output!I31</f>
        <v>0.41191568970680198</v>
      </c>
      <c r="L37">
        <f>k_fold_output!J31</f>
        <v>1074</v>
      </c>
      <c r="M37">
        <f>k_fold_output!K31</f>
        <v>42</v>
      </c>
      <c r="N37">
        <f>k_fold_output!L31</f>
        <v>81</v>
      </c>
      <c r="O37" s="3">
        <f>k_fold_output!M31</f>
        <v>33</v>
      </c>
      <c r="P37">
        <f>k_fold_output!N31</f>
        <v>0.89726024866104104</v>
      </c>
      <c r="Q37">
        <f>k_fold_output!O31</f>
        <v>0.36842104792594899</v>
      </c>
      <c r="R37">
        <f>k_fold_output!P31</f>
        <v>0.318181812763214</v>
      </c>
      <c r="S37">
        <f>k_fold_output!Q31</f>
        <v>0.34146341681480402</v>
      </c>
      <c r="T37">
        <f>k_fold_output!R31</f>
        <v>0.80423593521118097</v>
      </c>
      <c r="U37">
        <f>k_fold_output!S31</f>
        <v>0.30751499533653198</v>
      </c>
      <c r="V37">
        <f>k_fold_output!T31</f>
        <v>1144</v>
      </c>
      <c r="W37">
        <f>k_fold_output!U31</f>
        <v>60</v>
      </c>
      <c r="X37">
        <f>k_fold_output!V31</f>
        <v>75</v>
      </c>
      <c r="Y37" s="3">
        <f>k_fold_output!W31</f>
        <v>35</v>
      </c>
      <c r="Z37">
        <f>luna16_k_fold_output!C23</f>
        <v>0.67766118049621582</v>
      </c>
      <c r="AA37">
        <f>luna16_k_fold_output!D23</f>
        <v>0.89051097631454468</v>
      </c>
      <c r="AB37">
        <f>luna16_k_fold_output!E23</f>
        <v>0.37888199090957642</v>
      </c>
      <c r="AC37">
        <f>luna16_k_fold_output!F23</f>
        <v>0.53159040212631226</v>
      </c>
      <c r="AD37">
        <f>luna16_k_fold_output!G23</f>
        <v>0.79344677925109863</v>
      </c>
      <c r="AE37">
        <f>luna16_k_fold_output!H23</f>
        <v>0.81689566373825073</v>
      </c>
      <c r="AF37">
        <f>luna16_k_fold_output!I23</f>
        <v>330</v>
      </c>
      <c r="AG37">
        <f>luna16_k_fold_output!J23</f>
        <v>15</v>
      </c>
      <c r="AH37">
        <f>luna16_k_fold_output!K23</f>
        <v>200</v>
      </c>
      <c r="AI37" s="3">
        <f>luna16_k_fold_output!L23</f>
        <v>122</v>
      </c>
    </row>
    <row r="38" spans="1:35" x14ac:dyDescent="0.25">
      <c r="A38" s="105"/>
      <c r="B38" s="105"/>
      <c r="C38" s="105"/>
      <c r="D38">
        <v>3</v>
      </c>
      <c r="E38" s="3">
        <f>k_fold_output!C32</f>
        <v>29</v>
      </c>
      <c r="F38">
        <f>k_fold_output!D32</f>
        <v>0.898562312126159</v>
      </c>
      <c r="G38">
        <f>k_fold_output!E32</f>
        <v>0.40697672963142301</v>
      </c>
      <c r="H38">
        <f>k_fold_output!F32</f>
        <v>0.31531530618667603</v>
      </c>
      <c r="I38">
        <f>k_fold_output!G32</f>
        <v>0.35532996058464</v>
      </c>
      <c r="J38">
        <f>k_fold_output!H32</f>
        <v>0.84073555469512895</v>
      </c>
      <c r="K38">
        <f>k_fold_output!I32</f>
        <v>0.41208741068839999</v>
      </c>
      <c r="L38">
        <f>k_fold_output!J32</f>
        <v>1090</v>
      </c>
      <c r="M38">
        <f>k_fold_output!K32</f>
        <v>51</v>
      </c>
      <c r="N38">
        <f>k_fold_output!L32</f>
        <v>76</v>
      </c>
      <c r="O38" s="3">
        <f>k_fold_output!M32</f>
        <v>35</v>
      </c>
      <c r="P38">
        <f>k_fold_output!N32</f>
        <v>0.89193302392959595</v>
      </c>
      <c r="Q38">
        <f>k_fold_output!O32</f>
        <v>0.33333334326744002</v>
      </c>
      <c r="R38">
        <f>k_fold_output!P32</f>
        <v>0.29090908169746399</v>
      </c>
      <c r="S38">
        <f>k_fold_output!Q32</f>
        <v>0.31067961454391402</v>
      </c>
      <c r="T38">
        <f>k_fold_output!R32</f>
        <v>0.80970251560211104</v>
      </c>
      <c r="U38">
        <f>k_fold_output!S32</f>
        <v>0.29779574275016701</v>
      </c>
      <c r="V38">
        <f>k_fold_output!T32</f>
        <v>1140</v>
      </c>
      <c r="W38">
        <f>k_fold_output!U32</f>
        <v>64</v>
      </c>
      <c r="X38">
        <f>k_fold_output!V32</f>
        <v>78</v>
      </c>
      <c r="Y38" s="3">
        <f>k_fold_output!W32</f>
        <v>32</v>
      </c>
      <c r="Z38">
        <f>luna16_k_fold_output!C24</f>
        <v>0.63868063688278198</v>
      </c>
      <c r="AA38">
        <f>luna16_k_fold_output!D24</f>
        <v>0.90099012851715088</v>
      </c>
      <c r="AB38">
        <f>luna16_k_fold_output!E24</f>
        <v>0.28260868787765503</v>
      </c>
      <c r="AC38">
        <f>luna16_k_fold_output!F24</f>
        <v>0.43026003241539001</v>
      </c>
      <c r="AD38">
        <f>luna16_k_fold_output!G24</f>
        <v>0.75936627388000488</v>
      </c>
      <c r="AE38">
        <f>luna16_k_fold_output!H24</f>
        <v>0.78163182735443115</v>
      </c>
      <c r="AF38">
        <f>luna16_k_fold_output!I24</f>
        <v>335</v>
      </c>
      <c r="AG38">
        <f>luna16_k_fold_output!J24</f>
        <v>10</v>
      </c>
      <c r="AH38">
        <f>luna16_k_fold_output!K24</f>
        <v>231</v>
      </c>
      <c r="AI38" s="3">
        <f>luna16_k_fold_output!L24</f>
        <v>91</v>
      </c>
    </row>
    <row r="39" spans="1:35" x14ac:dyDescent="0.25">
      <c r="A39" s="107"/>
      <c r="B39" s="107"/>
      <c r="C39" s="107"/>
      <c r="D39" s="7">
        <v>4</v>
      </c>
      <c r="E39" s="8">
        <f>k_fold_output!C33</f>
        <v>16</v>
      </c>
      <c r="F39" s="7">
        <f>k_fold_output!D33</f>
        <v>0.91708540916442804</v>
      </c>
      <c r="G39" s="7">
        <f>k_fold_output!E33</f>
        <v>0.50588238239288297</v>
      </c>
      <c r="H39" s="7">
        <f>k_fold_output!F33</f>
        <v>0.43000000715255698</v>
      </c>
      <c r="I39" s="7">
        <f>k_fold_output!G33</f>
        <v>0.46486485004424999</v>
      </c>
      <c r="J39" s="7">
        <f>k_fold_output!H33</f>
        <v>0.88147175312042203</v>
      </c>
      <c r="K39" s="7">
        <f>k_fold_output!I33</f>
        <v>0.49897056818008401</v>
      </c>
      <c r="L39" s="7">
        <f>k_fold_output!J33</f>
        <v>1052</v>
      </c>
      <c r="M39" s="7">
        <f>k_fold_output!K33</f>
        <v>42</v>
      </c>
      <c r="N39" s="7">
        <f>k_fold_output!L33</f>
        <v>57</v>
      </c>
      <c r="O39" s="8">
        <f>k_fold_output!M33</f>
        <v>43</v>
      </c>
      <c r="P39" s="7">
        <f>k_fold_output!N33</f>
        <v>0.89649921655654896</v>
      </c>
      <c r="Q39" s="7">
        <f>k_fold_output!O33</f>
        <v>0.36458334326744002</v>
      </c>
      <c r="R39" s="7">
        <f>k_fold_output!P33</f>
        <v>0.318181812763214</v>
      </c>
      <c r="S39" s="7">
        <f>k_fold_output!Q33</f>
        <v>0.33980581164360002</v>
      </c>
      <c r="T39" s="7">
        <f>k_fold_output!R33</f>
        <v>0.83089709281921298</v>
      </c>
      <c r="U39" s="7">
        <f>k_fold_output!S33</f>
        <v>0.316507518291473</v>
      </c>
      <c r="V39" s="7">
        <f>k_fold_output!T33</f>
        <v>1143</v>
      </c>
      <c r="W39" s="7">
        <f>k_fold_output!U33</f>
        <v>61</v>
      </c>
      <c r="X39" s="7">
        <f>k_fold_output!V33</f>
        <v>75</v>
      </c>
      <c r="Y39" s="8">
        <f>k_fold_output!W33</f>
        <v>35</v>
      </c>
      <c r="Z39" s="7">
        <f>luna16_k_fold_output!C25</f>
        <v>0.65067464113235474</v>
      </c>
      <c r="AA39" s="7">
        <f>luna16_k_fold_output!D25</f>
        <v>0.98901098966598511</v>
      </c>
      <c r="AB39" s="7">
        <f>luna16_k_fold_output!E25</f>
        <v>0.27950310707092285</v>
      </c>
      <c r="AC39" s="7">
        <f>luna16_k_fold_output!F25</f>
        <v>0.43583536148071289</v>
      </c>
      <c r="AD39" s="7">
        <f>luna16_k_fold_output!G25</f>
        <v>0.82860743999481201</v>
      </c>
      <c r="AE39" s="7">
        <f>luna16_k_fold_output!H25</f>
        <v>0.85883533954620361</v>
      </c>
      <c r="AF39" s="7">
        <f>luna16_k_fold_output!I25</f>
        <v>344</v>
      </c>
      <c r="AG39" s="7">
        <f>luna16_k_fold_output!J25</f>
        <v>1</v>
      </c>
      <c r="AH39" s="7">
        <f>luna16_k_fold_output!K25</f>
        <v>232</v>
      </c>
      <c r="AI39" s="8">
        <f>luna16_k_fold_output!L25</f>
        <v>90</v>
      </c>
    </row>
    <row r="40" spans="1:35" x14ac:dyDescent="0.25">
      <c r="A40" s="103" t="s">
        <v>19</v>
      </c>
      <c r="B40" s="105" t="s">
        <v>23</v>
      </c>
      <c r="C40" s="105">
        <v>18</v>
      </c>
      <c r="D40">
        <v>1</v>
      </c>
      <c r="E40" s="3">
        <f>k_fold_output!C18</f>
        <v>11</v>
      </c>
      <c r="F40">
        <f>k_fold_output!D18</f>
        <v>0.86786019802093495</v>
      </c>
      <c r="G40">
        <f>k_fold_output!E18</f>
        <v>0.38410595059394798</v>
      </c>
      <c r="H40">
        <f>k_fold_output!F18</f>
        <v>0.483333319425582</v>
      </c>
      <c r="I40">
        <f>k_fold_output!G18</f>
        <v>0.42804428935050898</v>
      </c>
      <c r="J40">
        <f>k_fold_output!H18</f>
        <v>0.84235513210296598</v>
      </c>
      <c r="K40">
        <f>k_fold_output!I18</f>
        <v>0.397595584392547</v>
      </c>
      <c r="L40">
        <f>k_fold_output!J18</f>
        <v>960</v>
      </c>
      <c r="M40">
        <f>k_fold_output!K18</f>
        <v>93</v>
      </c>
      <c r="N40">
        <f>k_fold_output!L18</f>
        <v>62</v>
      </c>
      <c r="O40" s="3">
        <f>k_fold_output!M18</f>
        <v>58</v>
      </c>
      <c r="P40" s="44">
        <f>k_fold_output!N18</f>
        <v>0.86834096908569303</v>
      </c>
      <c r="Q40">
        <f>k_fold_output!O18</f>
        <v>0.301886796951293</v>
      </c>
      <c r="R40">
        <f>k_fold_output!P18</f>
        <v>0.43636363744735701</v>
      </c>
      <c r="S40">
        <f>k_fold_output!Q18</f>
        <v>0.35687732696533198</v>
      </c>
      <c r="T40">
        <f>k_fold_output!R18</f>
        <v>0.84149795770645097</v>
      </c>
      <c r="U40">
        <f>k_fold_output!S18</f>
        <v>0.35585039854049599</v>
      </c>
      <c r="V40">
        <f>k_fold_output!T18</f>
        <v>1093</v>
      </c>
      <c r="W40">
        <f>k_fold_output!U18</f>
        <v>111</v>
      </c>
      <c r="X40">
        <f>k_fold_output!V18</f>
        <v>62</v>
      </c>
      <c r="Y40" s="3">
        <f>k_fold_output!W18</f>
        <v>48</v>
      </c>
      <c r="Z40" s="9">
        <f>luna16_k_fold_output!C26</f>
        <v>0.70914542675018311</v>
      </c>
      <c r="AA40" s="9">
        <f>luna16_k_fold_output!D26</f>
        <v>0.92105263471603394</v>
      </c>
      <c r="AB40" s="9">
        <f>luna16_k_fold_output!E26</f>
        <v>0.43478259444236755</v>
      </c>
      <c r="AC40" s="9">
        <f>luna16_k_fold_output!F26</f>
        <v>0.59071731567382813</v>
      </c>
      <c r="AD40" s="9">
        <f>luna16_k_fold_output!G26</f>
        <v>0.843955397605896</v>
      </c>
      <c r="AE40" s="9">
        <f>luna16_k_fold_output!H26</f>
        <v>0.84806090593338013</v>
      </c>
      <c r="AF40" s="9">
        <f>luna16_k_fold_output!I26</f>
        <v>333</v>
      </c>
      <c r="AG40" s="9">
        <f>luna16_k_fold_output!J26</f>
        <v>12</v>
      </c>
      <c r="AH40" s="9">
        <f>luna16_k_fold_output!K26</f>
        <v>182</v>
      </c>
      <c r="AI40" s="10">
        <f>luna16_k_fold_output!L26</f>
        <v>140</v>
      </c>
    </row>
    <row r="41" spans="1:35" x14ac:dyDescent="0.25">
      <c r="A41" s="105"/>
      <c r="B41" s="105"/>
      <c r="C41" s="105"/>
      <c r="D41">
        <v>2</v>
      </c>
      <c r="E41" s="3">
        <f>k_fold_output!C19</f>
        <v>7</v>
      </c>
      <c r="F41">
        <f>k_fold_output!D19</f>
        <v>0.89593493938446001</v>
      </c>
      <c r="G41">
        <f>k_fold_output!E19</f>
        <v>0.42391303181648199</v>
      </c>
      <c r="H41">
        <f>k_fold_output!F19</f>
        <v>0.34210526943206698</v>
      </c>
      <c r="I41">
        <f>k_fold_output!G19</f>
        <v>0.37864077091217002</v>
      </c>
      <c r="J41">
        <f>k_fold_output!H19</f>
        <v>0.85435140132903997</v>
      </c>
      <c r="K41">
        <f>k_fold_output!I19</f>
        <v>0.363403290510177</v>
      </c>
      <c r="L41">
        <f>k_fold_output!J19</f>
        <v>1063</v>
      </c>
      <c r="M41">
        <f>k_fold_output!K19</f>
        <v>53</v>
      </c>
      <c r="N41">
        <f>k_fold_output!L19</f>
        <v>75</v>
      </c>
      <c r="O41" s="3">
        <f>k_fold_output!M19</f>
        <v>39</v>
      </c>
      <c r="P41" s="44">
        <f>k_fold_output!N19</f>
        <v>0.88660579919814997</v>
      </c>
      <c r="Q41">
        <f>k_fold_output!O19</f>
        <v>0.33043476939201299</v>
      </c>
      <c r="R41">
        <f>k_fold_output!P19</f>
        <v>0.34545454382896401</v>
      </c>
      <c r="S41">
        <f>k_fold_output!Q19</f>
        <v>0.33777776360511702</v>
      </c>
      <c r="T41">
        <f>k_fold_output!R19</f>
        <v>0.80677282810211104</v>
      </c>
      <c r="U41">
        <f>k_fold_output!S19</f>
        <v>0.269260644912719</v>
      </c>
      <c r="V41">
        <f>k_fold_output!T19</f>
        <v>1127</v>
      </c>
      <c r="W41">
        <f>k_fold_output!U19</f>
        <v>77</v>
      </c>
      <c r="X41">
        <f>k_fold_output!V19</f>
        <v>72</v>
      </c>
      <c r="Y41" s="3">
        <f>k_fold_output!W19</f>
        <v>38</v>
      </c>
      <c r="Z41">
        <f>luna16_k_fold_output!C27</f>
        <v>0.68065965175628662</v>
      </c>
      <c r="AA41">
        <f>luna16_k_fold_output!D27</f>
        <v>0.91603052616119385</v>
      </c>
      <c r="AB41">
        <f>luna16_k_fold_output!E27</f>
        <v>0.37267079949378967</v>
      </c>
      <c r="AC41">
        <f>luna16_k_fold_output!F27</f>
        <v>0.52980130910873413</v>
      </c>
      <c r="AD41">
        <f>luna16_k_fold_output!G27</f>
        <v>0.8356737494468689</v>
      </c>
      <c r="AE41">
        <f>luna16_k_fold_output!H27</f>
        <v>0.84335023164749146</v>
      </c>
      <c r="AF41">
        <f>luna16_k_fold_output!I27</f>
        <v>334</v>
      </c>
      <c r="AG41">
        <f>luna16_k_fold_output!J27</f>
        <v>11</v>
      </c>
      <c r="AH41">
        <f>luna16_k_fold_output!K27</f>
        <v>202</v>
      </c>
      <c r="AI41" s="3">
        <f>luna16_k_fold_output!L27</f>
        <v>120</v>
      </c>
    </row>
    <row r="42" spans="1:35" x14ac:dyDescent="0.25">
      <c r="A42" s="105"/>
      <c r="B42" s="105"/>
      <c r="C42" s="105"/>
      <c r="D42">
        <v>3</v>
      </c>
      <c r="E42" s="3">
        <f>k_fold_output!C20</f>
        <v>25</v>
      </c>
      <c r="F42">
        <f>k_fold_output!D20</f>
        <v>0.89616614580154397</v>
      </c>
      <c r="G42">
        <f>k_fold_output!E20</f>
        <v>0.40404039621353099</v>
      </c>
      <c r="H42">
        <f>k_fold_output!F20</f>
        <v>0.36036035418510398</v>
      </c>
      <c r="I42">
        <f>k_fold_output!G20</f>
        <v>0.380952388048172</v>
      </c>
      <c r="J42">
        <f>k_fold_output!H20</f>
        <v>0.84852075576782204</v>
      </c>
      <c r="K42">
        <f>k_fold_output!I20</f>
        <v>0.37949493527412398</v>
      </c>
      <c r="L42">
        <f>k_fold_output!J20</f>
        <v>1082</v>
      </c>
      <c r="M42">
        <f>k_fold_output!K20</f>
        <v>59</v>
      </c>
      <c r="N42">
        <f>k_fold_output!L20</f>
        <v>71</v>
      </c>
      <c r="O42" s="3">
        <f>k_fold_output!M20</f>
        <v>40</v>
      </c>
      <c r="P42" s="44">
        <f>k_fold_output!N20</f>
        <v>0.90410959720611495</v>
      </c>
      <c r="Q42">
        <f>k_fold_output!O20</f>
        <v>0.40476191043853699</v>
      </c>
      <c r="R42">
        <f>k_fold_output!P20</f>
        <v>0.30909091234207098</v>
      </c>
      <c r="S42">
        <f>k_fold_output!Q20</f>
        <v>0.35051545500755299</v>
      </c>
      <c r="T42">
        <f>k_fold_output!R20</f>
        <v>0.83388704061508101</v>
      </c>
      <c r="U42">
        <f>k_fold_output!S20</f>
        <v>0.32921004295349099</v>
      </c>
      <c r="V42">
        <f>k_fold_output!T20</f>
        <v>1154</v>
      </c>
      <c r="W42">
        <f>k_fold_output!U20</f>
        <v>50</v>
      </c>
      <c r="X42">
        <f>k_fold_output!V20</f>
        <v>76</v>
      </c>
      <c r="Y42" s="3">
        <f>k_fold_output!W20</f>
        <v>34</v>
      </c>
      <c r="Z42">
        <f>luna16_k_fold_output!C28</f>
        <v>0.6296851634979248</v>
      </c>
      <c r="AA42">
        <f>luna16_k_fold_output!D28</f>
        <v>0.8571428656578064</v>
      </c>
      <c r="AB42">
        <f>luna16_k_fold_output!E28</f>
        <v>0.27950310707092285</v>
      </c>
      <c r="AC42">
        <f>luna16_k_fold_output!F28</f>
        <v>0.42154565453529358</v>
      </c>
      <c r="AD42">
        <f>luna16_k_fold_output!G28</f>
        <v>0.76661258935928345</v>
      </c>
      <c r="AE42">
        <f>luna16_k_fold_output!H28</f>
        <v>0.76707512140274048</v>
      </c>
      <c r="AF42">
        <f>luna16_k_fold_output!I28</f>
        <v>330</v>
      </c>
      <c r="AG42">
        <f>luna16_k_fold_output!J28</f>
        <v>15</v>
      </c>
      <c r="AH42">
        <f>luna16_k_fold_output!K28</f>
        <v>232</v>
      </c>
      <c r="AI42" s="3">
        <f>luna16_k_fold_output!L28</f>
        <v>90</v>
      </c>
    </row>
    <row r="43" spans="1:35" x14ac:dyDescent="0.25">
      <c r="A43" s="105"/>
      <c r="B43" s="105"/>
      <c r="C43" s="105"/>
      <c r="D43">
        <v>4</v>
      </c>
      <c r="E43" s="3">
        <f>k_fold_output!C21</f>
        <v>19</v>
      </c>
      <c r="F43">
        <f>k_fold_output!D21</f>
        <v>0.871021747589111</v>
      </c>
      <c r="G43">
        <f>k_fold_output!E21</f>
        <v>0.35789474844932501</v>
      </c>
      <c r="H43">
        <f>k_fold_output!F21</f>
        <v>0.68000000715255704</v>
      </c>
      <c r="I43">
        <f>k_fold_output!G21</f>
        <v>0.46896553039550698</v>
      </c>
      <c r="J43">
        <f>k_fold_output!H21</f>
        <v>0.87818098068237305</v>
      </c>
      <c r="K43">
        <f>k_fold_output!I21</f>
        <v>0.48726895451545699</v>
      </c>
      <c r="L43">
        <f>k_fold_output!J21</f>
        <v>972</v>
      </c>
      <c r="M43">
        <f>k_fold_output!K21</f>
        <v>122</v>
      </c>
      <c r="N43">
        <f>k_fold_output!L21</f>
        <v>32</v>
      </c>
      <c r="O43" s="3">
        <f>k_fold_output!M21</f>
        <v>68</v>
      </c>
      <c r="P43" s="44">
        <f>k_fold_output!N21</f>
        <v>0.83789956569671598</v>
      </c>
      <c r="Q43">
        <f>k_fold_output!O21</f>
        <v>0.27896994352340698</v>
      </c>
      <c r="R43">
        <f>k_fold_output!P21</f>
        <v>0.59090906381607</v>
      </c>
      <c r="S43">
        <f>k_fold_output!Q21</f>
        <v>0.37900874018669101</v>
      </c>
      <c r="T43">
        <f>k_fold_output!R21</f>
        <v>0.84830111265182495</v>
      </c>
      <c r="U43">
        <f>k_fold_output!S21</f>
        <v>0.36820226907730103</v>
      </c>
      <c r="V43">
        <f>k_fold_output!T21</f>
        <v>1036</v>
      </c>
      <c r="W43">
        <f>k_fold_output!U21</f>
        <v>168</v>
      </c>
      <c r="X43">
        <f>k_fold_output!V21</f>
        <v>45</v>
      </c>
      <c r="Y43" s="3">
        <f>k_fold_output!W21</f>
        <v>65</v>
      </c>
      <c r="Z43">
        <f>luna16_k_fold_output!C29</f>
        <v>0.67466264963150024</v>
      </c>
      <c r="AA43">
        <f>luna16_k_fold_output!D29</f>
        <v>0.92682927846908569</v>
      </c>
      <c r="AB43">
        <f>luna16_k_fold_output!E29</f>
        <v>0.35403725504875183</v>
      </c>
      <c r="AC43">
        <f>luna16_k_fold_output!F29</f>
        <v>0.51235955953598022</v>
      </c>
      <c r="AD43">
        <f>luna16_k_fold_output!G29</f>
        <v>0.79909080266952515</v>
      </c>
      <c r="AE43">
        <f>luna16_k_fold_output!H29</f>
        <v>0.81595331430435181</v>
      </c>
      <c r="AF43">
        <f>luna16_k_fold_output!I29</f>
        <v>336</v>
      </c>
      <c r="AG43">
        <f>luna16_k_fold_output!J29</f>
        <v>9</v>
      </c>
      <c r="AH43">
        <f>luna16_k_fold_output!K29</f>
        <v>208</v>
      </c>
      <c r="AI43" s="3">
        <f>luna16_k_fold_output!L29</f>
        <v>114</v>
      </c>
    </row>
    <row r="44" spans="1:35" x14ac:dyDescent="0.25">
      <c r="A44" s="105"/>
      <c r="B44" s="105"/>
      <c r="C44" s="105">
        <v>34</v>
      </c>
      <c r="D44">
        <v>1</v>
      </c>
      <c r="E44" s="3">
        <f>k_fold_output!C26</f>
        <v>24</v>
      </c>
      <c r="F44">
        <f>k_fold_output!D26</f>
        <v>0.84995734691619795</v>
      </c>
      <c r="G44">
        <f>k_fold_output!E26</f>
        <v>0.35714286565780601</v>
      </c>
      <c r="H44">
        <f>k_fold_output!F26</f>
        <v>0.58333331346511796</v>
      </c>
      <c r="I44">
        <f>k_fold_output!G26</f>
        <v>0.44303798675537098</v>
      </c>
      <c r="J44">
        <f>k_fold_output!H26</f>
        <v>0.85094964504241899</v>
      </c>
      <c r="K44">
        <f>k_fold_output!I26</f>
        <v>0.37610369920730502</v>
      </c>
      <c r="L44">
        <f>k_fold_output!J26</f>
        <v>927</v>
      </c>
      <c r="M44">
        <f>k_fold_output!K26</f>
        <v>126</v>
      </c>
      <c r="N44">
        <f>k_fold_output!L26</f>
        <v>50</v>
      </c>
      <c r="O44" s="3">
        <f>k_fold_output!M26</f>
        <v>70</v>
      </c>
      <c r="P44" s="44">
        <f>k_fold_output!N26</f>
        <v>0.86073058843612604</v>
      </c>
      <c r="Q44">
        <f>k_fold_output!O26</f>
        <v>0.32367148995399397</v>
      </c>
      <c r="R44">
        <f>k_fold_output!P26</f>
        <v>0.60909092426300004</v>
      </c>
      <c r="S44">
        <f>k_fold_output!Q26</f>
        <v>0.422712922096252</v>
      </c>
      <c r="T44">
        <f>k_fold_output!R26</f>
        <v>0.842426717281341</v>
      </c>
      <c r="U44">
        <f>k_fold_output!S26</f>
        <v>0.362184077501297</v>
      </c>
      <c r="V44">
        <f>k_fold_output!T26</f>
        <v>1064</v>
      </c>
      <c r="W44">
        <f>k_fold_output!U26</f>
        <v>140</v>
      </c>
      <c r="X44">
        <f>k_fold_output!V26</f>
        <v>43</v>
      </c>
      <c r="Y44" s="3">
        <f>k_fold_output!W26</f>
        <v>67</v>
      </c>
      <c r="Z44">
        <f>luna16_k_fold_output!C30</f>
        <v>0.67766118049621582</v>
      </c>
      <c r="AA44">
        <f>luna16_k_fold_output!D30</f>
        <v>0.92799997329711914</v>
      </c>
      <c r="AB44">
        <f>luna16_k_fold_output!E30</f>
        <v>0.36024844646453857</v>
      </c>
      <c r="AC44">
        <f>luna16_k_fold_output!F30</f>
        <v>0.51901566982269287</v>
      </c>
      <c r="AD44">
        <f>luna16_k_fold_output!G30</f>
        <v>0.80864161252975464</v>
      </c>
      <c r="AE44">
        <f>luna16_k_fold_output!H30</f>
        <v>0.82898545265197754</v>
      </c>
      <c r="AF44">
        <f>luna16_k_fold_output!I30</f>
        <v>336</v>
      </c>
      <c r="AG44">
        <f>luna16_k_fold_output!J30</f>
        <v>9</v>
      </c>
      <c r="AH44">
        <f>luna16_k_fold_output!K30</f>
        <v>206</v>
      </c>
      <c r="AI44" s="3">
        <f>luna16_k_fold_output!L30</f>
        <v>116</v>
      </c>
    </row>
    <row r="45" spans="1:35" x14ac:dyDescent="0.25">
      <c r="A45" s="105"/>
      <c r="B45" s="105"/>
      <c r="C45" s="105"/>
      <c r="D45">
        <v>2</v>
      </c>
      <c r="E45" s="3">
        <f>k_fold_output!C27</f>
        <v>21</v>
      </c>
      <c r="F45">
        <f>k_fold_output!D27</f>
        <v>0.90243899822235096</v>
      </c>
      <c r="G45">
        <f>k_fold_output!E27</f>
        <v>0.47222220897674499</v>
      </c>
      <c r="H45">
        <f>k_fold_output!F27</f>
        <v>0.44736841320991499</v>
      </c>
      <c r="I45">
        <f>k_fold_output!G27</f>
        <v>0.45945945382118197</v>
      </c>
      <c r="J45">
        <f>k_fold_output!H27</f>
        <v>0.87553453445434504</v>
      </c>
      <c r="K45">
        <f>k_fold_output!I27</f>
        <v>0.44040283560752802</v>
      </c>
      <c r="L45">
        <f>k_fold_output!J27</f>
        <v>1059</v>
      </c>
      <c r="M45">
        <f>k_fold_output!K27</f>
        <v>57</v>
      </c>
      <c r="N45">
        <f>k_fold_output!L27</f>
        <v>63</v>
      </c>
      <c r="O45" s="3">
        <f>k_fold_output!M27</f>
        <v>51</v>
      </c>
      <c r="P45" s="44">
        <f>k_fold_output!N27</f>
        <v>0.87899541854858398</v>
      </c>
      <c r="Q45">
        <f>k_fold_output!O27</f>
        <v>0.31851851940155002</v>
      </c>
      <c r="R45">
        <f>k_fold_output!P27</f>
        <v>0.39090910553932101</v>
      </c>
      <c r="S45">
        <f>k_fold_output!Q27</f>
        <v>0.35102039575576699</v>
      </c>
      <c r="T45">
        <f>k_fold_output!R27</f>
        <v>0.83720934391021695</v>
      </c>
      <c r="U45">
        <f>k_fold_output!S27</f>
        <v>0.345467388629913</v>
      </c>
      <c r="V45">
        <f>k_fold_output!T27</f>
        <v>1112</v>
      </c>
      <c r="W45">
        <f>k_fold_output!U27</f>
        <v>92</v>
      </c>
      <c r="X45">
        <f>k_fold_output!V27</f>
        <v>67</v>
      </c>
      <c r="Y45" s="3">
        <f>k_fold_output!W27</f>
        <v>43</v>
      </c>
      <c r="Z45">
        <f>luna16_k_fold_output!C31</f>
        <v>0.6296851634979248</v>
      </c>
      <c r="AA45">
        <f>luna16_k_fold_output!D31</f>
        <v>0.95180720090866089</v>
      </c>
      <c r="AB45">
        <f>luna16_k_fold_output!E31</f>
        <v>0.24534161388874054</v>
      </c>
      <c r="AC45">
        <f>luna16_k_fold_output!F31</f>
        <v>0.39012345671653748</v>
      </c>
      <c r="AD45">
        <f>luna16_k_fold_output!G31</f>
        <v>0.78436404466629028</v>
      </c>
      <c r="AE45">
        <f>luna16_k_fold_output!H31</f>
        <v>0.80499517917633057</v>
      </c>
      <c r="AF45">
        <f>luna16_k_fold_output!I31</f>
        <v>341</v>
      </c>
      <c r="AG45">
        <f>luna16_k_fold_output!J31</f>
        <v>4</v>
      </c>
      <c r="AH45">
        <f>luna16_k_fold_output!K31</f>
        <v>243</v>
      </c>
      <c r="AI45" s="3">
        <f>luna16_k_fold_output!L31</f>
        <v>79</v>
      </c>
    </row>
    <row r="46" spans="1:35" x14ac:dyDescent="0.25">
      <c r="A46" s="105"/>
      <c r="B46" s="105"/>
      <c r="C46" s="105"/>
      <c r="D46">
        <v>3</v>
      </c>
      <c r="E46" s="3">
        <f>k_fold_output!C28</f>
        <v>48</v>
      </c>
      <c r="F46">
        <f>k_fold_output!D28</f>
        <v>0.90255588293075495</v>
      </c>
      <c r="G46">
        <f>k_fold_output!E28</f>
        <v>0.44444444775581299</v>
      </c>
      <c r="H46">
        <f>k_fold_output!F28</f>
        <v>0.39639639854431102</v>
      </c>
      <c r="I46">
        <f>k_fold_output!G28</f>
        <v>0.41904762387275601</v>
      </c>
      <c r="J46">
        <f>k_fold_output!H28</f>
        <v>0.85144215822219804</v>
      </c>
      <c r="K46">
        <f>k_fold_output!I28</f>
        <v>0.40989235043525601</v>
      </c>
      <c r="L46">
        <f>k_fold_output!J28</f>
        <v>1086</v>
      </c>
      <c r="M46">
        <f>k_fold_output!K28</f>
        <v>55</v>
      </c>
      <c r="N46">
        <f>k_fold_output!L28</f>
        <v>67</v>
      </c>
      <c r="O46" s="3">
        <f>k_fold_output!M28</f>
        <v>44</v>
      </c>
      <c r="P46" s="44">
        <f>k_fold_output!N28</f>
        <v>0.89726024866104104</v>
      </c>
      <c r="Q46">
        <f>k_fold_output!O28</f>
        <v>0.36559140682220398</v>
      </c>
      <c r="R46">
        <f>k_fold_output!P28</f>
        <v>0.30909091234207098</v>
      </c>
      <c r="S46">
        <f>k_fold_output!Q28</f>
        <v>0.33497536182403498</v>
      </c>
      <c r="T46">
        <f>k_fold_output!R28</f>
        <v>0.796375691890716</v>
      </c>
      <c r="U46">
        <f>k_fold_output!S28</f>
        <v>0.305653095245361</v>
      </c>
      <c r="V46">
        <f>k_fold_output!T28</f>
        <v>1145</v>
      </c>
      <c r="W46">
        <f>k_fold_output!U28</f>
        <v>59</v>
      </c>
      <c r="X46">
        <f>k_fold_output!V28</f>
        <v>76</v>
      </c>
      <c r="Y46" s="3">
        <f>k_fold_output!W28</f>
        <v>34</v>
      </c>
      <c r="Z46">
        <f>luna16_k_fold_output!C32</f>
        <v>0.61619192361831665</v>
      </c>
      <c r="AA46">
        <f>luna16_k_fold_output!D32</f>
        <v>0.91250002384185791</v>
      </c>
      <c r="AB46">
        <f>luna16_k_fold_output!E32</f>
        <v>0.2267080694437027</v>
      </c>
      <c r="AC46">
        <f>luna16_k_fold_output!F32</f>
        <v>0.36318409442901611</v>
      </c>
      <c r="AD46">
        <f>luna16_k_fold_output!G32</f>
        <v>0.76821500062942505</v>
      </c>
      <c r="AE46">
        <f>luna16_k_fold_output!H32</f>
        <v>0.77106368541717529</v>
      </c>
      <c r="AF46">
        <f>luna16_k_fold_output!I32</f>
        <v>338</v>
      </c>
      <c r="AG46">
        <f>luna16_k_fold_output!J32</f>
        <v>7</v>
      </c>
      <c r="AH46">
        <f>luna16_k_fold_output!K32</f>
        <v>249</v>
      </c>
      <c r="AI46" s="3">
        <f>luna16_k_fold_output!L32</f>
        <v>73</v>
      </c>
    </row>
    <row r="47" spans="1:35" x14ac:dyDescent="0.25">
      <c r="A47" s="105"/>
      <c r="B47" s="105"/>
      <c r="C47" s="105"/>
      <c r="D47">
        <v>4</v>
      </c>
      <c r="E47" s="3">
        <f>k_fold_output!C29</f>
        <v>33</v>
      </c>
      <c r="F47">
        <f>k_fold_output!D29</f>
        <v>0.89782243967056197</v>
      </c>
      <c r="G47">
        <f>k_fold_output!E29</f>
        <v>0.42028984427451999</v>
      </c>
      <c r="H47">
        <f>k_fold_output!F29</f>
        <v>0.57999998331069902</v>
      </c>
      <c r="I47">
        <f>k_fold_output!G29</f>
        <v>0.487394958734512</v>
      </c>
      <c r="J47">
        <f>k_fold_output!H29</f>
        <v>0.86129802465438798</v>
      </c>
      <c r="K47">
        <f>k_fold_output!I29</f>
        <v>0.50594079494476296</v>
      </c>
      <c r="L47">
        <f>k_fold_output!J29</f>
        <v>1014</v>
      </c>
      <c r="M47">
        <f>k_fold_output!K29</f>
        <v>80</v>
      </c>
      <c r="N47">
        <f>k_fold_output!L29</f>
        <v>42</v>
      </c>
      <c r="O47" s="3">
        <f>k_fold_output!M29</f>
        <v>58</v>
      </c>
      <c r="P47" s="44">
        <f>k_fold_output!N29</f>
        <v>0.87595129013061501</v>
      </c>
      <c r="Q47">
        <f>k_fold_output!O29</f>
        <v>0.33121019601821899</v>
      </c>
      <c r="R47">
        <f>k_fold_output!P29</f>
        <v>0.47272726893424899</v>
      </c>
      <c r="S47">
        <f>k_fold_output!Q29</f>
        <v>0.38951310515403698</v>
      </c>
      <c r="T47">
        <f>k_fold_output!R29</f>
        <v>0.83793413639068604</v>
      </c>
      <c r="U47">
        <f>k_fold_output!S29</f>
        <v>0.357453793287277</v>
      </c>
      <c r="V47">
        <f>k_fold_output!T29</f>
        <v>1099</v>
      </c>
      <c r="W47">
        <f>k_fold_output!U29</f>
        <v>105</v>
      </c>
      <c r="X47">
        <f>k_fold_output!V29</f>
        <v>58</v>
      </c>
      <c r="Y47" s="3">
        <f>k_fold_output!W29</f>
        <v>52</v>
      </c>
      <c r="Z47">
        <f>luna16_k_fold_output!C33</f>
        <v>0.61319339275360107</v>
      </c>
      <c r="AA47">
        <f>luna16_k_fold_output!D33</f>
        <v>0.93243241310119629</v>
      </c>
      <c r="AB47">
        <f>luna16_k_fold_output!E33</f>
        <v>0.2142857164144516</v>
      </c>
      <c r="AC47">
        <f>luna16_k_fold_output!F33</f>
        <v>0.34848484396934509</v>
      </c>
      <c r="AD47">
        <f>luna16_k_fold_output!G33</f>
        <v>0.78020519018173218</v>
      </c>
      <c r="AE47">
        <f>luna16_k_fold_output!H33</f>
        <v>0.78519952297210693</v>
      </c>
      <c r="AF47">
        <f>luna16_k_fold_output!I33</f>
        <v>340</v>
      </c>
      <c r="AG47">
        <f>luna16_k_fold_output!J33</f>
        <v>5</v>
      </c>
      <c r="AH47">
        <f>luna16_k_fold_output!K33</f>
        <v>253</v>
      </c>
      <c r="AI47" s="3">
        <f>luna16_k_fold_output!L33</f>
        <v>69</v>
      </c>
    </row>
    <row r="48" spans="1:35" x14ac:dyDescent="0.25">
      <c r="A48" s="105"/>
      <c r="B48" s="105"/>
      <c r="C48" s="105">
        <v>50</v>
      </c>
      <c r="D48">
        <v>1</v>
      </c>
      <c r="E48" s="3">
        <f>k_fold_output!C34</f>
        <v>8</v>
      </c>
      <c r="F48">
        <f>k_fold_output!D34</f>
        <v>0.90025573968887296</v>
      </c>
      <c r="G48">
        <f>k_fold_output!E34</f>
        <v>0.55555558204650801</v>
      </c>
      <c r="H48">
        <f>k_fold_output!F34</f>
        <v>0.125</v>
      </c>
      <c r="I48">
        <f>k_fold_output!G34</f>
        <v>0.20408163964748299</v>
      </c>
      <c r="J48">
        <f>k_fold_output!H34</f>
        <v>0.81001901626586903</v>
      </c>
      <c r="K48">
        <f>k_fold_output!I34</f>
        <v>0.39950579404830899</v>
      </c>
      <c r="L48">
        <f>k_fold_output!J34</f>
        <v>1041</v>
      </c>
      <c r="M48">
        <f>k_fold_output!K34</f>
        <v>12</v>
      </c>
      <c r="N48">
        <f>k_fold_output!L34</f>
        <v>105</v>
      </c>
      <c r="O48" s="3">
        <f>k_fold_output!M34</f>
        <v>15</v>
      </c>
      <c r="P48" s="44">
        <f>k_fold_output!N34</f>
        <v>0.91856926679611195</v>
      </c>
      <c r="Q48">
        <f>k_fold_output!O34</f>
        <v>0.57894736528396595</v>
      </c>
      <c r="R48">
        <f>k_fold_output!P34</f>
        <v>0.10000000149011599</v>
      </c>
      <c r="S48">
        <f>k_fold_output!Q34</f>
        <v>0.170542642474174</v>
      </c>
      <c r="T48">
        <f>k_fold_output!R34</f>
        <v>0.80191028118133501</v>
      </c>
      <c r="U48">
        <f>k_fold_output!S34</f>
        <v>0.330825746059417</v>
      </c>
      <c r="V48">
        <f>k_fold_output!T34</f>
        <v>1196</v>
      </c>
      <c r="W48">
        <f>k_fold_output!U34</f>
        <v>8</v>
      </c>
      <c r="X48">
        <f>k_fold_output!V34</f>
        <v>99</v>
      </c>
      <c r="Y48" s="3">
        <f>k_fold_output!W34</f>
        <v>11</v>
      </c>
      <c r="Z48">
        <f>luna16_k_fold_output!C34</f>
        <v>0.54122936725616455</v>
      </c>
      <c r="AA48">
        <f>luna16_k_fold_output!D34</f>
        <v>1</v>
      </c>
      <c r="AB48">
        <f>luna16_k_fold_output!E34</f>
        <v>4.9689441919326782E-2</v>
      </c>
      <c r="AC48">
        <f>luna16_k_fold_output!F34</f>
        <v>9.4674557447433472E-2</v>
      </c>
      <c r="AD48">
        <f>luna16_k_fold_output!G34</f>
        <v>0.81293541193008423</v>
      </c>
      <c r="AE48">
        <f>luna16_k_fold_output!H34</f>
        <v>0.81892728805541992</v>
      </c>
      <c r="AF48">
        <f>luna16_k_fold_output!I34</f>
        <v>345</v>
      </c>
      <c r="AG48">
        <f>luna16_k_fold_output!J34</f>
        <v>0</v>
      </c>
      <c r="AH48">
        <f>luna16_k_fold_output!K34</f>
        <v>306</v>
      </c>
      <c r="AI48" s="3">
        <f>luna16_k_fold_output!L34</f>
        <v>16</v>
      </c>
    </row>
    <row r="49" spans="1:35" x14ac:dyDescent="0.25">
      <c r="A49" s="105"/>
      <c r="B49" s="105"/>
      <c r="C49" s="105"/>
      <c r="D49">
        <v>2</v>
      </c>
      <c r="E49" s="3">
        <f>k_fold_output!C35</f>
        <v>15</v>
      </c>
      <c r="F49">
        <f>k_fold_output!D35</f>
        <v>0.91869920492172197</v>
      </c>
      <c r="G49">
        <f>k_fold_output!E35</f>
        <v>0.69444441795349099</v>
      </c>
      <c r="H49">
        <f>k_fold_output!F35</f>
        <v>0.21929824352264399</v>
      </c>
      <c r="I49">
        <f>k_fold_output!G35</f>
        <v>0.33333334326744002</v>
      </c>
      <c r="J49">
        <f>k_fold_output!H35</f>
        <v>0.87028390169143599</v>
      </c>
      <c r="K49">
        <f>k_fold_output!I35</f>
        <v>0.48008829355239802</v>
      </c>
      <c r="L49">
        <f>k_fold_output!J35</f>
        <v>1105</v>
      </c>
      <c r="M49">
        <f>k_fold_output!K35</f>
        <v>11</v>
      </c>
      <c r="N49">
        <f>k_fold_output!L35</f>
        <v>89</v>
      </c>
      <c r="O49" s="3">
        <f>k_fold_output!M35</f>
        <v>25</v>
      </c>
      <c r="P49" s="44">
        <f>k_fold_output!N35</f>
        <v>0.91324198246002197</v>
      </c>
      <c r="Q49">
        <f>k_fold_output!O35</f>
        <v>0.44736841320991499</v>
      </c>
      <c r="R49">
        <f>k_fold_output!P35</f>
        <v>0.15454545617103499</v>
      </c>
      <c r="S49">
        <f>k_fold_output!Q35</f>
        <v>0.22972972691059099</v>
      </c>
      <c r="T49">
        <f>k_fold_output!R35</f>
        <v>0.821707904338836</v>
      </c>
      <c r="U49">
        <f>k_fold_output!S35</f>
        <v>0.33657336235046298</v>
      </c>
      <c r="V49">
        <f>k_fold_output!T35</f>
        <v>1183</v>
      </c>
      <c r="W49">
        <f>k_fold_output!U35</f>
        <v>21</v>
      </c>
      <c r="X49">
        <f>k_fold_output!V35</f>
        <v>93</v>
      </c>
      <c r="Y49" s="3">
        <f>k_fold_output!W35</f>
        <v>17</v>
      </c>
      <c r="Z49">
        <f>luna16_k_fold_output!C35</f>
        <v>0.56371814012527466</v>
      </c>
      <c r="AA49">
        <f>luna16_k_fold_output!D35</f>
        <v>1</v>
      </c>
      <c r="AB49">
        <f>luna16_k_fold_output!E35</f>
        <v>9.627329558134079E-2</v>
      </c>
      <c r="AC49">
        <f>luna16_k_fold_output!F35</f>
        <v>0.17563739418983459</v>
      </c>
      <c r="AD49">
        <f>luna16_k_fold_output!G35</f>
        <v>0.81020790338516235</v>
      </c>
      <c r="AE49">
        <f>luna16_k_fold_output!H35</f>
        <v>0.83249682188034058</v>
      </c>
      <c r="AF49">
        <f>luna16_k_fold_output!I35</f>
        <v>345</v>
      </c>
      <c r="AG49">
        <f>luna16_k_fold_output!J35</f>
        <v>0</v>
      </c>
      <c r="AH49">
        <f>luna16_k_fold_output!K35</f>
        <v>291</v>
      </c>
      <c r="AI49" s="3">
        <f>luna16_k_fold_output!L35</f>
        <v>31</v>
      </c>
    </row>
    <row r="50" spans="1:35" x14ac:dyDescent="0.25">
      <c r="A50" s="105"/>
      <c r="B50" s="105"/>
      <c r="C50" s="105"/>
      <c r="D50">
        <v>3</v>
      </c>
      <c r="E50" s="3">
        <f>k_fold_output!C36</f>
        <v>14</v>
      </c>
      <c r="F50">
        <f>k_fold_output!D36</f>
        <v>0.91613417863845803</v>
      </c>
      <c r="G50">
        <f>k_fold_output!E36</f>
        <v>0.58823531866073597</v>
      </c>
      <c r="H50">
        <f>k_fold_output!F36</f>
        <v>0.18018017709255199</v>
      </c>
      <c r="I50">
        <f>k_fold_output!G36</f>
        <v>0.27586206793785001</v>
      </c>
      <c r="J50">
        <f>k_fold_output!H36</f>
        <v>0.84948408603668202</v>
      </c>
      <c r="K50">
        <f>k_fold_output!I36</f>
        <v>0.395836651325225</v>
      </c>
      <c r="L50">
        <f>k_fold_output!J36</f>
        <v>1127</v>
      </c>
      <c r="M50">
        <f>k_fold_output!K36</f>
        <v>14</v>
      </c>
      <c r="N50">
        <f>k_fold_output!L36</f>
        <v>91</v>
      </c>
      <c r="O50" s="3">
        <f>k_fold_output!M36</f>
        <v>20</v>
      </c>
      <c r="P50" s="44">
        <f>k_fold_output!N36</f>
        <v>0.91476410627365101</v>
      </c>
      <c r="Q50">
        <f>k_fold_output!O36</f>
        <v>0.477272719144821</v>
      </c>
      <c r="R50">
        <f>k_fold_output!P36</f>
        <v>0.19090908765792799</v>
      </c>
      <c r="S50">
        <f>k_fold_output!Q36</f>
        <v>0.272727280855178</v>
      </c>
      <c r="T50">
        <f>k_fold_output!R36</f>
        <v>0.844623982906341</v>
      </c>
      <c r="U50">
        <f>k_fold_output!S36</f>
        <v>0.33928376436233498</v>
      </c>
      <c r="V50">
        <f>k_fold_output!T36</f>
        <v>1181</v>
      </c>
      <c r="W50">
        <f>k_fold_output!U36</f>
        <v>23</v>
      </c>
      <c r="X50">
        <f>k_fold_output!V36</f>
        <v>89</v>
      </c>
      <c r="Y50" s="3">
        <f>k_fold_output!W36</f>
        <v>21</v>
      </c>
      <c r="Z50">
        <f>luna16_k_fold_output!C36</f>
        <v>0.57571214437484741</v>
      </c>
      <c r="AA50">
        <f>luna16_k_fold_output!D36</f>
        <v>1</v>
      </c>
      <c r="AB50">
        <f>luna16_k_fold_output!E36</f>
        <v>0.12111800909042358</v>
      </c>
      <c r="AC50">
        <f>luna16_k_fold_output!F36</f>
        <v>0.21606647968292236</v>
      </c>
      <c r="AD50">
        <f>luna16_k_fold_output!G36</f>
        <v>0.8311188817024231</v>
      </c>
      <c r="AE50">
        <f>luna16_k_fold_output!H36</f>
        <v>0.84089189767837524</v>
      </c>
      <c r="AF50">
        <f>luna16_k_fold_output!I36</f>
        <v>345</v>
      </c>
      <c r="AG50">
        <f>luna16_k_fold_output!J36</f>
        <v>0</v>
      </c>
      <c r="AH50">
        <f>luna16_k_fold_output!K36</f>
        <v>283</v>
      </c>
      <c r="AI50" s="3">
        <f>luna16_k_fold_output!L36</f>
        <v>39</v>
      </c>
    </row>
    <row r="51" spans="1:35" x14ac:dyDescent="0.25">
      <c r="A51" s="107"/>
      <c r="B51" s="107"/>
      <c r="C51" s="107"/>
      <c r="D51" s="7">
        <v>4</v>
      </c>
      <c r="E51" s="8">
        <f>k_fold_output!C37</f>
        <v>17</v>
      </c>
      <c r="F51" s="7">
        <f>k_fold_output!D37</f>
        <v>0.85427135229110696</v>
      </c>
      <c r="G51" s="7">
        <f>k_fold_output!E37</f>
        <v>0.30729165673255898</v>
      </c>
      <c r="H51" s="7">
        <f>k_fold_output!F37</f>
        <v>0.58999997377395597</v>
      </c>
      <c r="I51" s="7">
        <f>k_fold_output!G37</f>
        <v>0.404109597206115</v>
      </c>
      <c r="J51" s="7">
        <f>k_fold_output!H37</f>
        <v>0.85933279991149902</v>
      </c>
      <c r="K51" s="7">
        <f>k_fold_output!I37</f>
        <v>0.43972122669219899</v>
      </c>
      <c r="L51" s="7">
        <f>k_fold_output!J37</f>
        <v>961</v>
      </c>
      <c r="M51" s="7">
        <f>k_fold_output!K37</f>
        <v>133</v>
      </c>
      <c r="N51" s="7">
        <f>k_fold_output!L37</f>
        <v>41</v>
      </c>
      <c r="O51" s="8">
        <f>k_fold_output!M37</f>
        <v>59</v>
      </c>
      <c r="P51" s="32">
        <f>k_fold_output!N37</f>
        <v>0.83561640977859497</v>
      </c>
      <c r="Q51" s="7">
        <f>k_fold_output!O37</f>
        <v>0.27350428700446999</v>
      </c>
      <c r="R51" s="7">
        <f>k_fold_output!P37</f>
        <v>0.58181816339492798</v>
      </c>
      <c r="S51" s="7">
        <f>k_fold_output!Q37</f>
        <v>0.37209302186965898</v>
      </c>
      <c r="T51" s="7">
        <f>k_fold_output!R37</f>
        <v>0.84529596567153897</v>
      </c>
      <c r="U51" s="7">
        <f>k_fold_output!S37</f>
        <v>0.28834438323974598</v>
      </c>
      <c r="V51" s="7">
        <f>k_fold_output!T37</f>
        <v>1034</v>
      </c>
      <c r="W51" s="7">
        <f>k_fold_output!U37</f>
        <v>170</v>
      </c>
      <c r="X51" s="7">
        <f>k_fold_output!V37</f>
        <v>46</v>
      </c>
      <c r="Y51" s="8">
        <f>k_fold_output!W37</f>
        <v>64</v>
      </c>
      <c r="Z51" s="7">
        <f>luna16_k_fold_output!C37</f>
        <v>0.70164918899536133</v>
      </c>
      <c r="AA51" s="7">
        <f>luna16_k_fold_output!D37</f>
        <v>0.8253968358039856</v>
      </c>
      <c r="AB51" s="7">
        <f>luna16_k_fold_output!E37</f>
        <v>0.48447203636169434</v>
      </c>
      <c r="AC51" s="7">
        <f>luna16_k_fold_output!F37</f>
        <v>0.61056751012802124</v>
      </c>
      <c r="AD51" s="7">
        <f>luna16_k_fold_output!G37</f>
        <v>0.77432715892791748</v>
      </c>
      <c r="AE51" s="7">
        <f>luna16_k_fold_output!H37</f>
        <v>0.76891565322875977</v>
      </c>
      <c r="AF51" s="7">
        <f>luna16_k_fold_output!I37</f>
        <v>312</v>
      </c>
      <c r="AG51" s="7">
        <f>luna16_k_fold_output!J37</f>
        <v>33</v>
      </c>
      <c r="AH51" s="7">
        <f>luna16_k_fold_output!K37</f>
        <v>166</v>
      </c>
      <c r="AI51" s="8">
        <f>luna16_k_fold_output!L37</f>
        <v>156</v>
      </c>
    </row>
    <row r="52" spans="1:35" x14ac:dyDescent="0.25">
      <c r="A52" s="103" t="s">
        <v>24</v>
      </c>
      <c r="B52" s="103" t="s">
        <v>21</v>
      </c>
      <c r="C52" s="105">
        <v>18</v>
      </c>
      <c r="D52">
        <v>1</v>
      </c>
      <c r="E52" s="3">
        <f>k_fold_output!C50</f>
        <v>6</v>
      </c>
      <c r="F52">
        <f>k_fold_output!D50</f>
        <v>0.88746803998947099</v>
      </c>
      <c r="G52">
        <f>k_fold_output!E50</f>
        <v>0.46153846383094699</v>
      </c>
      <c r="H52">
        <f>k_fold_output!F50</f>
        <v>0.60000002384185702</v>
      </c>
      <c r="I52">
        <f>k_fold_output!G50</f>
        <v>0.52173912525177002</v>
      </c>
      <c r="J52">
        <f>k_fold_output!H50</f>
        <v>0.84867036342620805</v>
      </c>
      <c r="K52">
        <f>k_fold_output!I50</f>
        <v>0.49701082706451399</v>
      </c>
      <c r="L52">
        <f>k_fold_output!J50</f>
        <v>969</v>
      </c>
      <c r="M52">
        <f>k_fold_output!K50</f>
        <v>84</v>
      </c>
      <c r="N52">
        <f>k_fold_output!L50</f>
        <v>48</v>
      </c>
      <c r="O52" s="3">
        <f>k_fold_output!M50</f>
        <v>72</v>
      </c>
      <c r="P52" s="67">
        <f>k_fold_output!N50</f>
        <v>0.87214612960815396</v>
      </c>
      <c r="Q52" s="9">
        <f>k_fold_output!O50</f>
        <v>0.34895834326744002</v>
      </c>
      <c r="R52" s="9">
        <f>k_fold_output!P50</f>
        <v>0.60909092426300004</v>
      </c>
      <c r="S52" s="9">
        <f>k_fold_output!Q50</f>
        <v>0.44370859861373901</v>
      </c>
      <c r="T52" s="9">
        <f>k_fold_output!R50</f>
        <v>0.85996675491332997</v>
      </c>
      <c r="U52" s="9">
        <f>k_fold_output!S50</f>
        <v>0.39321514964103699</v>
      </c>
      <c r="V52" s="9">
        <f>k_fold_output!T50</f>
        <v>1079</v>
      </c>
      <c r="W52" s="9">
        <f>k_fold_output!U50</f>
        <v>125</v>
      </c>
      <c r="X52" s="9">
        <f>k_fold_output!V50</f>
        <v>43</v>
      </c>
      <c r="Y52" s="10">
        <f>k_fold_output!W50</f>
        <v>67</v>
      </c>
      <c r="Z52" s="9">
        <f>luna16_k_fold_output!C50</f>
        <v>0.7061469554901123</v>
      </c>
      <c r="AA52" s="9">
        <f>luna16_k_fold_output!D50</f>
        <v>0.9038461446762085</v>
      </c>
      <c r="AB52" s="9">
        <f>luna16_k_fold_output!E50</f>
        <v>0.43788820505142212</v>
      </c>
      <c r="AC52" s="9">
        <f>luna16_k_fold_output!F50</f>
        <v>0.58995813131332397</v>
      </c>
      <c r="AD52" s="9">
        <f>luna16_k_fold_output!G50</f>
        <v>0.8092537522315979</v>
      </c>
      <c r="AE52" s="9">
        <f>luna16_k_fold_output!H50</f>
        <v>0.82250732183456421</v>
      </c>
      <c r="AF52" s="9">
        <f>luna16_k_fold_output!I50</f>
        <v>330</v>
      </c>
      <c r="AG52" s="9">
        <f>luna16_k_fold_output!J50</f>
        <v>15</v>
      </c>
      <c r="AH52" s="9">
        <f>luna16_k_fold_output!K50</f>
        <v>181</v>
      </c>
      <c r="AI52" s="10">
        <f>luna16_k_fold_output!L50</f>
        <v>141</v>
      </c>
    </row>
    <row r="53" spans="1:35" x14ac:dyDescent="0.25">
      <c r="A53" s="105"/>
      <c r="B53" s="105"/>
      <c r="C53" s="105"/>
      <c r="D53">
        <v>2</v>
      </c>
      <c r="E53" s="3">
        <f>k_fold_output!C51</f>
        <v>8</v>
      </c>
      <c r="F53">
        <f>k_fold_output!D51</f>
        <v>0.91707319021224898</v>
      </c>
      <c r="G53">
        <f>k_fold_output!E51</f>
        <v>0.60000002384185702</v>
      </c>
      <c r="H53">
        <f>k_fold_output!F51</f>
        <v>0.31578946113586398</v>
      </c>
      <c r="I53">
        <f>k_fold_output!G51</f>
        <v>0.41379311680793701</v>
      </c>
      <c r="J53">
        <f>k_fold_output!H51</f>
        <v>0.88900679349899203</v>
      </c>
      <c r="K53">
        <f>k_fold_output!I51</f>
        <v>0.54354256391525202</v>
      </c>
      <c r="L53">
        <f>k_fold_output!J51</f>
        <v>1092</v>
      </c>
      <c r="M53">
        <f>k_fold_output!K51</f>
        <v>24</v>
      </c>
      <c r="N53">
        <f>k_fold_output!L51</f>
        <v>78</v>
      </c>
      <c r="O53" s="3">
        <f>k_fold_output!M51</f>
        <v>36</v>
      </c>
      <c r="P53" s="44">
        <f>k_fold_output!N51</f>
        <v>0.91704720258712702</v>
      </c>
      <c r="Q53">
        <f>k_fold_output!O51</f>
        <v>0.50704222917556696</v>
      </c>
      <c r="R53">
        <f>k_fold_output!P51</f>
        <v>0.32727271318435602</v>
      </c>
      <c r="S53">
        <f>k_fold_output!Q51</f>
        <v>0.39779004454612699</v>
      </c>
      <c r="T53">
        <f>k_fold_output!R51</f>
        <v>0.86401391029357899</v>
      </c>
      <c r="U53">
        <f>k_fold_output!S51</f>
        <v>0.44246089458465498</v>
      </c>
      <c r="V53">
        <f>k_fold_output!T51</f>
        <v>1169</v>
      </c>
      <c r="W53">
        <f>k_fold_output!U51</f>
        <v>35</v>
      </c>
      <c r="X53">
        <f>k_fold_output!V51</f>
        <v>74</v>
      </c>
      <c r="Y53" s="3">
        <f>k_fold_output!W51</f>
        <v>36</v>
      </c>
      <c r="Z53">
        <f>luna16_k_fold_output!C51</f>
        <v>0.59220391511917114</v>
      </c>
      <c r="AA53">
        <f>luna16_k_fold_output!D51</f>
        <v>0.96296298503875732</v>
      </c>
      <c r="AB53">
        <f>luna16_k_fold_output!E51</f>
        <v>0.16149067878723145</v>
      </c>
      <c r="AC53">
        <f>luna16_k_fold_output!F51</f>
        <v>0.27659574151039124</v>
      </c>
      <c r="AD53">
        <f>luna16_k_fold_output!G51</f>
        <v>0.7968403697013855</v>
      </c>
      <c r="AE53">
        <f>luna16_k_fold_output!H51</f>
        <v>0.81430995464324951</v>
      </c>
      <c r="AF53">
        <f>luna16_k_fold_output!I51</f>
        <v>343</v>
      </c>
      <c r="AG53">
        <f>luna16_k_fold_output!J51</f>
        <v>2</v>
      </c>
      <c r="AH53">
        <f>luna16_k_fold_output!K51</f>
        <v>270</v>
      </c>
      <c r="AI53" s="3">
        <f>luna16_k_fold_output!L51</f>
        <v>52</v>
      </c>
    </row>
    <row r="54" spans="1:35" x14ac:dyDescent="0.25">
      <c r="A54" s="105"/>
      <c r="B54" s="105"/>
      <c r="C54" s="105"/>
      <c r="D54">
        <v>3</v>
      </c>
      <c r="E54" s="3">
        <f>k_fold_output!C52</f>
        <v>6</v>
      </c>
      <c r="F54">
        <f>k_fold_output!D52</f>
        <v>0.86421728134155196</v>
      </c>
      <c r="G54">
        <f>k_fold_output!E52</f>
        <v>0.35748791694641102</v>
      </c>
      <c r="H54">
        <f>k_fold_output!F52</f>
        <v>0.66666668653488104</v>
      </c>
      <c r="I54">
        <f>k_fold_output!G52</f>
        <v>0.46540880203246998</v>
      </c>
      <c r="J54">
        <f>k_fold_output!H52</f>
        <v>0.84707576036453203</v>
      </c>
      <c r="K54">
        <f>k_fold_output!I52</f>
        <v>0.42528277635574302</v>
      </c>
      <c r="L54">
        <f>k_fold_output!J52</f>
        <v>1008</v>
      </c>
      <c r="M54">
        <f>k_fold_output!K52</f>
        <v>133</v>
      </c>
      <c r="N54">
        <f>k_fold_output!L52</f>
        <v>37</v>
      </c>
      <c r="O54" s="3">
        <f>k_fold_output!M52</f>
        <v>74</v>
      </c>
      <c r="P54" s="44">
        <f>k_fold_output!N52</f>
        <v>0.83866059780120805</v>
      </c>
      <c r="Q54">
        <f>k_fold_output!O52</f>
        <v>0.290983617305755</v>
      </c>
      <c r="R54">
        <f>k_fold_output!P52</f>
        <v>0.64545452594757002</v>
      </c>
      <c r="S54">
        <f>k_fold_output!Q52</f>
        <v>0.401129931211471</v>
      </c>
      <c r="T54">
        <f>k_fold_output!R52</f>
        <v>0.86666423082351596</v>
      </c>
      <c r="U54">
        <f>k_fold_output!S52</f>
        <v>0.392840266227722</v>
      </c>
      <c r="V54">
        <f>k_fold_output!T52</f>
        <v>1031</v>
      </c>
      <c r="W54">
        <f>k_fold_output!U52</f>
        <v>173</v>
      </c>
      <c r="X54">
        <f>k_fold_output!V52</f>
        <v>39</v>
      </c>
      <c r="Y54" s="3">
        <f>k_fold_output!W52</f>
        <v>71</v>
      </c>
      <c r="Z54">
        <f>luna16_k_fold_output!C52</f>
        <v>0.73013490438461304</v>
      </c>
      <c r="AA54">
        <f>luna16_k_fold_output!D52</f>
        <v>0.90804594755172729</v>
      </c>
      <c r="AB54">
        <f>luna16_k_fold_output!E52</f>
        <v>0.49068322777748108</v>
      </c>
      <c r="AC54">
        <f>luna16_k_fold_output!F52</f>
        <v>0.63709676265716553</v>
      </c>
      <c r="AD54">
        <f>luna16_k_fold_output!G52</f>
        <v>0.81712120771408081</v>
      </c>
      <c r="AE54">
        <f>luna16_k_fold_output!H52</f>
        <v>0.84133291244506836</v>
      </c>
      <c r="AF54">
        <f>luna16_k_fold_output!I52</f>
        <v>329</v>
      </c>
      <c r="AG54">
        <f>luna16_k_fold_output!J52</f>
        <v>16</v>
      </c>
      <c r="AH54">
        <f>luna16_k_fold_output!K52</f>
        <v>164</v>
      </c>
      <c r="AI54" s="3">
        <f>luna16_k_fold_output!L52</f>
        <v>158</v>
      </c>
    </row>
    <row r="55" spans="1:35" x14ac:dyDescent="0.25">
      <c r="A55" s="105"/>
      <c r="B55" s="105"/>
      <c r="C55" s="105"/>
      <c r="D55">
        <v>4</v>
      </c>
      <c r="E55" s="3">
        <f>k_fold_output!C53</f>
        <v>8</v>
      </c>
      <c r="F55">
        <f>k_fold_output!D53</f>
        <v>0.85175877809524503</v>
      </c>
      <c r="G55">
        <f>k_fold_output!E53</f>
        <v>0.33617022633552501</v>
      </c>
      <c r="H55">
        <f>k_fold_output!F53</f>
        <v>0.79000002145767201</v>
      </c>
      <c r="I55">
        <f>k_fold_output!G53</f>
        <v>0.47164177894592202</v>
      </c>
      <c r="J55">
        <f>k_fold_output!H53</f>
        <v>0.88942408561706499</v>
      </c>
      <c r="K55">
        <f>k_fold_output!I53</f>
        <v>0.50199639797210605</v>
      </c>
      <c r="L55">
        <f>k_fold_output!J53</f>
        <v>938</v>
      </c>
      <c r="M55">
        <f>k_fold_output!K53</f>
        <v>156</v>
      </c>
      <c r="N55">
        <f>k_fold_output!L53</f>
        <v>21</v>
      </c>
      <c r="O55" s="3">
        <f>k_fold_output!M53</f>
        <v>79</v>
      </c>
      <c r="P55" s="44">
        <f>k_fold_output!N53</f>
        <v>0.81735157966613703</v>
      </c>
      <c r="Q55">
        <f>k_fold_output!O53</f>
        <v>0.27586206793785001</v>
      </c>
      <c r="R55">
        <f>k_fold_output!P53</f>
        <v>0.727272748947143</v>
      </c>
      <c r="S55">
        <f>k_fold_output!Q53</f>
        <v>0.40000000596046398</v>
      </c>
      <c r="T55">
        <f>k_fold_output!R53</f>
        <v>0.87003928422927801</v>
      </c>
      <c r="U55">
        <f>k_fold_output!S53</f>
        <v>0.42728608846664401</v>
      </c>
      <c r="V55">
        <f>k_fold_output!T53</f>
        <v>994</v>
      </c>
      <c r="W55">
        <f>k_fold_output!U53</f>
        <v>210</v>
      </c>
      <c r="X55">
        <f>k_fold_output!V53</f>
        <v>30</v>
      </c>
      <c r="Y55" s="3">
        <f>k_fold_output!W53</f>
        <v>80</v>
      </c>
      <c r="Z55">
        <f>luna16_k_fold_output!C53</f>
        <v>0.73913043737411499</v>
      </c>
      <c r="AA55">
        <f>luna16_k_fold_output!D53</f>
        <v>0.85922330617904663</v>
      </c>
      <c r="AB55">
        <f>luna16_k_fold_output!E53</f>
        <v>0.54968941211700439</v>
      </c>
      <c r="AC55">
        <f>luna16_k_fold_output!F53</f>
        <v>0.67045456171035767</v>
      </c>
      <c r="AD55">
        <f>luna16_k_fold_output!G53</f>
        <v>0.80617517232894897</v>
      </c>
      <c r="AE55">
        <f>luna16_k_fold_output!H53</f>
        <v>0.8273080587387085</v>
      </c>
      <c r="AF55">
        <f>luna16_k_fold_output!I53</f>
        <v>316</v>
      </c>
      <c r="AG55">
        <f>luna16_k_fold_output!J53</f>
        <v>29</v>
      </c>
      <c r="AH55">
        <f>luna16_k_fold_output!K53</f>
        <v>145</v>
      </c>
      <c r="AI55" s="3">
        <f>luna16_k_fold_output!L53</f>
        <v>177</v>
      </c>
    </row>
    <row r="56" spans="1:35" x14ac:dyDescent="0.25">
      <c r="A56" s="105"/>
      <c r="B56" s="105"/>
      <c r="C56" s="105">
        <v>34</v>
      </c>
      <c r="D56">
        <v>1</v>
      </c>
      <c r="E56" s="3">
        <f>k_fold_output!C54</f>
        <v>3</v>
      </c>
      <c r="F56">
        <f>k_fold_output!D54</f>
        <v>0.869565188884735</v>
      </c>
      <c r="G56">
        <f>k_fold_output!E54</f>
        <v>0.40571427345275801</v>
      </c>
      <c r="H56">
        <f>k_fold_output!F54</f>
        <v>0.59166663885116499</v>
      </c>
      <c r="I56">
        <f>k_fold_output!G54</f>
        <v>0.48135593533515902</v>
      </c>
      <c r="J56">
        <f>k_fold_output!H54</f>
        <v>0.85361671447753895</v>
      </c>
      <c r="K56">
        <f>k_fold_output!I54</f>
        <v>0.38477489352226202</v>
      </c>
      <c r="L56">
        <f>k_fold_output!J54</f>
        <v>949</v>
      </c>
      <c r="M56">
        <f>k_fold_output!K54</f>
        <v>104</v>
      </c>
      <c r="N56">
        <f>k_fold_output!L54</f>
        <v>49</v>
      </c>
      <c r="O56" s="3">
        <f>k_fold_output!M54</f>
        <v>71</v>
      </c>
      <c r="P56" s="44">
        <f>k_fold_output!N54</f>
        <v>0.87823438644409102</v>
      </c>
      <c r="Q56">
        <f>k_fold_output!O54</f>
        <v>0.35955056548118502</v>
      </c>
      <c r="R56">
        <f>k_fold_output!P54</f>
        <v>0.58181816339492798</v>
      </c>
      <c r="S56">
        <f>k_fold_output!Q54</f>
        <v>0.44444444775581299</v>
      </c>
      <c r="T56">
        <f>k_fold_output!R54</f>
        <v>0.84364998340606601</v>
      </c>
      <c r="U56">
        <f>k_fold_output!S54</f>
        <v>0.351035356521606</v>
      </c>
      <c r="V56">
        <f>k_fold_output!T54</f>
        <v>1090</v>
      </c>
      <c r="W56">
        <f>k_fold_output!U54</f>
        <v>114</v>
      </c>
      <c r="X56">
        <f>k_fold_output!V54</f>
        <v>46</v>
      </c>
      <c r="Y56" s="3">
        <f>k_fold_output!W54</f>
        <v>64</v>
      </c>
      <c r="Z56">
        <f>luna16_k_fold_output!C54</f>
        <v>0.70464766025543213</v>
      </c>
      <c r="AA56">
        <f>luna16_k_fold_output!D54</f>
        <v>0.87425148487091064</v>
      </c>
      <c r="AB56">
        <f>luna16_k_fold_output!E54</f>
        <v>0.4534161388874054</v>
      </c>
      <c r="AC56">
        <f>luna16_k_fold_output!F54</f>
        <v>0.59713703393936157</v>
      </c>
      <c r="AD56">
        <f>luna16_k_fold_output!G54</f>
        <v>0.81300747394561768</v>
      </c>
      <c r="AE56">
        <f>luna16_k_fold_output!H54</f>
        <v>0.82522678375244141</v>
      </c>
      <c r="AF56">
        <f>luna16_k_fold_output!I54</f>
        <v>324</v>
      </c>
      <c r="AG56">
        <f>luna16_k_fold_output!J54</f>
        <v>21</v>
      </c>
      <c r="AH56">
        <f>luna16_k_fold_output!K54</f>
        <v>176</v>
      </c>
      <c r="AI56" s="3">
        <f>luna16_k_fold_output!L54</f>
        <v>146</v>
      </c>
    </row>
    <row r="57" spans="1:35" x14ac:dyDescent="0.25">
      <c r="A57" s="105"/>
      <c r="B57" s="105"/>
      <c r="C57" s="105"/>
      <c r="D57">
        <v>2</v>
      </c>
      <c r="E57" s="3">
        <f>k_fold_output!C55</f>
        <v>20</v>
      </c>
      <c r="F57">
        <f>k_fold_output!D55</f>
        <v>0.90813010931015004</v>
      </c>
      <c r="G57">
        <f>k_fold_output!E55</f>
        <v>0.50467288494110096</v>
      </c>
      <c r="H57">
        <f>k_fold_output!F55</f>
        <v>0.473684221506118</v>
      </c>
      <c r="I57">
        <f>k_fold_output!G55</f>
        <v>0.48868778347969</v>
      </c>
      <c r="J57">
        <f>k_fold_output!H55</f>
        <v>0.89228439331054599</v>
      </c>
      <c r="K57">
        <f>k_fold_output!I55</f>
        <v>0.52881020307540805</v>
      </c>
      <c r="L57">
        <f>k_fold_output!J55</f>
        <v>1063</v>
      </c>
      <c r="M57">
        <f>k_fold_output!K55</f>
        <v>53</v>
      </c>
      <c r="N57">
        <f>k_fold_output!L55</f>
        <v>60</v>
      </c>
      <c r="O57" s="3">
        <f>k_fold_output!M55</f>
        <v>54</v>
      </c>
      <c r="P57" s="44">
        <f>k_fold_output!N55</f>
        <v>0.89649921655654896</v>
      </c>
      <c r="Q57">
        <f>k_fold_output!O55</f>
        <v>0.40845069289207397</v>
      </c>
      <c r="R57">
        <f>k_fold_output!P55</f>
        <v>0.52727270126342696</v>
      </c>
      <c r="S57">
        <f>k_fold_output!Q55</f>
        <v>0.460317462682724</v>
      </c>
      <c r="T57">
        <f>k_fold_output!R55</f>
        <v>0.86284357309341397</v>
      </c>
      <c r="U57">
        <f>k_fold_output!S55</f>
        <v>0.40798449516296298</v>
      </c>
      <c r="V57">
        <f>k_fold_output!T55</f>
        <v>1120</v>
      </c>
      <c r="W57">
        <f>k_fold_output!U55</f>
        <v>84</v>
      </c>
      <c r="X57">
        <f>k_fold_output!V55</f>
        <v>52</v>
      </c>
      <c r="Y57" s="3">
        <f>k_fold_output!W55</f>
        <v>58</v>
      </c>
      <c r="Z57">
        <f>luna16_k_fold_output!C55</f>
        <v>0.66566717624664307</v>
      </c>
      <c r="AA57">
        <f>luna16_k_fold_output!D55</f>
        <v>0.93805307149887085</v>
      </c>
      <c r="AB57">
        <f>luna16_k_fold_output!E55</f>
        <v>0.32919254899024963</v>
      </c>
      <c r="AC57">
        <f>luna16_k_fold_output!F55</f>
        <v>0.48735633492469788</v>
      </c>
      <c r="AD57">
        <f>luna16_k_fold_output!G55</f>
        <v>0.82100105285644531</v>
      </c>
      <c r="AE57">
        <f>luna16_k_fold_output!H55</f>
        <v>0.83263492584228516</v>
      </c>
      <c r="AF57">
        <f>luna16_k_fold_output!I55</f>
        <v>338</v>
      </c>
      <c r="AG57">
        <f>luna16_k_fold_output!J55</f>
        <v>7</v>
      </c>
      <c r="AH57">
        <f>luna16_k_fold_output!K55</f>
        <v>216</v>
      </c>
      <c r="AI57" s="3">
        <f>luna16_k_fold_output!L55</f>
        <v>106</v>
      </c>
    </row>
    <row r="58" spans="1:35" x14ac:dyDescent="0.25">
      <c r="A58" s="105"/>
      <c r="B58" s="105"/>
      <c r="C58" s="105"/>
      <c r="D58">
        <v>3</v>
      </c>
      <c r="E58" s="3">
        <f>k_fold_output!C56</f>
        <v>10</v>
      </c>
      <c r="F58">
        <f>k_fold_output!D56</f>
        <v>0.91853034496307295</v>
      </c>
      <c r="G58">
        <f>k_fold_output!E56</f>
        <v>0.58823531866073597</v>
      </c>
      <c r="H58">
        <f>k_fold_output!F56</f>
        <v>0.27027025818824701</v>
      </c>
      <c r="I58">
        <f>k_fold_output!G56</f>
        <v>0.37037035822868303</v>
      </c>
      <c r="J58">
        <f>k_fold_output!H56</f>
        <v>0.86327779293060303</v>
      </c>
      <c r="K58">
        <f>k_fold_output!I56</f>
        <v>0.42630520462989802</v>
      </c>
      <c r="L58">
        <f>k_fold_output!J56</f>
        <v>1120</v>
      </c>
      <c r="M58">
        <f>k_fold_output!K56</f>
        <v>21</v>
      </c>
      <c r="N58">
        <f>k_fold_output!L56</f>
        <v>81</v>
      </c>
      <c r="O58" s="3">
        <f>k_fold_output!M56</f>
        <v>30</v>
      </c>
      <c r="P58" s="44">
        <f>k_fold_output!N56</f>
        <v>0.91476410627365101</v>
      </c>
      <c r="Q58">
        <f>k_fold_output!O56</f>
        <v>0.481481492519378</v>
      </c>
      <c r="R58">
        <f>k_fold_output!P56</f>
        <v>0.236363634467124</v>
      </c>
      <c r="S58">
        <f>k_fold_output!Q56</f>
        <v>0.31707316637039101</v>
      </c>
      <c r="T58">
        <f>k_fold_output!R56</f>
        <v>0.85711264610290505</v>
      </c>
      <c r="U58">
        <f>k_fold_output!S56</f>
        <v>0.405340135097503</v>
      </c>
      <c r="V58">
        <f>k_fold_output!T56</f>
        <v>1176</v>
      </c>
      <c r="W58">
        <f>k_fold_output!U56</f>
        <v>28</v>
      </c>
      <c r="X58">
        <f>k_fold_output!V56</f>
        <v>84</v>
      </c>
      <c r="Y58" s="3">
        <f>k_fold_output!W56</f>
        <v>26</v>
      </c>
      <c r="Z58">
        <f>luna16_k_fold_output!C56</f>
        <v>0.59970015287399292</v>
      </c>
      <c r="AA58">
        <f>luna16_k_fold_output!D56</f>
        <v>0.96610170602798462</v>
      </c>
      <c r="AB58">
        <f>luna16_k_fold_output!E56</f>
        <v>0.17701862752437592</v>
      </c>
      <c r="AC58">
        <f>luna16_k_fold_output!F56</f>
        <v>0.29921260476112366</v>
      </c>
      <c r="AD58">
        <f>luna16_k_fold_output!G56</f>
        <v>0.81330454349517822</v>
      </c>
      <c r="AE58">
        <f>luna16_k_fold_output!H56</f>
        <v>0.82211685180664063</v>
      </c>
      <c r="AF58">
        <f>luna16_k_fold_output!I56</f>
        <v>343</v>
      </c>
      <c r="AG58">
        <f>luna16_k_fold_output!J56</f>
        <v>2</v>
      </c>
      <c r="AH58">
        <f>luna16_k_fold_output!K56</f>
        <v>265</v>
      </c>
      <c r="AI58" s="3">
        <f>luna16_k_fold_output!L56</f>
        <v>57</v>
      </c>
    </row>
    <row r="59" spans="1:35" x14ac:dyDescent="0.25">
      <c r="A59" s="105"/>
      <c r="B59" s="105"/>
      <c r="C59" s="105"/>
      <c r="D59">
        <v>4</v>
      </c>
      <c r="E59" s="3">
        <f>k_fold_output!C57</f>
        <v>31</v>
      </c>
      <c r="F59">
        <f>k_fold_output!D57</f>
        <v>0.90284758806228604</v>
      </c>
      <c r="G59">
        <f>k_fold_output!E57</f>
        <v>0.44117647409438998</v>
      </c>
      <c r="H59">
        <f>k_fold_output!F57</f>
        <v>0.60000002384185702</v>
      </c>
      <c r="I59">
        <f>k_fold_output!G57</f>
        <v>0.50847458839416504</v>
      </c>
      <c r="J59">
        <f>k_fold_output!H57</f>
        <v>0.89585912227630604</v>
      </c>
      <c r="K59">
        <f>k_fold_output!I57</f>
        <v>0.49422031641006398</v>
      </c>
      <c r="L59">
        <f>k_fold_output!J57</f>
        <v>1018</v>
      </c>
      <c r="M59">
        <f>k_fold_output!K57</f>
        <v>76</v>
      </c>
      <c r="N59">
        <f>k_fold_output!L57</f>
        <v>40</v>
      </c>
      <c r="O59" s="3">
        <f>k_fold_output!M57</f>
        <v>60</v>
      </c>
      <c r="P59" s="44">
        <f>k_fold_output!N57</f>
        <v>0.87747335433959905</v>
      </c>
      <c r="Q59">
        <f>k_fold_output!O57</f>
        <v>0.35260117053985501</v>
      </c>
      <c r="R59">
        <f>k_fold_output!P57</f>
        <v>0.55454546213150002</v>
      </c>
      <c r="S59">
        <f>k_fold_output!Q57</f>
        <v>0.431095391511917</v>
      </c>
      <c r="T59">
        <f>k_fold_output!R57</f>
        <v>0.84563577175140303</v>
      </c>
      <c r="U59">
        <f>k_fold_output!S57</f>
        <v>0.38255935907363797</v>
      </c>
      <c r="V59">
        <f>k_fold_output!T57</f>
        <v>1092</v>
      </c>
      <c r="W59">
        <f>k_fold_output!U57</f>
        <v>112</v>
      </c>
      <c r="X59">
        <f>k_fold_output!V57</f>
        <v>49</v>
      </c>
      <c r="Y59" s="3">
        <f>k_fold_output!W57</f>
        <v>61</v>
      </c>
      <c r="Z59">
        <f>luna16_k_fold_output!C57</f>
        <v>0.6836581826210022</v>
      </c>
      <c r="AA59">
        <f>luna16_k_fold_output!D57</f>
        <v>0.89361703395843506</v>
      </c>
      <c r="AB59">
        <f>luna16_k_fold_output!E57</f>
        <v>0.39130434393882751</v>
      </c>
      <c r="AC59">
        <f>luna16_k_fold_output!F57</f>
        <v>0.54427647590637207</v>
      </c>
      <c r="AD59">
        <f>luna16_k_fold_output!G57</f>
        <v>0.80054008960723877</v>
      </c>
      <c r="AE59">
        <f>luna16_k_fold_output!H57</f>
        <v>0.80730128288269043</v>
      </c>
      <c r="AF59">
        <f>luna16_k_fold_output!I57</f>
        <v>330</v>
      </c>
      <c r="AG59">
        <f>luna16_k_fold_output!J57</f>
        <v>15</v>
      </c>
      <c r="AH59">
        <f>luna16_k_fold_output!K57</f>
        <v>196</v>
      </c>
      <c r="AI59" s="3">
        <f>luna16_k_fold_output!L57</f>
        <v>126</v>
      </c>
    </row>
    <row r="60" spans="1:35" x14ac:dyDescent="0.25">
      <c r="A60" s="105"/>
      <c r="B60" s="105"/>
      <c r="C60" s="105">
        <v>50</v>
      </c>
      <c r="D60">
        <v>1</v>
      </c>
      <c r="E60" s="3">
        <f>k_fold_output!C58</f>
        <v>20</v>
      </c>
      <c r="F60">
        <f>k_fold_output!D58</f>
        <v>0.88064789772033603</v>
      </c>
      <c r="G60">
        <f>k_fold_output!E58</f>
        <v>0.420634925365448</v>
      </c>
      <c r="H60">
        <f>k_fold_output!F58</f>
        <v>0.44166666269302302</v>
      </c>
      <c r="I60">
        <f>k_fold_output!G58</f>
        <v>0.430894315242767</v>
      </c>
      <c r="J60">
        <f>k_fold_output!H58</f>
        <v>0.85489863157272294</v>
      </c>
      <c r="K60">
        <f>k_fold_output!I58</f>
        <v>0.382311850786209</v>
      </c>
      <c r="L60">
        <f>k_fold_output!J58</f>
        <v>980</v>
      </c>
      <c r="M60">
        <f>k_fold_output!K58</f>
        <v>73</v>
      </c>
      <c r="N60">
        <f>k_fold_output!L58</f>
        <v>67</v>
      </c>
      <c r="O60" s="3">
        <f>k_fold_output!M58</f>
        <v>53</v>
      </c>
      <c r="P60" s="44">
        <f>k_fold_output!N58</f>
        <v>0.89269405603408802</v>
      </c>
      <c r="Q60">
        <f>k_fold_output!O58</f>
        <v>0.40127387642860401</v>
      </c>
      <c r="R60">
        <f>k_fold_output!P58</f>
        <v>0.57272726297378496</v>
      </c>
      <c r="S60">
        <f>k_fold_output!Q58</f>
        <v>0.47191011905670099</v>
      </c>
      <c r="T60">
        <f>k_fold_output!R58</f>
        <v>0.85637271404266302</v>
      </c>
      <c r="U60">
        <f>k_fold_output!S58</f>
        <v>0.49981117248535101</v>
      </c>
      <c r="V60">
        <f>k_fold_output!T58</f>
        <v>1110</v>
      </c>
      <c r="W60">
        <f>k_fold_output!U58</f>
        <v>94</v>
      </c>
      <c r="X60">
        <f>k_fold_output!V58</f>
        <v>47</v>
      </c>
      <c r="Y60" s="3">
        <f>k_fold_output!W58</f>
        <v>63</v>
      </c>
      <c r="Z60">
        <f>luna16_k_fold_output!C58</f>
        <v>0.69715142250061035</v>
      </c>
      <c r="AA60">
        <f>luna16_k_fold_output!D58</f>
        <v>0.95454543828964233</v>
      </c>
      <c r="AB60">
        <f>luna16_k_fold_output!E58</f>
        <v>0.39130434393882751</v>
      </c>
      <c r="AC60">
        <f>luna16_k_fold_output!F58</f>
        <v>0.55506610870361328</v>
      </c>
      <c r="AD60">
        <f>luna16_k_fold_output!G58</f>
        <v>0.83881539106369019</v>
      </c>
      <c r="AE60">
        <f>luna16_k_fold_output!H58</f>
        <v>0.85628980398178101</v>
      </c>
      <c r="AF60">
        <f>luna16_k_fold_output!I58</f>
        <v>339</v>
      </c>
      <c r="AG60">
        <f>luna16_k_fold_output!J58</f>
        <v>6</v>
      </c>
      <c r="AH60">
        <f>luna16_k_fold_output!K58</f>
        <v>196</v>
      </c>
      <c r="AI60" s="3">
        <f>luna16_k_fold_output!L58</f>
        <v>126</v>
      </c>
    </row>
    <row r="61" spans="1:35" x14ac:dyDescent="0.25">
      <c r="A61" s="105"/>
      <c r="B61" s="105"/>
      <c r="C61" s="105"/>
      <c r="D61">
        <v>2</v>
      </c>
      <c r="E61" s="3">
        <f>k_fold_output!C59</f>
        <v>4</v>
      </c>
      <c r="F61">
        <f>k_fold_output!D59</f>
        <v>0.89918696880340498</v>
      </c>
      <c r="G61">
        <f>k_fold_output!E59</f>
        <v>0.4609375</v>
      </c>
      <c r="H61">
        <f>k_fold_output!F59</f>
        <v>0.51754385232925404</v>
      </c>
      <c r="I61">
        <f>k_fold_output!G59</f>
        <v>0.48760330677032399</v>
      </c>
      <c r="J61">
        <f>k_fold_output!H59</f>
        <v>0.90357160568237305</v>
      </c>
      <c r="K61">
        <f>k_fold_output!I59</f>
        <v>0.49297505617141701</v>
      </c>
      <c r="L61">
        <f>k_fold_output!J59</f>
        <v>1047</v>
      </c>
      <c r="M61">
        <f>k_fold_output!K59</f>
        <v>69</v>
      </c>
      <c r="N61">
        <f>k_fold_output!L59</f>
        <v>55</v>
      </c>
      <c r="O61" s="3">
        <f>k_fold_output!M59</f>
        <v>59</v>
      </c>
      <c r="P61" s="44">
        <f>k_fold_output!N59</f>
        <v>0.88508373498916604</v>
      </c>
      <c r="Q61">
        <f>k_fold_output!O59</f>
        <v>0.36054420471191401</v>
      </c>
      <c r="R61">
        <f>k_fold_output!P59</f>
        <v>0.48181816935539201</v>
      </c>
      <c r="S61">
        <f>k_fold_output!Q59</f>
        <v>0.41245135664939803</v>
      </c>
      <c r="T61">
        <f>k_fold_output!R59</f>
        <v>0.85785257816314697</v>
      </c>
      <c r="U61">
        <f>k_fold_output!S59</f>
        <v>0.37971735000610302</v>
      </c>
      <c r="V61">
        <f>k_fold_output!T59</f>
        <v>1110</v>
      </c>
      <c r="W61">
        <f>k_fold_output!U59</f>
        <v>94</v>
      </c>
      <c r="X61">
        <f>k_fold_output!V59</f>
        <v>57</v>
      </c>
      <c r="Y61" s="3">
        <f>k_fold_output!W59</f>
        <v>53</v>
      </c>
      <c r="Z61">
        <f>luna16_k_fold_output!C59</f>
        <v>0.70164918899536133</v>
      </c>
      <c r="AA61">
        <f>luna16_k_fold_output!D59</f>
        <v>0.96946567296981812</v>
      </c>
      <c r="AB61">
        <f>luna16_k_fold_output!E59</f>
        <v>0.39440992474555969</v>
      </c>
      <c r="AC61">
        <f>luna16_k_fold_output!F59</f>
        <v>0.56070637702941895</v>
      </c>
      <c r="AD61">
        <f>luna16_k_fold_output!G59</f>
        <v>0.84496355056762695</v>
      </c>
      <c r="AE61">
        <f>luna16_k_fold_output!H59</f>
        <v>0.87243711948394775</v>
      </c>
      <c r="AF61">
        <f>luna16_k_fold_output!I59</f>
        <v>341</v>
      </c>
      <c r="AG61">
        <f>luna16_k_fold_output!J59</f>
        <v>4</v>
      </c>
      <c r="AH61">
        <f>luna16_k_fold_output!K59</f>
        <v>195</v>
      </c>
      <c r="AI61" s="3">
        <f>luna16_k_fold_output!L59</f>
        <v>127</v>
      </c>
    </row>
    <row r="62" spans="1:35" x14ac:dyDescent="0.25">
      <c r="A62" s="105"/>
      <c r="B62" s="105"/>
      <c r="C62" s="105"/>
      <c r="D62">
        <v>3</v>
      </c>
      <c r="E62" s="3">
        <f>k_fold_output!C60</f>
        <v>9</v>
      </c>
      <c r="F62">
        <f>k_fold_output!D60</f>
        <v>0.90335464477538996</v>
      </c>
      <c r="G62">
        <f>k_fold_output!E60</f>
        <v>0.459016382694244</v>
      </c>
      <c r="H62">
        <f>k_fold_output!F60</f>
        <v>0.50450450181961004</v>
      </c>
      <c r="I62">
        <f>k_fold_output!G60</f>
        <v>0.48068669438362099</v>
      </c>
      <c r="J62">
        <f>k_fold_output!H60</f>
        <v>0.85838246345519997</v>
      </c>
      <c r="K62">
        <f>k_fold_output!I60</f>
        <v>0.48779803514480502</v>
      </c>
      <c r="L62">
        <f>k_fold_output!J60</f>
        <v>1075</v>
      </c>
      <c r="M62">
        <f>k_fold_output!K60</f>
        <v>66</v>
      </c>
      <c r="N62">
        <f>k_fold_output!L60</f>
        <v>55</v>
      </c>
      <c r="O62" s="3">
        <f>k_fold_output!M60</f>
        <v>56</v>
      </c>
      <c r="P62" s="44">
        <f>k_fold_output!N60</f>
        <v>0.88432270288467396</v>
      </c>
      <c r="Q62">
        <f>k_fold_output!O60</f>
        <v>0.375</v>
      </c>
      <c r="R62">
        <f>k_fold_output!P60</f>
        <v>0.57272726297378496</v>
      </c>
      <c r="S62">
        <f>k_fold_output!Q60</f>
        <v>0.453237414360046</v>
      </c>
      <c r="T62">
        <f>k_fold_output!R60</f>
        <v>0.86078971624374301</v>
      </c>
      <c r="U62">
        <f>k_fold_output!S60</f>
        <v>0.46594262123107899</v>
      </c>
      <c r="V62">
        <f>k_fold_output!T60</f>
        <v>1099</v>
      </c>
      <c r="W62">
        <f>k_fold_output!U60</f>
        <v>105</v>
      </c>
      <c r="X62">
        <f>k_fold_output!V60</f>
        <v>47</v>
      </c>
      <c r="Y62" s="3">
        <f>k_fold_output!W60</f>
        <v>63</v>
      </c>
      <c r="Z62">
        <f>luna16_k_fold_output!C60</f>
        <v>0.67466264963150024</v>
      </c>
      <c r="AA62">
        <f>luna16_k_fold_output!D60</f>
        <v>0.94117647409439087</v>
      </c>
      <c r="AB62">
        <f>luna16_k_fold_output!E60</f>
        <v>0.34782609343528748</v>
      </c>
      <c r="AC62">
        <f>luna16_k_fold_output!F60</f>
        <v>0.50793653726577759</v>
      </c>
      <c r="AD62">
        <f>luna16_k_fold_output!G60</f>
        <v>0.85581052303314209</v>
      </c>
      <c r="AE62">
        <f>luna16_k_fold_output!H60</f>
        <v>0.8517577052116394</v>
      </c>
      <c r="AF62">
        <f>luna16_k_fold_output!I60</f>
        <v>338</v>
      </c>
      <c r="AG62">
        <f>luna16_k_fold_output!J60</f>
        <v>7</v>
      </c>
      <c r="AH62">
        <f>luna16_k_fold_output!K60</f>
        <v>210</v>
      </c>
      <c r="AI62" s="3">
        <f>luna16_k_fold_output!L60</f>
        <v>112</v>
      </c>
    </row>
    <row r="63" spans="1:35" x14ac:dyDescent="0.25">
      <c r="A63" s="107"/>
      <c r="B63" s="107"/>
      <c r="C63" s="107"/>
      <c r="D63" s="7">
        <v>4</v>
      </c>
      <c r="E63" s="8">
        <f>k_fold_output!C61</f>
        <v>8</v>
      </c>
      <c r="F63" s="7">
        <f>k_fold_output!D61</f>
        <v>0.86097151041030795</v>
      </c>
      <c r="G63" s="7">
        <f>k_fold_output!E61</f>
        <v>0.34722220897674499</v>
      </c>
      <c r="H63" s="7">
        <f>k_fold_output!F61</f>
        <v>0.75</v>
      </c>
      <c r="I63" s="7">
        <f>k_fold_output!G61</f>
        <v>0.47468355298042297</v>
      </c>
      <c r="J63" s="7">
        <f>k_fold_output!H61</f>
        <v>0.89904934167861905</v>
      </c>
      <c r="K63" s="7">
        <f>k_fold_output!I61</f>
        <v>0.48348343372344899</v>
      </c>
      <c r="L63" s="7">
        <f>k_fold_output!J61</f>
        <v>953</v>
      </c>
      <c r="M63" s="7">
        <f>k_fold_output!K61</f>
        <v>141</v>
      </c>
      <c r="N63" s="7">
        <f>k_fold_output!L61</f>
        <v>25</v>
      </c>
      <c r="O63" s="8">
        <f>k_fold_output!M61</f>
        <v>75</v>
      </c>
      <c r="P63" s="32">
        <f>k_fold_output!N61</f>
        <v>0.83181124925613403</v>
      </c>
      <c r="Q63" s="7">
        <f>k_fold_output!O61</f>
        <v>0.30249109864234902</v>
      </c>
      <c r="R63" s="7">
        <f>k_fold_output!P61</f>
        <v>0.772727251052856</v>
      </c>
      <c r="S63" s="7">
        <f>k_fold_output!Q61</f>
        <v>0.434782594442367</v>
      </c>
      <c r="T63" s="7">
        <f>k_fold_output!R61</f>
        <v>0.87798994779586703</v>
      </c>
      <c r="U63" s="7">
        <f>k_fold_output!S61</f>
        <v>0.39214628934860202</v>
      </c>
      <c r="V63" s="7">
        <f>k_fold_output!T61</f>
        <v>1008</v>
      </c>
      <c r="W63" s="7">
        <f>k_fold_output!U61</f>
        <v>196</v>
      </c>
      <c r="X63" s="7">
        <f>k_fold_output!V61</f>
        <v>25</v>
      </c>
      <c r="Y63" s="8">
        <f>k_fold_output!W61</f>
        <v>85</v>
      </c>
      <c r="Z63" s="7">
        <f>luna16_k_fold_output!C61</f>
        <v>0.77811092138290405</v>
      </c>
      <c r="AA63" s="7">
        <f>luna16_k_fold_output!D61</f>
        <v>0.8883928656578064</v>
      </c>
      <c r="AB63" s="7">
        <f>luna16_k_fold_output!E61</f>
        <v>0.61801242828369141</v>
      </c>
      <c r="AC63" s="7">
        <f>luna16_k_fold_output!F61</f>
        <v>0.72893774509429932</v>
      </c>
      <c r="AD63" s="7">
        <f>luna16_k_fold_output!G61</f>
        <v>0.87261676788330078</v>
      </c>
      <c r="AE63" s="7">
        <f>luna16_k_fold_output!H61</f>
        <v>0.88236367702484131</v>
      </c>
      <c r="AF63" s="7">
        <f>luna16_k_fold_output!I61</f>
        <v>320</v>
      </c>
      <c r="AG63" s="7">
        <f>luna16_k_fold_output!J61</f>
        <v>25</v>
      </c>
      <c r="AH63" s="7">
        <f>luna16_k_fold_output!K61</f>
        <v>123</v>
      </c>
      <c r="AI63" s="8">
        <f>luna16_k_fold_output!L61</f>
        <v>199</v>
      </c>
    </row>
    <row r="64" spans="1:35" x14ac:dyDescent="0.25">
      <c r="A64" s="103" t="s">
        <v>19</v>
      </c>
      <c r="B64" s="103" t="s">
        <v>25</v>
      </c>
      <c r="C64" s="103"/>
      <c r="D64" s="9">
        <v>1</v>
      </c>
      <c r="E64" s="10">
        <f>k_fold_output!C66</f>
        <v>38</v>
      </c>
      <c r="F64">
        <f>k_fold_output!D66</f>
        <v>0.89769822359085005</v>
      </c>
      <c r="G64">
        <f>k_fold_output!E66</f>
        <v>0</v>
      </c>
      <c r="H64">
        <f>k_fold_output!F66</f>
        <v>0</v>
      </c>
      <c r="I64">
        <f>k_fold_output!G66</f>
        <v>0</v>
      </c>
      <c r="J64">
        <f>k_fold_output!H66</f>
        <v>0.69873368740081698</v>
      </c>
      <c r="K64">
        <f>k_fold_output!I66</f>
        <v>0.19846300780773099</v>
      </c>
      <c r="L64">
        <f>k_fold_output!J66</f>
        <v>1053</v>
      </c>
      <c r="M64">
        <f>k_fold_output!K66</f>
        <v>0</v>
      </c>
      <c r="N64">
        <f>k_fold_output!L66</f>
        <v>120</v>
      </c>
      <c r="O64" s="3">
        <f>k_fold_output!M66</f>
        <v>0</v>
      </c>
      <c r="P64" s="67">
        <f>k_fold_output!N66</f>
        <v>0.91628617048263505</v>
      </c>
      <c r="Q64" s="9">
        <f>k_fold_output!O66</f>
        <v>0</v>
      </c>
      <c r="R64" s="9">
        <f>k_fold_output!P66</f>
        <v>0</v>
      </c>
      <c r="S64" s="9">
        <f>k_fold_output!Q66</f>
        <v>0</v>
      </c>
      <c r="T64" s="9">
        <f>k_fold_output!R66</f>
        <v>0.68266385793685902</v>
      </c>
      <c r="U64" s="9">
        <f>k_fold_output!S66</f>
        <v>0.178153902292251</v>
      </c>
      <c r="V64" s="9">
        <f>k_fold_output!T66</f>
        <v>1204</v>
      </c>
      <c r="W64" s="9">
        <f>k_fold_output!U66</f>
        <v>0</v>
      </c>
      <c r="X64" s="9">
        <f>k_fold_output!V66</f>
        <v>110</v>
      </c>
      <c r="Y64" s="10">
        <f>k_fold_output!W66</f>
        <v>0</v>
      </c>
      <c r="Z64" s="9">
        <f>luna16_k_fold_output!C66</f>
        <v>0.51724135875701904</v>
      </c>
      <c r="AA64" s="9">
        <f>luna16_k_fold_output!D66</f>
        <v>0</v>
      </c>
      <c r="AB64" s="9">
        <f>luna16_k_fold_output!E66</f>
        <v>0</v>
      </c>
      <c r="AC64" s="9">
        <f>luna16_k_fold_output!F66</f>
        <v>0</v>
      </c>
      <c r="AD64" s="9">
        <f>luna16_k_fold_output!G66</f>
        <v>0.58995407819747925</v>
      </c>
      <c r="AE64" s="9">
        <f>luna16_k_fold_output!H66</f>
        <v>0.54980528354644775</v>
      </c>
      <c r="AF64" s="9">
        <f>luna16_k_fold_output!I66</f>
        <v>345</v>
      </c>
      <c r="AG64" s="9">
        <f>luna16_k_fold_output!J66</f>
        <v>0</v>
      </c>
      <c r="AH64" s="9">
        <f>luna16_k_fold_output!K66</f>
        <v>322</v>
      </c>
      <c r="AI64" s="10">
        <f>luna16_k_fold_output!L66</f>
        <v>0</v>
      </c>
    </row>
    <row r="65" spans="1:35" x14ac:dyDescent="0.25">
      <c r="A65" s="105"/>
      <c r="B65" s="105"/>
      <c r="C65" s="105"/>
      <c r="D65">
        <v>2</v>
      </c>
      <c r="E65" s="3">
        <f>k_fold_output!C67</f>
        <v>46</v>
      </c>
      <c r="F65">
        <f>k_fold_output!D67</f>
        <v>0.90731710195541304</v>
      </c>
      <c r="G65">
        <f>k_fold_output!E67</f>
        <v>0</v>
      </c>
      <c r="H65">
        <f>k_fold_output!F67</f>
        <v>0</v>
      </c>
      <c r="I65">
        <f>k_fold_output!G67</f>
        <v>0</v>
      </c>
      <c r="J65">
        <f>k_fold_output!H67</f>
        <v>0.74301230907440097</v>
      </c>
      <c r="K65">
        <f>k_fold_output!I67</f>
        <v>0.22170831263065299</v>
      </c>
      <c r="L65">
        <f>k_fold_output!J67</f>
        <v>1116</v>
      </c>
      <c r="M65">
        <f>k_fold_output!K67</f>
        <v>0</v>
      </c>
      <c r="N65">
        <f>k_fold_output!L67</f>
        <v>114</v>
      </c>
      <c r="O65" s="3">
        <f>k_fold_output!M67</f>
        <v>0</v>
      </c>
      <c r="P65" s="44">
        <f>k_fold_output!N67</f>
        <v>0.91628617048263505</v>
      </c>
      <c r="Q65">
        <f>k_fold_output!O67</f>
        <v>0</v>
      </c>
      <c r="R65">
        <f>k_fold_output!P67</f>
        <v>0</v>
      </c>
      <c r="S65">
        <f>k_fold_output!Q67</f>
        <v>0</v>
      </c>
      <c r="T65">
        <f>k_fold_output!R67</f>
        <v>0.67980223894119196</v>
      </c>
      <c r="U65">
        <f>k_fold_output!S67</f>
        <v>0.13317538797855299</v>
      </c>
      <c r="V65">
        <f>k_fold_output!T67</f>
        <v>1204</v>
      </c>
      <c r="W65">
        <f>k_fold_output!U67</f>
        <v>0</v>
      </c>
      <c r="X65">
        <f>k_fold_output!V67</f>
        <v>110</v>
      </c>
      <c r="Y65" s="3">
        <f>k_fold_output!W67</f>
        <v>0</v>
      </c>
      <c r="Z65">
        <f>luna16_k_fold_output!C67</f>
        <v>0.51724135875701904</v>
      </c>
      <c r="AA65">
        <f>luna16_k_fold_output!D67</f>
        <v>0</v>
      </c>
      <c r="AB65">
        <f>luna16_k_fold_output!E67</f>
        <v>0</v>
      </c>
      <c r="AC65">
        <f>luna16_k_fold_output!F67</f>
        <v>0</v>
      </c>
      <c r="AD65">
        <f>luna16_k_fold_output!G67</f>
        <v>0.57148265838623047</v>
      </c>
      <c r="AE65">
        <f>luna16_k_fold_output!H67</f>
        <v>0.51970010995864868</v>
      </c>
      <c r="AF65">
        <f>luna16_k_fold_output!I67</f>
        <v>345</v>
      </c>
      <c r="AG65">
        <f>luna16_k_fold_output!J67</f>
        <v>0</v>
      </c>
      <c r="AH65">
        <f>luna16_k_fold_output!K67</f>
        <v>322</v>
      </c>
      <c r="AI65" s="3">
        <f>luna16_k_fold_output!L67</f>
        <v>0</v>
      </c>
    </row>
    <row r="66" spans="1:35" x14ac:dyDescent="0.25">
      <c r="A66" s="105"/>
      <c r="B66" s="105"/>
      <c r="C66" s="105"/>
      <c r="D66">
        <v>3</v>
      </c>
      <c r="E66" s="3">
        <f>k_fold_output!C68</f>
        <v>48</v>
      </c>
      <c r="F66">
        <f>k_fold_output!D68</f>
        <v>0.91134184598922696</v>
      </c>
      <c r="G66">
        <f>k_fold_output!E68</f>
        <v>0</v>
      </c>
      <c r="H66">
        <f>k_fold_output!F68</f>
        <v>0</v>
      </c>
      <c r="I66">
        <f>k_fold_output!G68</f>
        <v>0</v>
      </c>
      <c r="J66">
        <f>k_fold_output!H68</f>
        <v>0.65843927860259999</v>
      </c>
      <c r="K66">
        <f>k_fold_output!I68</f>
        <v>0.13704247772693601</v>
      </c>
      <c r="L66">
        <f>k_fold_output!J68</f>
        <v>1141</v>
      </c>
      <c r="M66">
        <f>k_fold_output!K68</f>
        <v>0</v>
      </c>
      <c r="N66">
        <f>k_fold_output!L68</f>
        <v>111</v>
      </c>
      <c r="O66" s="3">
        <f>k_fold_output!M68</f>
        <v>0</v>
      </c>
      <c r="P66" s="44">
        <f>k_fold_output!N68</f>
        <v>0.91628617048263505</v>
      </c>
      <c r="Q66">
        <f>k_fold_output!O68</f>
        <v>0</v>
      </c>
      <c r="R66">
        <f>k_fold_output!P68</f>
        <v>0</v>
      </c>
      <c r="S66">
        <f>k_fold_output!Q68</f>
        <v>0</v>
      </c>
      <c r="T66">
        <f>k_fold_output!R68</f>
        <v>0.65945333242416304</v>
      </c>
      <c r="U66">
        <f>k_fold_output!S68</f>
        <v>0.12829360365867601</v>
      </c>
      <c r="V66">
        <f>k_fold_output!T68</f>
        <v>1204</v>
      </c>
      <c r="W66">
        <f>k_fold_output!U68</f>
        <v>0</v>
      </c>
      <c r="X66">
        <f>k_fold_output!V68</f>
        <v>110</v>
      </c>
      <c r="Y66" s="3">
        <f>k_fold_output!W68</f>
        <v>0</v>
      </c>
      <c r="Z66">
        <f>luna16_k_fold_output!C68</f>
        <v>0.51724135875701904</v>
      </c>
      <c r="AA66">
        <f>luna16_k_fold_output!D68</f>
        <v>0</v>
      </c>
      <c r="AB66">
        <f>luna16_k_fold_output!E68</f>
        <v>0</v>
      </c>
      <c r="AC66">
        <f>luna16_k_fold_output!F68</f>
        <v>0</v>
      </c>
      <c r="AD66">
        <f>luna16_k_fold_output!G68</f>
        <v>0.56578445434570313</v>
      </c>
      <c r="AE66">
        <f>luna16_k_fold_output!H68</f>
        <v>0.52146589756011963</v>
      </c>
      <c r="AF66">
        <f>luna16_k_fold_output!I68</f>
        <v>345</v>
      </c>
      <c r="AG66">
        <f>luna16_k_fold_output!J68</f>
        <v>0</v>
      </c>
      <c r="AH66">
        <f>luna16_k_fold_output!K68</f>
        <v>322</v>
      </c>
      <c r="AI66" s="3">
        <f>luna16_k_fold_output!L68</f>
        <v>0</v>
      </c>
    </row>
    <row r="67" spans="1:35" x14ac:dyDescent="0.25">
      <c r="A67" s="107"/>
      <c r="B67" s="107"/>
      <c r="C67" s="107"/>
      <c r="D67" s="7">
        <v>4</v>
      </c>
      <c r="E67" s="8">
        <f>k_fold_output!C69</f>
        <v>50</v>
      </c>
      <c r="F67">
        <f>k_fold_output!D69</f>
        <v>0.91624790430068903</v>
      </c>
      <c r="G67">
        <f>k_fold_output!E69</f>
        <v>0</v>
      </c>
      <c r="H67">
        <f>k_fold_output!F69</f>
        <v>0</v>
      </c>
      <c r="I67">
        <f>k_fold_output!G69</f>
        <v>0</v>
      </c>
      <c r="J67">
        <f>k_fold_output!H69</f>
        <v>0.757659971714019</v>
      </c>
      <c r="K67">
        <f>k_fold_output!I69</f>
        <v>0.22631020843982599</v>
      </c>
      <c r="L67">
        <f>k_fold_output!J69</f>
        <v>1094</v>
      </c>
      <c r="M67">
        <f>k_fold_output!K69</f>
        <v>0</v>
      </c>
      <c r="N67">
        <f>k_fold_output!L69</f>
        <v>100</v>
      </c>
      <c r="O67" s="3">
        <f>k_fold_output!M69</f>
        <v>0</v>
      </c>
      <c r="P67" s="44">
        <f>k_fold_output!N69</f>
        <v>0.91628617048263505</v>
      </c>
      <c r="Q67">
        <f>k_fold_output!O69</f>
        <v>0</v>
      </c>
      <c r="R67">
        <f>k_fold_output!P69</f>
        <v>0</v>
      </c>
      <c r="S67">
        <f>k_fold_output!Q69</f>
        <v>0</v>
      </c>
      <c r="T67">
        <f>k_fold_output!R69</f>
        <v>0.71057081222534102</v>
      </c>
      <c r="U67">
        <f>k_fold_output!S69</f>
        <v>0.17822530865669201</v>
      </c>
      <c r="V67">
        <f>k_fold_output!T69</f>
        <v>1204</v>
      </c>
      <c r="W67">
        <f>k_fold_output!U69</f>
        <v>0</v>
      </c>
      <c r="X67">
        <f>k_fold_output!V69</f>
        <v>110</v>
      </c>
      <c r="Y67" s="3">
        <f>k_fold_output!W69</f>
        <v>0</v>
      </c>
      <c r="Z67">
        <f>luna16_k_fold_output!C69</f>
        <v>0.51724135875701904</v>
      </c>
      <c r="AA67">
        <f>luna16_k_fold_output!D69</f>
        <v>0</v>
      </c>
      <c r="AB67">
        <f>luna16_k_fold_output!E69</f>
        <v>0</v>
      </c>
      <c r="AC67">
        <f>luna16_k_fold_output!F69</f>
        <v>0</v>
      </c>
      <c r="AD67">
        <f>luna16_k_fold_output!G69</f>
        <v>0.64655685424804688</v>
      </c>
      <c r="AE67">
        <f>luna16_k_fold_output!H69</f>
        <v>0.59876233339309692</v>
      </c>
      <c r="AF67">
        <f>luna16_k_fold_output!I69</f>
        <v>345</v>
      </c>
      <c r="AG67">
        <f>luna16_k_fold_output!J69</f>
        <v>0</v>
      </c>
      <c r="AH67">
        <f>luna16_k_fold_output!K69</f>
        <v>322</v>
      </c>
      <c r="AI67" s="3">
        <f>luna16_k_fold_output!L69</f>
        <v>0</v>
      </c>
    </row>
    <row r="68" spans="1:35" x14ac:dyDescent="0.25">
      <c r="A68" s="103" t="s">
        <v>19</v>
      </c>
      <c r="B68" s="103" t="s">
        <v>26</v>
      </c>
      <c r="C68" s="103"/>
      <c r="D68" s="9">
        <v>1</v>
      </c>
      <c r="E68" s="10">
        <f>k_fold_output!C70</f>
        <v>16</v>
      </c>
      <c r="F68">
        <f>k_fold_output!D70</f>
        <v>0.89769822359085005</v>
      </c>
      <c r="G68">
        <f>k_fold_output!E70</f>
        <v>0</v>
      </c>
      <c r="H68">
        <f>k_fold_output!F70</f>
        <v>0</v>
      </c>
      <c r="I68">
        <f>k_fold_output!G70</f>
        <v>0</v>
      </c>
      <c r="J68">
        <f>k_fold_output!H70</f>
        <v>0.70262742042541504</v>
      </c>
      <c r="K68">
        <f>k_fold_output!I70</f>
        <v>0.183729007840156</v>
      </c>
      <c r="L68">
        <f>k_fold_output!J70</f>
        <v>1053</v>
      </c>
      <c r="M68">
        <f>k_fold_output!K70</f>
        <v>0</v>
      </c>
      <c r="N68">
        <f>k_fold_output!L70</f>
        <v>120</v>
      </c>
      <c r="O68" s="3">
        <f>k_fold_output!M70</f>
        <v>0</v>
      </c>
      <c r="P68" s="44">
        <f>k_fold_output!N70</f>
        <v>0.91628617048263505</v>
      </c>
      <c r="Q68">
        <f>k_fold_output!O70</f>
        <v>0</v>
      </c>
      <c r="R68">
        <f>k_fold_output!P70</f>
        <v>0</v>
      </c>
      <c r="S68">
        <f>k_fold_output!Q70</f>
        <v>0</v>
      </c>
      <c r="T68">
        <f>k_fold_output!R70</f>
        <v>0.67237246036529497</v>
      </c>
      <c r="U68">
        <f>k_fold_output!S70</f>
        <v>0.140773341059684</v>
      </c>
      <c r="V68">
        <f>k_fold_output!T70</f>
        <v>1204</v>
      </c>
      <c r="W68">
        <f>k_fold_output!U70</f>
        <v>0</v>
      </c>
      <c r="X68">
        <f>k_fold_output!V70</f>
        <v>110</v>
      </c>
      <c r="Y68" s="3">
        <f>k_fold_output!W70</f>
        <v>0</v>
      </c>
      <c r="Z68">
        <f>luna16_k_fold_output!C70</f>
        <v>0.51724135875701904</v>
      </c>
      <c r="AA68">
        <f>luna16_k_fold_output!D70</f>
        <v>0</v>
      </c>
      <c r="AB68">
        <f>luna16_k_fold_output!E70</f>
        <v>0</v>
      </c>
      <c r="AC68">
        <f>luna16_k_fold_output!F70</f>
        <v>0</v>
      </c>
      <c r="AD68">
        <f>luna16_k_fold_output!G70</f>
        <v>0.53664588928222656</v>
      </c>
      <c r="AE68">
        <f>luna16_k_fold_output!H70</f>
        <v>0.49642056226730347</v>
      </c>
      <c r="AF68">
        <f>luna16_k_fold_output!I70</f>
        <v>345</v>
      </c>
      <c r="AG68">
        <f>luna16_k_fold_output!J70</f>
        <v>0</v>
      </c>
      <c r="AH68">
        <f>luna16_k_fold_output!K70</f>
        <v>322</v>
      </c>
      <c r="AI68" s="3">
        <f>luna16_k_fold_output!L70</f>
        <v>0</v>
      </c>
    </row>
    <row r="69" spans="1:35" x14ac:dyDescent="0.25">
      <c r="A69" s="105"/>
      <c r="B69" s="105"/>
      <c r="C69" s="105"/>
      <c r="D69">
        <v>2</v>
      </c>
      <c r="E69" s="3">
        <f>k_fold_output!C71</f>
        <v>34</v>
      </c>
      <c r="F69">
        <f>k_fold_output!D71</f>
        <v>0.90731710195541304</v>
      </c>
      <c r="G69">
        <f>k_fold_output!E71</f>
        <v>0</v>
      </c>
      <c r="H69">
        <f>k_fold_output!F71</f>
        <v>0</v>
      </c>
      <c r="I69">
        <f>k_fold_output!G71</f>
        <v>0</v>
      </c>
      <c r="J69">
        <f>k_fold_output!H71</f>
        <v>0.73716443777084295</v>
      </c>
      <c r="K69">
        <f>k_fold_output!I71</f>
        <v>0.22935152053832999</v>
      </c>
      <c r="L69">
        <f>k_fold_output!J71</f>
        <v>1116</v>
      </c>
      <c r="M69">
        <f>k_fold_output!K71</f>
        <v>0</v>
      </c>
      <c r="N69">
        <f>k_fold_output!L71</f>
        <v>114</v>
      </c>
      <c r="O69" s="3">
        <f>k_fold_output!M71</f>
        <v>0</v>
      </c>
      <c r="P69" s="44">
        <f>k_fold_output!N71</f>
        <v>0.91628617048263505</v>
      </c>
      <c r="Q69">
        <f>k_fold_output!O71</f>
        <v>0</v>
      </c>
      <c r="R69">
        <f>k_fold_output!P71</f>
        <v>0</v>
      </c>
      <c r="S69">
        <f>k_fold_output!Q71</f>
        <v>0</v>
      </c>
      <c r="T69">
        <f>k_fold_output!R71</f>
        <v>0.682497799396514</v>
      </c>
      <c r="U69">
        <f>k_fold_output!S71</f>
        <v>0.139206692576408</v>
      </c>
      <c r="V69">
        <f>k_fold_output!T71</f>
        <v>1204</v>
      </c>
      <c r="W69">
        <f>k_fold_output!U71</f>
        <v>0</v>
      </c>
      <c r="X69">
        <f>k_fold_output!V71</f>
        <v>110</v>
      </c>
      <c r="Y69" s="3">
        <f>k_fold_output!W71</f>
        <v>0</v>
      </c>
      <c r="Z69">
        <f>luna16_k_fold_output!C71</f>
        <v>0.51724135875701904</v>
      </c>
      <c r="AA69">
        <f>luna16_k_fold_output!D71</f>
        <v>0</v>
      </c>
      <c r="AB69">
        <f>luna16_k_fold_output!E71</f>
        <v>0</v>
      </c>
      <c r="AC69">
        <f>luna16_k_fold_output!F71</f>
        <v>0</v>
      </c>
      <c r="AD69">
        <f>luna16_k_fold_output!G71</f>
        <v>0.58226662874221802</v>
      </c>
      <c r="AE69">
        <f>luna16_k_fold_output!H71</f>
        <v>0.53252708911895752</v>
      </c>
      <c r="AF69">
        <f>luna16_k_fold_output!I71</f>
        <v>345</v>
      </c>
      <c r="AG69">
        <f>luna16_k_fold_output!J71</f>
        <v>0</v>
      </c>
      <c r="AH69">
        <f>luna16_k_fold_output!K71</f>
        <v>322</v>
      </c>
      <c r="AI69" s="3">
        <f>luna16_k_fold_output!L71</f>
        <v>0</v>
      </c>
    </row>
    <row r="70" spans="1:35" x14ac:dyDescent="0.25">
      <c r="A70" s="105"/>
      <c r="B70" s="105"/>
      <c r="C70" s="105"/>
      <c r="D70">
        <v>3</v>
      </c>
      <c r="E70" s="3">
        <f>k_fold_output!C72</f>
        <v>31</v>
      </c>
      <c r="F70">
        <f>k_fold_output!D72</f>
        <v>0.91134184598922696</v>
      </c>
      <c r="G70">
        <f>k_fold_output!E72</f>
        <v>0</v>
      </c>
      <c r="H70">
        <f>k_fold_output!F72</f>
        <v>0</v>
      </c>
      <c r="I70">
        <f>k_fold_output!G72</f>
        <v>0</v>
      </c>
      <c r="J70">
        <f>k_fold_output!H72</f>
        <v>0.67117512226104703</v>
      </c>
      <c r="K70">
        <f>k_fold_output!I72</f>
        <v>0.14150363206863401</v>
      </c>
      <c r="L70">
        <f>k_fold_output!J72</f>
        <v>1141</v>
      </c>
      <c r="M70">
        <f>k_fold_output!K72</f>
        <v>0</v>
      </c>
      <c r="N70">
        <f>k_fold_output!L72</f>
        <v>111</v>
      </c>
      <c r="O70" s="3">
        <f>k_fold_output!M72</f>
        <v>0</v>
      </c>
      <c r="P70" s="44">
        <f>k_fold_output!N72</f>
        <v>0.91628617048263505</v>
      </c>
      <c r="Q70">
        <f>k_fold_output!O72</f>
        <v>0</v>
      </c>
      <c r="R70">
        <f>k_fold_output!P72</f>
        <v>0</v>
      </c>
      <c r="S70">
        <f>k_fold_output!Q72</f>
        <v>0</v>
      </c>
      <c r="T70">
        <f>k_fold_output!R72</f>
        <v>0.63686954975128096</v>
      </c>
      <c r="U70">
        <f>k_fold_output!S72</f>
        <v>0.124480061233043</v>
      </c>
      <c r="V70">
        <f>k_fold_output!T72</f>
        <v>1204</v>
      </c>
      <c r="W70">
        <f>k_fold_output!U72</f>
        <v>0</v>
      </c>
      <c r="X70">
        <f>k_fold_output!V72</f>
        <v>110</v>
      </c>
      <c r="Y70" s="3">
        <f>k_fold_output!W72</f>
        <v>0</v>
      </c>
      <c r="Z70">
        <f>luna16_k_fold_output!C72</f>
        <v>0.51724135875701904</v>
      </c>
      <c r="AA70">
        <f>luna16_k_fold_output!D72</f>
        <v>0</v>
      </c>
      <c r="AB70">
        <f>luna16_k_fold_output!E72</f>
        <v>0</v>
      </c>
      <c r="AC70">
        <f>luna16_k_fold_output!F72</f>
        <v>0</v>
      </c>
      <c r="AD70">
        <f>luna16_k_fold_output!G72</f>
        <v>0.58876585960388184</v>
      </c>
      <c r="AE70">
        <f>luna16_k_fold_output!H72</f>
        <v>0.53367698192596436</v>
      </c>
      <c r="AF70">
        <f>luna16_k_fold_output!I72</f>
        <v>345</v>
      </c>
      <c r="AG70">
        <f>luna16_k_fold_output!J72</f>
        <v>0</v>
      </c>
      <c r="AH70">
        <f>luna16_k_fold_output!K72</f>
        <v>322</v>
      </c>
      <c r="AI70" s="3">
        <f>luna16_k_fold_output!L72</f>
        <v>0</v>
      </c>
    </row>
    <row r="71" spans="1:35" x14ac:dyDescent="0.25">
      <c r="A71" s="107"/>
      <c r="B71" s="107"/>
      <c r="C71" s="107"/>
      <c r="D71" s="7">
        <v>4</v>
      </c>
      <c r="E71" s="8">
        <f>k_fold_output!C73</f>
        <v>45</v>
      </c>
      <c r="F71">
        <f>k_fold_output!D73</f>
        <v>0.91541039943695002</v>
      </c>
      <c r="G71">
        <f>k_fold_output!E73</f>
        <v>0</v>
      </c>
      <c r="H71">
        <f>k_fold_output!F73</f>
        <v>0</v>
      </c>
      <c r="I71">
        <f>k_fold_output!G73</f>
        <v>0</v>
      </c>
      <c r="J71">
        <f>k_fold_output!H73</f>
        <v>0.72410422563552801</v>
      </c>
      <c r="K71">
        <f>k_fold_output!I73</f>
        <v>0.21840052306652</v>
      </c>
      <c r="L71">
        <f>k_fold_output!J73</f>
        <v>1093</v>
      </c>
      <c r="M71">
        <f>k_fold_output!K73</f>
        <v>1</v>
      </c>
      <c r="N71">
        <f>k_fold_output!L73</f>
        <v>100</v>
      </c>
      <c r="O71" s="3">
        <f>k_fold_output!M73</f>
        <v>0</v>
      </c>
      <c r="P71" s="32">
        <f>k_fold_output!N73</f>
        <v>0.91628617048263505</v>
      </c>
      <c r="Q71" s="7">
        <f>k_fold_output!O73</f>
        <v>0</v>
      </c>
      <c r="R71" s="7">
        <f>k_fold_output!P73</f>
        <v>0</v>
      </c>
      <c r="S71" s="7">
        <f>k_fold_output!Q73</f>
        <v>0</v>
      </c>
      <c r="T71" s="7">
        <f>k_fold_output!R73</f>
        <v>0.68302631378173795</v>
      </c>
      <c r="U71" s="7">
        <f>k_fold_output!S73</f>
        <v>0.149020060896873</v>
      </c>
      <c r="V71" s="7">
        <f>k_fold_output!T73</f>
        <v>1204</v>
      </c>
      <c r="W71" s="7">
        <f>k_fold_output!U73</f>
        <v>0</v>
      </c>
      <c r="X71" s="7">
        <f>k_fold_output!V73</f>
        <v>110</v>
      </c>
      <c r="Y71" s="8">
        <f>k_fold_output!W73</f>
        <v>0</v>
      </c>
      <c r="Z71" s="7">
        <f>luna16_k_fold_output!C73</f>
        <v>0.51724135875701904</v>
      </c>
      <c r="AA71" s="7">
        <f>luna16_k_fold_output!D73</f>
        <v>0</v>
      </c>
      <c r="AB71" s="7">
        <f>luna16_k_fold_output!E73</f>
        <v>0</v>
      </c>
      <c r="AC71" s="7">
        <f>luna16_k_fold_output!F73</f>
        <v>0</v>
      </c>
      <c r="AD71" s="7">
        <f>luna16_k_fold_output!G73</f>
        <v>0.60960483551025391</v>
      </c>
      <c r="AE71" s="7">
        <f>luna16_k_fold_output!H73</f>
        <v>0.55841642618179321</v>
      </c>
      <c r="AF71" s="7">
        <f>luna16_k_fold_output!I73</f>
        <v>345</v>
      </c>
      <c r="AG71" s="7">
        <f>luna16_k_fold_output!J73</f>
        <v>0</v>
      </c>
      <c r="AH71" s="7">
        <f>luna16_k_fold_output!K73</f>
        <v>322</v>
      </c>
      <c r="AI71" s="8">
        <f>luna16_k_fold_output!L73</f>
        <v>0</v>
      </c>
    </row>
    <row r="72" spans="1:35" x14ac:dyDescent="0.25">
      <c r="A72" s="103" t="s">
        <v>24</v>
      </c>
      <c r="B72" s="103" t="s">
        <v>27</v>
      </c>
      <c r="C72" s="103"/>
      <c r="D72" s="9">
        <v>1</v>
      </c>
      <c r="E72" s="10">
        <f>k_fold_output!C62</f>
        <v>45</v>
      </c>
      <c r="F72" s="9">
        <f>k_fold_output!D62</f>
        <v>0.88320547342300404</v>
      </c>
      <c r="G72" s="9">
        <f>k_fold_output!E62</f>
        <v>0.39506173133850098</v>
      </c>
      <c r="H72" s="9">
        <f>k_fold_output!F62</f>
        <v>0.266666680574417</v>
      </c>
      <c r="I72" s="9">
        <f>k_fold_output!G62</f>
        <v>0.318407952785491</v>
      </c>
      <c r="J72" s="9">
        <f>k_fold_output!H62</f>
        <v>0.81348526477813698</v>
      </c>
      <c r="K72" s="9">
        <f>k_fold_output!I62</f>
        <v>0.33723288774490301</v>
      </c>
      <c r="L72" s="9">
        <f>k_fold_output!J62</f>
        <v>1004</v>
      </c>
      <c r="M72" s="9">
        <f>k_fold_output!K62</f>
        <v>49</v>
      </c>
      <c r="N72" s="9">
        <f>k_fold_output!L62</f>
        <v>88</v>
      </c>
      <c r="O72" s="10">
        <f>k_fold_output!M62</f>
        <v>32</v>
      </c>
      <c r="P72" s="67">
        <f>k_fold_output!N62</f>
        <v>0.90106546878814697</v>
      </c>
      <c r="Q72" s="9">
        <f>k_fold_output!O62</f>
        <v>0.403846144676208</v>
      </c>
      <c r="R72" s="9">
        <f>k_fold_output!P62</f>
        <v>0.38181817531585599</v>
      </c>
      <c r="S72" s="9">
        <f>k_fold_output!Q62</f>
        <v>0.39252337813377303</v>
      </c>
      <c r="T72" s="9">
        <f>k_fold_output!R62</f>
        <v>0.81936728954315097</v>
      </c>
      <c r="U72" s="9">
        <f>k_fold_output!S62</f>
        <v>0.32699429988861001</v>
      </c>
      <c r="V72" s="9">
        <f>k_fold_output!T62</f>
        <v>1142</v>
      </c>
      <c r="W72" s="9">
        <f>k_fold_output!U62</f>
        <v>62</v>
      </c>
      <c r="X72" s="9">
        <f>k_fold_output!V62</f>
        <v>68</v>
      </c>
      <c r="Y72" s="10">
        <f>k_fold_output!W62</f>
        <v>42</v>
      </c>
      <c r="Z72" s="9">
        <f>luna16_k_fold_output!C61</f>
        <v>0.77811092138290405</v>
      </c>
      <c r="AA72" s="9">
        <f>luna16_k_fold_output!D61</f>
        <v>0.8883928656578064</v>
      </c>
      <c r="AB72" s="9">
        <f>luna16_k_fold_output!E61</f>
        <v>0.61801242828369141</v>
      </c>
      <c r="AC72" s="9">
        <f>luna16_k_fold_output!F61</f>
        <v>0.72893774509429932</v>
      </c>
      <c r="AD72" s="9">
        <f>luna16_k_fold_output!G61</f>
        <v>0.87261676788330078</v>
      </c>
      <c r="AE72" s="9">
        <f>luna16_k_fold_output!H61</f>
        <v>0.88236367702484131</v>
      </c>
      <c r="AF72" s="9">
        <f>luna16_k_fold_output!I61</f>
        <v>320</v>
      </c>
      <c r="AG72" s="9">
        <f>luna16_k_fold_output!J61</f>
        <v>25</v>
      </c>
      <c r="AH72" s="9">
        <f>luna16_k_fold_output!K61</f>
        <v>123</v>
      </c>
      <c r="AI72" s="10">
        <f>luna16_k_fold_output!L61</f>
        <v>199</v>
      </c>
    </row>
    <row r="73" spans="1:35" x14ac:dyDescent="0.25">
      <c r="A73" s="105"/>
      <c r="B73" s="105"/>
      <c r="C73" s="105"/>
      <c r="D73">
        <v>2</v>
      </c>
      <c r="E73" s="3">
        <f>k_fold_output!C63</f>
        <v>4</v>
      </c>
      <c r="F73">
        <f>k_fold_output!D63</f>
        <v>0.90731710195541304</v>
      </c>
      <c r="G73">
        <f>k_fold_output!E63</f>
        <v>0.5</v>
      </c>
      <c r="H73">
        <f>k_fold_output!F63</f>
        <v>0.26315790414810097</v>
      </c>
      <c r="I73">
        <f>k_fold_output!G63</f>
        <v>0.34482759237289401</v>
      </c>
      <c r="J73">
        <f>k_fold_output!H63</f>
        <v>0.85689806938171298</v>
      </c>
      <c r="K73">
        <f>k_fold_output!I63</f>
        <v>0.39140477776527399</v>
      </c>
      <c r="L73">
        <f>k_fold_output!J63</f>
        <v>1086</v>
      </c>
      <c r="M73">
        <f>k_fold_output!K63</f>
        <v>30</v>
      </c>
      <c r="N73">
        <f>k_fold_output!L63</f>
        <v>84</v>
      </c>
      <c r="O73" s="3">
        <f>k_fold_output!M63</f>
        <v>30</v>
      </c>
      <c r="P73" s="44">
        <f>k_fold_output!N63</f>
        <v>0.89269405603408802</v>
      </c>
      <c r="Q73">
        <f>k_fold_output!O63</f>
        <v>0.287671238183975</v>
      </c>
      <c r="R73">
        <f>k_fold_output!P63</f>
        <v>0.19090908765792799</v>
      </c>
      <c r="S73">
        <f>k_fold_output!Q63</f>
        <v>0.229508191347122</v>
      </c>
      <c r="T73">
        <f>k_fold_output!R63</f>
        <v>0.76944279670715299</v>
      </c>
      <c r="U73">
        <f>k_fold_output!S63</f>
        <v>0.230017140507698</v>
      </c>
      <c r="V73">
        <f>k_fold_output!T63</f>
        <v>1152</v>
      </c>
      <c r="W73">
        <f>k_fold_output!U63</f>
        <v>52</v>
      </c>
      <c r="X73">
        <f>k_fold_output!V63</f>
        <v>89</v>
      </c>
      <c r="Y73" s="3">
        <f>k_fold_output!W63</f>
        <v>21</v>
      </c>
      <c r="Z73">
        <f>luna16_k_fold_output!C62</f>
        <v>0.63118439912796021</v>
      </c>
      <c r="AA73">
        <f>luna16_k_fold_output!D62</f>
        <v>0.96341460943222046</v>
      </c>
      <c r="AB73">
        <f>luna16_k_fold_output!E62</f>
        <v>0.24534161388874054</v>
      </c>
      <c r="AC73">
        <f>luna16_k_fold_output!F62</f>
        <v>0.39108911156654358</v>
      </c>
      <c r="AD73">
        <f>luna16_k_fold_output!G62</f>
        <v>0.7917904257774353</v>
      </c>
      <c r="AE73">
        <f>luna16_k_fold_output!H62</f>
        <v>0.8060762882232666</v>
      </c>
      <c r="AF73">
        <f>luna16_k_fold_output!I62</f>
        <v>342</v>
      </c>
      <c r="AG73">
        <f>luna16_k_fold_output!J62</f>
        <v>3</v>
      </c>
      <c r="AH73">
        <f>luna16_k_fold_output!K62</f>
        <v>243</v>
      </c>
      <c r="AI73" s="3">
        <f>luna16_k_fold_output!L62</f>
        <v>79</v>
      </c>
    </row>
    <row r="74" spans="1:35" x14ac:dyDescent="0.25">
      <c r="A74" s="105"/>
      <c r="B74" s="105"/>
      <c r="C74" s="105"/>
      <c r="D74">
        <v>3</v>
      </c>
      <c r="E74" s="3">
        <f>k_fold_output!C64</f>
        <v>6</v>
      </c>
      <c r="F74">
        <f>k_fold_output!D64</f>
        <v>0.84744411706924405</v>
      </c>
      <c r="G74">
        <f>k_fold_output!E64</f>
        <v>0.30198019742965698</v>
      </c>
      <c r="H74">
        <f>k_fold_output!F64</f>
        <v>0.549549520015716</v>
      </c>
      <c r="I74">
        <f>k_fold_output!G64</f>
        <v>0.38977634906768799</v>
      </c>
      <c r="J74">
        <f>k_fold_output!H64</f>
        <v>0.81745111942291204</v>
      </c>
      <c r="K74">
        <f>k_fold_output!I64</f>
        <v>0.33580386638641302</v>
      </c>
      <c r="L74">
        <f>k_fold_output!J64</f>
        <v>1000</v>
      </c>
      <c r="M74">
        <f>k_fold_output!K64</f>
        <v>141</v>
      </c>
      <c r="N74">
        <f>k_fold_output!L64</f>
        <v>50</v>
      </c>
      <c r="O74" s="3">
        <f>k_fold_output!M64</f>
        <v>61</v>
      </c>
      <c r="P74" s="44">
        <f>k_fold_output!N64</f>
        <v>0.83409434556961004</v>
      </c>
      <c r="Q74">
        <f>k_fold_output!O64</f>
        <v>0.25892856717109602</v>
      </c>
      <c r="R74">
        <f>k_fold_output!P64</f>
        <v>0.52727270126342696</v>
      </c>
      <c r="S74">
        <f>k_fold_output!Q64</f>
        <v>0.347305387258529</v>
      </c>
      <c r="T74">
        <f>k_fold_output!R64</f>
        <v>0.80030208826064997</v>
      </c>
      <c r="U74">
        <f>k_fold_output!S64</f>
        <v>0.27865141630172702</v>
      </c>
      <c r="V74">
        <f>k_fold_output!T64</f>
        <v>1038</v>
      </c>
      <c r="W74">
        <f>k_fold_output!U64</f>
        <v>166</v>
      </c>
      <c r="X74">
        <f>k_fold_output!V64</f>
        <v>52</v>
      </c>
      <c r="Y74" s="3">
        <f>k_fold_output!W64</f>
        <v>58</v>
      </c>
      <c r="Z74">
        <f>luna16_k_fold_output!C63</f>
        <v>0.6071963906288147</v>
      </c>
      <c r="AA74">
        <f>luna16_k_fold_output!D63</f>
        <v>0.91666668653488159</v>
      </c>
      <c r="AB74">
        <f>luna16_k_fold_output!E63</f>
        <v>0.20496894419193268</v>
      </c>
      <c r="AC74">
        <f>luna16_k_fold_output!F63</f>
        <v>0.3350253701210022</v>
      </c>
      <c r="AD74">
        <f>luna16_k_fold_output!G63</f>
        <v>0.78153741359710693</v>
      </c>
      <c r="AE74">
        <f>luna16_k_fold_output!H63</f>
        <v>0.7847602367401123</v>
      </c>
      <c r="AF74">
        <f>luna16_k_fold_output!I63</f>
        <v>339</v>
      </c>
      <c r="AG74">
        <f>luna16_k_fold_output!J63</f>
        <v>6</v>
      </c>
      <c r="AH74">
        <f>luna16_k_fold_output!K63</f>
        <v>256</v>
      </c>
      <c r="AI74" s="3">
        <f>luna16_k_fold_output!L63</f>
        <v>66</v>
      </c>
    </row>
    <row r="75" spans="1:35" x14ac:dyDescent="0.25">
      <c r="A75" s="107"/>
      <c r="B75" s="107"/>
      <c r="C75" s="107"/>
      <c r="D75" s="7">
        <v>4</v>
      </c>
      <c r="E75" s="8">
        <f>k_fold_output!C65</f>
        <v>17</v>
      </c>
      <c r="F75" s="7">
        <f>k_fold_output!D65</f>
        <v>0.842546045780181</v>
      </c>
      <c r="G75" s="7">
        <f>k_fold_output!E65</f>
        <v>0.30000001192092801</v>
      </c>
      <c r="H75" s="7">
        <f>k_fold_output!F65</f>
        <v>0.66000002622604304</v>
      </c>
      <c r="I75" s="7">
        <f>k_fold_output!G65</f>
        <v>0.41249999403953502</v>
      </c>
      <c r="J75" s="7">
        <f>k_fold_output!H65</f>
        <v>0.87033820152282704</v>
      </c>
      <c r="K75" s="7">
        <f>k_fold_output!I65</f>
        <v>0.38080042600631703</v>
      </c>
      <c r="L75" s="7">
        <f>k_fold_output!J65</f>
        <v>940</v>
      </c>
      <c r="M75" s="7">
        <f>k_fold_output!K65</f>
        <v>154</v>
      </c>
      <c r="N75" s="7">
        <f>k_fold_output!L65</f>
        <v>34</v>
      </c>
      <c r="O75" s="8">
        <f>k_fold_output!M65</f>
        <v>66</v>
      </c>
      <c r="P75" s="32">
        <f>k_fold_output!N65</f>
        <v>0.82952815294265703</v>
      </c>
      <c r="Q75" s="7">
        <f>k_fold_output!O65</f>
        <v>0.27559053897857599</v>
      </c>
      <c r="R75" s="7">
        <f>k_fold_output!P65</f>
        <v>0.636363625526428</v>
      </c>
      <c r="S75" s="7">
        <f>k_fold_output!Q65</f>
        <v>0.38461539149284302</v>
      </c>
      <c r="T75" s="7">
        <f>k_fold_output!R65</f>
        <v>0.84190577268600397</v>
      </c>
      <c r="U75" s="7">
        <f>k_fold_output!S65</f>
        <v>0.31651219725608798</v>
      </c>
      <c r="V75" s="7">
        <f>k_fold_output!T65</f>
        <v>1020</v>
      </c>
      <c r="W75" s="7">
        <f>k_fold_output!U65</f>
        <v>184</v>
      </c>
      <c r="X75" s="7">
        <f>k_fold_output!V65</f>
        <v>40</v>
      </c>
      <c r="Y75" s="8">
        <f>k_fold_output!W65</f>
        <v>70</v>
      </c>
      <c r="Z75" s="7">
        <f>luna16_k_fold_output!C64</f>
        <v>0.69565218687057495</v>
      </c>
      <c r="AA75" s="7">
        <f>luna16_k_fold_output!D64</f>
        <v>0.8399999737739563</v>
      </c>
      <c r="AB75" s="7">
        <f>luna16_k_fold_output!E64</f>
        <v>0.45652174949645996</v>
      </c>
      <c r="AC75" s="7">
        <f>luna16_k_fold_output!F64</f>
        <v>0.59154927730560303</v>
      </c>
      <c r="AD75" s="7">
        <f>luna16_k_fold_output!G64</f>
        <v>0.79415792226791382</v>
      </c>
      <c r="AE75" s="7">
        <f>luna16_k_fold_output!H64</f>
        <v>0.80812555551528931</v>
      </c>
      <c r="AF75" s="7">
        <f>luna16_k_fold_output!I64</f>
        <v>317</v>
      </c>
      <c r="AG75" s="7">
        <f>luna16_k_fold_output!J64</f>
        <v>28</v>
      </c>
      <c r="AH75" s="7">
        <f>luna16_k_fold_output!K64</f>
        <v>175</v>
      </c>
      <c r="AI75" s="8">
        <f>luna16_k_fold_output!L64</f>
        <v>147</v>
      </c>
    </row>
  </sheetData>
  <mergeCells count="61">
    <mergeCell ref="Z1:AI1"/>
    <mergeCell ref="Z2:Z3"/>
    <mergeCell ref="AA2:AA3"/>
    <mergeCell ref="AB2:AB3"/>
    <mergeCell ref="AC2:AC3"/>
    <mergeCell ref="AD2:AD3"/>
    <mergeCell ref="AE2:AE3"/>
    <mergeCell ref="AF2:AI2"/>
    <mergeCell ref="I2:I3"/>
    <mergeCell ref="J2:J3"/>
    <mergeCell ref="K2:K3"/>
    <mergeCell ref="D1:D3"/>
    <mergeCell ref="F1:O1"/>
    <mergeCell ref="E1:E3"/>
    <mergeCell ref="B1:C1"/>
    <mergeCell ref="B2:B3"/>
    <mergeCell ref="C2:C3"/>
    <mergeCell ref="A1:A3"/>
    <mergeCell ref="P1:Y1"/>
    <mergeCell ref="P2:P3"/>
    <mergeCell ref="Q2:Q3"/>
    <mergeCell ref="R2:R3"/>
    <mergeCell ref="S2:S3"/>
    <mergeCell ref="T2:T3"/>
    <mergeCell ref="U2:U3"/>
    <mergeCell ref="V2:Y2"/>
    <mergeCell ref="L2:O2"/>
    <mergeCell ref="F2:F3"/>
    <mergeCell ref="G2:G3"/>
    <mergeCell ref="H2:H3"/>
    <mergeCell ref="A72:A75"/>
    <mergeCell ref="B72:C75"/>
    <mergeCell ref="C56:C59"/>
    <mergeCell ref="C60:C63"/>
    <mergeCell ref="B28:B39"/>
    <mergeCell ref="B40:B51"/>
    <mergeCell ref="B52:B63"/>
    <mergeCell ref="A28:A39"/>
    <mergeCell ref="A40:A51"/>
    <mergeCell ref="A52:A63"/>
    <mergeCell ref="C32:C35"/>
    <mergeCell ref="C36:C39"/>
    <mergeCell ref="C40:C43"/>
    <mergeCell ref="C44:C47"/>
    <mergeCell ref="C48:C51"/>
    <mergeCell ref="C52:C55"/>
    <mergeCell ref="B64:C67"/>
    <mergeCell ref="A64:A67"/>
    <mergeCell ref="A68:A71"/>
    <mergeCell ref="B68:C71"/>
    <mergeCell ref="A16:A27"/>
    <mergeCell ref="B16:B27"/>
    <mergeCell ref="C16:C19"/>
    <mergeCell ref="C20:C23"/>
    <mergeCell ref="C24:C27"/>
    <mergeCell ref="C28:C31"/>
    <mergeCell ref="C4:C7"/>
    <mergeCell ref="C8:C11"/>
    <mergeCell ref="C12:C15"/>
    <mergeCell ref="B4:B15"/>
    <mergeCell ref="A4:A15"/>
  </mergeCells>
  <pageMargins left="0.25" right="0.25" top="0.75" bottom="0.75" header="0.3" footer="0.3"/>
  <pageSetup scale="3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4E673-FF54-427F-A9B5-405C7EA9A1EE}">
  <sheetPr>
    <tabColor theme="4" tint="0.39997558519241921"/>
    <pageSetUpPr fitToPage="1"/>
  </sheetPr>
  <dimension ref="A1:W75"/>
  <sheetViews>
    <sheetView workbookViewId="0">
      <selection activeCell="G32" sqref="G32"/>
    </sheetView>
  </sheetViews>
  <sheetFormatPr defaultRowHeight="15" x14ac:dyDescent="0.25"/>
  <cols>
    <col min="1" max="1" width="18" customWidth="1"/>
    <col min="2" max="2" width="13.7109375" customWidth="1"/>
    <col min="5" max="5" width="11.7109375" style="3" customWidth="1"/>
    <col min="6" max="6" width="9.140625" customWidth="1"/>
    <col min="11" max="11" width="10" style="3" customWidth="1"/>
    <col min="12" max="12" width="9.7109375" customWidth="1"/>
    <col min="17" max="17" width="9.140625" style="3"/>
  </cols>
  <sheetData>
    <row r="1" spans="1:23" x14ac:dyDescent="0.25">
      <c r="A1" s="126" t="s">
        <v>15</v>
      </c>
      <c r="B1" s="126" t="s">
        <v>0</v>
      </c>
      <c r="C1" s="128"/>
      <c r="D1" s="112" t="s">
        <v>12</v>
      </c>
      <c r="E1" s="139" t="s">
        <v>28</v>
      </c>
      <c r="F1" s="148" t="s">
        <v>13</v>
      </c>
      <c r="G1" s="115"/>
      <c r="H1" s="115"/>
      <c r="I1" s="115"/>
      <c r="J1" s="115"/>
      <c r="K1" s="116"/>
      <c r="L1" s="117" t="s">
        <v>14</v>
      </c>
      <c r="M1" s="118"/>
      <c r="N1" s="118"/>
      <c r="O1" s="118"/>
      <c r="P1" s="118"/>
      <c r="Q1" s="119"/>
      <c r="R1" s="130" t="s">
        <v>131</v>
      </c>
      <c r="S1" s="131"/>
      <c r="T1" s="131"/>
      <c r="U1" s="131"/>
      <c r="V1" s="131"/>
      <c r="W1" s="132"/>
    </row>
    <row r="2" spans="1:23" x14ac:dyDescent="0.25">
      <c r="A2" s="126"/>
      <c r="B2" s="126" t="s">
        <v>16</v>
      </c>
      <c r="C2" s="128" t="s">
        <v>17</v>
      </c>
      <c r="D2" s="113"/>
      <c r="E2" s="140"/>
      <c r="F2" s="120" t="s">
        <v>1</v>
      </c>
      <c r="G2" s="122" t="s">
        <v>2</v>
      </c>
      <c r="H2" s="122" t="s">
        <v>3</v>
      </c>
      <c r="I2" s="122" t="s">
        <v>4</v>
      </c>
      <c r="J2" s="122" t="s">
        <v>5</v>
      </c>
      <c r="K2" s="122" t="s">
        <v>70</v>
      </c>
      <c r="L2" s="124" t="s">
        <v>1</v>
      </c>
      <c r="M2" s="109" t="s">
        <v>2</v>
      </c>
      <c r="N2" s="109" t="s">
        <v>3</v>
      </c>
      <c r="O2" s="109" t="s">
        <v>4</v>
      </c>
      <c r="P2" s="109" t="s">
        <v>5</v>
      </c>
      <c r="Q2" s="109" t="s">
        <v>70</v>
      </c>
      <c r="R2" s="149" t="s">
        <v>1</v>
      </c>
      <c r="S2" s="133" t="s">
        <v>2</v>
      </c>
      <c r="T2" s="133" t="s">
        <v>3</v>
      </c>
      <c r="U2" s="133" t="s">
        <v>4</v>
      </c>
      <c r="V2" s="133" t="s">
        <v>5</v>
      </c>
      <c r="W2" s="133" t="s">
        <v>70</v>
      </c>
    </row>
    <row r="3" spans="1:23" ht="15.75" thickBot="1" x14ac:dyDescent="0.3">
      <c r="A3" s="127"/>
      <c r="B3" s="127"/>
      <c r="C3" s="129"/>
      <c r="D3" s="114"/>
      <c r="E3" s="141"/>
      <c r="F3" s="121"/>
      <c r="G3" s="123"/>
      <c r="H3" s="123"/>
      <c r="I3" s="123"/>
      <c r="J3" s="123"/>
      <c r="K3" s="123"/>
      <c r="L3" s="125"/>
      <c r="M3" s="110"/>
      <c r="N3" s="110"/>
      <c r="O3" s="110"/>
      <c r="P3" s="110"/>
      <c r="Q3" s="110"/>
      <c r="R3" s="150"/>
      <c r="S3" s="134"/>
      <c r="T3" s="134"/>
      <c r="U3" s="134"/>
      <c r="V3" s="134"/>
      <c r="W3" s="134"/>
    </row>
    <row r="4" spans="1:23" x14ac:dyDescent="0.25">
      <c r="A4" s="111" t="s">
        <v>19</v>
      </c>
      <c r="B4" s="111" t="s">
        <v>18</v>
      </c>
      <c r="C4" s="111">
        <v>18</v>
      </c>
      <c r="D4" s="6">
        <v>1</v>
      </c>
      <c r="E4" s="11">
        <f>'Main Sheet'!E4</f>
        <v>34</v>
      </c>
      <c r="F4" s="6">
        <f>'Main Sheet'!F4</f>
        <v>0.84313726425170898</v>
      </c>
      <c r="G4" s="6">
        <f>'Main Sheet'!G4</f>
        <v>0.324175834655761</v>
      </c>
      <c r="H4" s="6">
        <f>'Main Sheet'!H4</f>
        <v>0.49166667461395203</v>
      </c>
      <c r="I4" s="6">
        <f>'Main Sheet'!I4</f>
        <v>0.39072847366333002</v>
      </c>
      <c r="J4" s="6">
        <f>'Main Sheet'!J4</f>
        <v>0.82061576843261697</v>
      </c>
      <c r="K4" s="11">
        <f>'Main Sheet'!K4</f>
        <v>0.29654428362846302</v>
      </c>
      <c r="L4" s="6">
        <f>'Main Sheet'!P4</f>
        <v>0.86605781316757202</v>
      </c>
      <c r="M4" s="6">
        <f>'Main Sheet'!Q4</f>
        <v>0.322580635547637</v>
      </c>
      <c r="N4" s="6">
        <f>'Main Sheet'!R4</f>
        <v>0.545454561710357</v>
      </c>
      <c r="O4" s="6">
        <f>'Main Sheet'!S4</f>
        <v>0.40540540218353199</v>
      </c>
      <c r="P4" s="6">
        <f>'Main Sheet'!T4</f>
        <v>0.84757626056671098</v>
      </c>
      <c r="Q4" s="11">
        <f>'Main Sheet'!U4</f>
        <v>0.37488147616386402</v>
      </c>
      <c r="R4">
        <f>'Main Sheet'!Z4</f>
        <v>0.69565218687057495</v>
      </c>
      <c r="S4">
        <f>'Main Sheet'!AA4</f>
        <v>0.94736844301223755</v>
      </c>
      <c r="T4">
        <f>'Main Sheet'!AB4</f>
        <v>0.39130434393882751</v>
      </c>
      <c r="U4">
        <f>'Main Sheet'!AC4</f>
        <v>0.55384618043899536</v>
      </c>
      <c r="V4">
        <f>'Main Sheet'!AD4</f>
        <v>0.81092804670333862</v>
      </c>
      <c r="W4">
        <f>'Main Sheet'!AE4</f>
        <v>0.83184784650802612</v>
      </c>
    </row>
    <row r="5" spans="1:23" x14ac:dyDescent="0.25">
      <c r="A5" s="105"/>
      <c r="B5" s="105"/>
      <c r="C5" s="105"/>
      <c r="D5">
        <v>2</v>
      </c>
      <c r="E5" s="3">
        <f>'Main Sheet'!E5</f>
        <v>24</v>
      </c>
      <c r="F5">
        <f>'Main Sheet'!F5</f>
        <v>0.87479674816131503</v>
      </c>
      <c r="G5">
        <f>'Main Sheet'!G5</f>
        <v>0.386363625526428</v>
      </c>
      <c r="H5">
        <f>'Main Sheet'!H5</f>
        <v>0.59649121761321999</v>
      </c>
      <c r="I5">
        <f>'Main Sheet'!I5</f>
        <v>0.46896553039550698</v>
      </c>
      <c r="J5">
        <f>'Main Sheet'!J5</f>
        <v>0.88657021522521895</v>
      </c>
      <c r="K5" s="3">
        <f>'Main Sheet'!K5</f>
        <v>0.47210073471069303</v>
      </c>
      <c r="L5">
        <f>'Main Sheet'!P5</f>
        <v>0.83789956569671598</v>
      </c>
      <c r="M5">
        <f>'Main Sheet'!Q5</f>
        <v>0.25821596384048401</v>
      </c>
      <c r="N5">
        <f>'Main Sheet'!R5</f>
        <v>0.5</v>
      </c>
      <c r="O5">
        <f>'Main Sheet'!S5</f>
        <v>0.34055727720260598</v>
      </c>
      <c r="P5">
        <f>'Main Sheet'!T5</f>
        <v>0.78593331575393599</v>
      </c>
      <c r="Q5" s="3">
        <f>'Main Sheet'!U5</f>
        <v>0.299771457910537</v>
      </c>
      <c r="R5">
        <f>'Main Sheet'!Z5</f>
        <v>0.66866564750671387</v>
      </c>
      <c r="S5">
        <f>'Main Sheet'!AA5</f>
        <v>0.85314685106277466</v>
      </c>
      <c r="T5">
        <f>'Main Sheet'!AB5</f>
        <v>0.37888199090957642</v>
      </c>
      <c r="U5">
        <f>'Main Sheet'!AC5</f>
        <v>0.52473115921020508</v>
      </c>
      <c r="V5">
        <f>'Main Sheet'!AD5</f>
        <v>0.75666570663452148</v>
      </c>
      <c r="W5">
        <f>'Main Sheet'!AE5</f>
        <v>0.77139532566070557</v>
      </c>
    </row>
    <row r="6" spans="1:23" x14ac:dyDescent="0.25">
      <c r="A6" s="105"/>
      <c r="B6" s="105"/>
      <c r="C6" s="105"/>
      <c r="D6">
        <v>3</v>
      </c>
      <c r="E6" s="3">
        <f>'Main Sheet'!E6</f>
        <v>36</v>
      </c>
      <c r="F6">
        <f>'Main Sheet'!F6</f>
        <v>0.882587850093841</v>
      </c>
      <c r="G6">
        <f>'Main Sheet'!G6</f>
        <v>0.34482759237289401</v>
      </c>
      <c r="H6">
        <f>'Main Sheet'!H6</f>
        <v>0.36036035418510398</v>
      </c>
      <c r="I6">
        <f>'Main Sheet'!I6</f>
        <v>0.35242289304733199</v>
      </c>
      <c r="J6">
        <f>'Main Sheet'!J6</f>
        <v>0.83903002738952603</v>
      </c>
      <c r="K6" s="3">
        <f>'Main Sheet'!K6</f>
        <v>0.363223016262054</v>
      </c>
      <c r="L6">
        <f>'Main Sheet'!P6</f>
        <v>0.87899541854858398</v>
      </c>
      <c r="M6">
        <f>'Main Sheet'!Q6</f>
        <v>0.33986929059028598</v>
      </c>
      <c r="N6">
        <f>'Main Sheet'!R6</f>
        <v>0.47272726893424899</v>
      </c>
      <c r="O6">
        <f>'Main Sheet'!S6</f>
        <v>0.39543727040290799</v>
      </c>
      <c r="P6">
        <f>'Main Sheet'!T6</f>
        <v>0.814791560173034</v>
      </c>
      <c r="Q6" s="3">
        <f>'Main Sheet'!U6</f>
        <v>0.29309141635894698</v>
      </c>
      <c r="R6">
        <f>'Main Sheet'!Z6</f>
        <v>0.61169415712356567</v>
      </c>
      <c r="S6">
        <f>'Main Sheet'!AA6</f>
        <v>0.86206895112991333</v>
      </c>
      <c r="T6">
        <f>'Main Sheet'!AB6</f>
        <v>0.23291926085948944</v>
      </c>
      <c r="U6">
        <f>'Main Sheet'!AC6</f>
        <v>0.3667481541633606</v>
      </c>
      <c r="V6">
        <f>'Main Sheet'!AD6</f>
        <v>0.75101274251937866</v>
      </c>
      <c r="W6">
        <f>'Main Sheet'!AE6</f>
        <v>0.74560064077377319</v>
      </c>
    </row>
    <row r="7" spans="1:23" x14ac:dyDescent="0.25">
      <c r="A7" s="105"/>
      <c r="B7" s="105"/>
      <c r="C7" s="105"/>
      <c r="D7">
        <v>4</v>
      </c>
      <c r="E7" s="3">
        <f>'Main Sheet'!E7</f>
        <v>34</v>
      </c>
      <c r="F7">
        <f>'Main Sheet'!F7</f>
        <v>0.87688440084457397</v>
      </c>
      <c r="G7">
        <f>'Main Sheet'!G7</f>
        <v>0.370165735483169</v>
      </c>
      <c r="H7">
        <f>'Main Sheet'!H7</f>
        <v>0.67000001668929998</v>
      </c>
      <c r="I7">
        <f>'Main Sheet'!I7</f>
        <v>0.47686833143234197</v>
      </c>
      <c r="J7">
        <f>'Main Sheet'!J7</f>
        <v>0.87851005792617798</v>
      </c>
      <c r="K7" s="3">
        <f>'Main Sheet'!K7</f>
        <v>0.55413776636123602</v>
      </c>
      <c r="L7">
        <f>'Main Sheet'!P7</f>
        <v>0.844748854637146</v>
      </c>
      <c r="M7">
        <f>'Main Sheet'!Q7</f>
        <v>0.29565218091010997</v>
      </c>
      <c r="N7">
        <f>'Main Sheet'!R7</f>
        <v>0.61818182468414296</v>
      </c>
      <c r="O7">
        <f>'Main Sheet'!S7</f>
        <v>0.40000000596046398</v>
      </c>
      <c r="P7">
        <f>'Main Sheet'!T7</f>
        <v>0.85419058799743597</v>
      </c>
      <c r="Q7" s="3">
        <f>'Main Sheet'!U7</f>
        <v>0.35654956102371199</v>
      </c>
      <c r="R7">
        <f>'Main Sheet'!Z7</f>
        <v>0.70014995336532593</v>
      </c>
      <c r="S7">
        <f>'Main Sheet'!AA7</f>
        <v>0.88125002384185791</v>
      </c>
      <c r="T7">
        <f>'Main Sheet'!AB7</f>
        <v>0.43788820505142212</v>
      </c>
      <c r="U7">
        <f>'Main Sheet'!AC7</f>
        <v>0.58506226539611816</v>
      </c>
      <c r="V7">
        <f>'Main Sheet'!AD7</f>
        <v>0.78428298234939575</v>
      </c>
      <c r="W7">
        <f>'Main Sheet'!AE7</f>
        <v>0.80389529466629028</v>
      </c>
    </row>
    <row r="8" spans="1:23" x14ac:dyDescent="0.25">
      <c r="A8" s="105"/>
      <c r="B8" s="105"/>
      <c r="C8" s="105">
        <v>34</v>
      </c>
      <c r="D8">
        <v>1</v>
      </c>
      <c r="E8" s="3">
        <f>'Main Sheet'!E8</f>
        <v>47</v>
      </c>
      <c r="F8">
        <f>'Main Sheet'!F8</f>
        <v>0.86104005575179998</v>
      </c>
      <c r="G8">
        <f>'Main Sheet'!G8</f>
        <v>0.37572255730628901</v>
      </c>
      <c r="H8">
        <f>'Main Sheet'!H8</f>
        <v>0.54166668653488104</v>
      </c>
      <c r="I8">
        <f>'Main Sheet'!I8</f>
        <v>0.44368600845336897</v>
      </c>
      <c r="J8">
        <f>'Main Sheet'!J8</f>
        <v>0.83456790447235096</v>
      </c>
      <c r="K8" s="3">
        <f>'Main Sheet'!K8</f>
        <v>0.41071850061416598</v>
      </c>
      <c r="L8">
        <f>'Main Sheet'!P8</f>
        <v>0.86529678106307895</v>
      </c>
      <c r="M8">
        <f>'Main Sheet'!Q8</f>
        <v>0.31693989038467402</v>
      </c>
      <c r="N8">
        <f>'Main Sheet'!R8</f>
        <v>0.52727270126342696</v>
      </c>
      <c r="O8">
        <f>'Main Sheet'!S8</f>
        <v>0.395904451608657</v>
      </c>
      <c r="P8">
        <f>'Main Sheet'!T8</f>
        <v>0.842698574066162</v>
      </c>
      <c r="Q8" s="3">
        <f>'Main Sheet'!U8</f>
        <v>0.35345256328582703</v>
      </c>
      <c r="R8">
        <f>'Main Sheet'!Z8</f>
        <v>0.69115442037582397</v>
      </c>
      <c r="S8">
        <f>'Main Sheet'!AA8</f>
        <v>0.89189189672470093</v>
      </c>
      <c r="T8">
        <f>'Main Sheet'!AB8</f>
        <v>0.40993788838386536</v>
      </c>
      <c r="U8">
        <f>'Main Sheet'!AC8</f>
        <v>0.56170213222503662</v>
      </c>
      <c r="V8">
        <f>'Main Sheet'!AD8</f>
        <v>0.79862278699874878</v>
      </c>
      <c r="W8">
        <f>'Main Sheet'!AE8</f>
        <v>0.80966544151306152</v>
      </c>
    </row>
    <row r="9" spans="1:23" x14ac:dyDescent="0.25">
      <c r="A9" s="105"/>
      <c r="B9" s="105"/>
      <c r="C9" s="105"/>
      <c r="D9">
        <v>2</v>
      </c>
      <c r="E9" s="3">
        <f>'Main Sheet'!E9</f>
        <v>46</v>
      </c>
      <c r="F9">
        <f>'Main Sheet'!F9</f>
        <v>0.91707319021224898</v>
      </c>
      <c r="G9">
        <f>'Main Sheet'!G9</f>
        <v>0.57317072153091397</v>
      </c>
      <c r="H9">
        <f>'Main Sheet'!H9</f>
        <v>0.41228070855140603</v>
      </c>
      <c r="I9">
        <f>'Main Sheet'!I9</f>
        <v>0.47959184646606401</v>
      </c>
      <c r="J9">
        <f>'Main Sheet'!J9</f>
        <v>0.88806360960006703</v>
      </c>
      <c r="K9" s="3">
        <f>'Main Sheet'!K9</f>
        <v>0.51720136404037398</v>
      </c>
      <c r="L9">
        <f>'Main Sheet'!P9</f>
        <v>0.89726024866104104</v>
      </c>
      <c r="M9">
        <f>'Main Sheet'!Q9</f>
        <v>0.32394367456436102</v>
      </c>
      <c r="N9">
        <f>'Main Sheet'!R9</f>
        <v>0.20909090340137401</v>
      </c>
      <c r="O9">
        <f>'Main Sheet'!S9</f>
        <v>0.25414365530013999</v>
      </c>
      <c r="P9">
        <f>'Main Sheet'!T9</f>
        <v>0.78586530685424805</v>
      </c>
      <c r="Q9" s="3">
        <f>'Main Sheet'!U9</f>
        <v>0.270405113697052</v>
      </c>
      <c r="R9">
        <f>'Main Sheet'!Z9</f>
        <v>0.57571214437484741</v>
      </c>
      <c r="S9">
        <f>'Main Sheet'!AA9</f>
        <v>0.88235294818878174</v>
      </c>
      <c r="T9">
        <f>'Main Sheet'!AB9</f>
        <v>0.13975155353546143</v>
      </c>
      <c r="U9">
        <f>'Main Sheet'!AC9</f>
        <v>0.24128685891628265</v>
      </c>
      <c r="V9">
        <f>'Main Sheet'!AD9</f>
        <v>0.74853724241256714</v>
      </c>
      <c r="W9">
        <f>'Main Sheet'!AE9</f>
        <v>0.74480986595153809</v>
      </c>
    </row>
    <row r="10" spans="1:23" x14ac:dyDescent="0.25">
      <c r="A10" s="105"/>
      <c r="B10" s="105"/>
      <c r="C10" s="105"/>
      <c r="D10">
        <v>3</v>
      </c>
      <c r="E10" s="3">
        <f>'Main Sheet'!E10</f>
        <v>22</v>
      </c>
      <c r="F10">
        <f>'Main Sheet'!F10</f>
        <v>0.88658148050308205</v>
      </c>
      <c r="G10">
        <f>'Main Sheet'!G10</f>
        <v>0.37190082669258101</v>
      </c>
      <c r="H10">
        <f>'Main Sheet'!H10</f>
        <v>0.40540540218353199</v>
      </c>
      <c r="I10">
        <f>'Main Sheet'!I10</f>
        <v>0.387931048870086</v>
      </c>
      <c r="J10">
        <f>'Main Sheet'!J10</f>
        <v>0.84649145603179898</v>
      </c>
      <c r="K10" s="3">
        <f>'Main Sheet'!K10</f>
        <v>0.33777293562889099</v>
      </c>
      <c r="L10">
        <f>'Main Sheet'!P10</f>
        <v>0.87975645065307595</v>
      </c>
      <c r="M10">
        <f>'Main Sheet'!Q10</f>
        <v>0.30645161867141701</v>
      </c>
      <c r="N10">
        <f>'Main Sheet'!R10</f>
        <v>0.34545454382896401</v>
      </c>
      <c r="O10">
        <f>'Main Sheet'!S10</f>
        <v>0.32478633522987299</v>
      </c>
      <c r="P10">
        <f>'Main Sheet'!T10</f>
        <v>0.81576555967330899</v>
      </c>
      <c r="Q10" s="3">
        <f>'Main Sheet'!U10</f>
        <v>0.30284184217452997</v>
      </c>
      <c r="R10">
        <f>'Main Sheet'!Z10</f>
        <v>0.66416794061660767</v>
      </c>
      <c r="S10">
        <f>'Main Sheet'!AA10</f>
        <v>0.90163934230804443</v>
      </c>
      <c r="T10">
        <f>'Main Sheet'!AB10</f>
        <v>0.34161490201950073</v>
      </c>
      <c r="U10">
        <f>'Main Sheet'!AC10</f>
        <v>0.4954954981803894</v>
      </c>
      <c r="V10">
        <f>'Main Sheet'!AD10</f>
        <v>0.81018096208572388</v>
      </c>
      <c r="W10">
        <f>'Main Sheet'!AE10</f>
        <v>0.80914407968521118</v>
      </c>
    </row>
    <row r="11" spans="1:23" x14ac:dyDescent="0.25">
      <c r="A11" s="105"/>
      <c r="B11" s="105"/>
      <c r="C11" s="105"/>
      <c r="D11">
        <v>4</v>
      </c>
      <c r="E11" s="3">
        <f>'Main Sheet'!E11</f>
        <v>43</v>
      </c>
      <c r="F11">
        <f>'Main Sheet'!F11</f>
        <v>0.92294806241989102</v>
      </c>
      <c r="G11">
        <f>'Main Sheet'!G11</f>
        <v>0.557142853736877</v>
      </c>
      <c r="H11">
        <f>'Main Sheet'!H11</f>
        <v>0.38999998569488498</v>
      </c>
      <c r="I11">
        <f>'Main Sheet'!I11</f>
        <v>0.458823531866073</v>
      </c>
      <c r="J11">
        <f>'Main Sheet'!J11</f>
        <v>0.86962527036666804</v>
      </c>
      <c r="K11" s="3">
        <f>'Main Sheet'!K11</f>
        <v>0.48580339550971902</v>
      </c>
      <c r="L11">
        <f>'Main Sheet'!P11</f>
        <v>0.89117199182510298</v>
      </c>
      <c r="M11">
        <f>'Main Sheet'!Q11</f>
        <v>0.24615384638309401</v>
      </c>
      <c r="N11">
        <f>'Main Sheet'!R11</f>
        <v>0.14545454084873199</v>
      </c>
      <c r="O11">
        <f>'Main Sheet'!S11</f>
        <v>0.182857140898704</v>
      </c>
      <c r="P11">
        <f>'Main Sheet'!T11</f>
        <v>0.83652973175048795</v>
      </c>
      <c r="Q11" s="3">
        <f>'Main Sheet'!U11</f>
        <v>0.27166512608528098</v>
      </c>
      <c r="R11">
        <f>'Main Sheet'!Z11</f>
        <v>0.58770614862442017</v>
      </c>
      <c r="S11">
        <f>'Main Sheet'!AA11</f>
        <v>0.89830505847930908</v>
      </c>
      <c r="T11">
        <f>'Main Sheet'!AB11</f>
        <v>0.16459627449512482</v>
      </c>
      <c r="U11">
        <f>'Main Sheet'!AC11</f>
        <v>0.27821522951126099</v>
      </c>
      <c r="V11">
        <f>'Main Sheet'!AD11</f>
        <v>0.75701683759689331</v>
      </c>
      <c r="W11">
        <f>'Main Sheet'!AE11</f>
        <v>0.76895564794540405</v>
      </c>
    </row>
    <row r="12" spans="1:23" x14ac:dyDescent="0.25">
      <c r="A12" s="105"/>
      <c r="B12" s="105"/>
      <c r="C12" s="105">
        <v>50</v>
      </c>
      <c r="D12">
        <v>1</v>
      </c>
      <c r="E12" s="3">
        <f>'Main Sheet'!E12</f>
        <v>28</v>
      </c>
      <c r="F12">
        <f>'Main Sheet'!F12</f>
        <v>0.89002555608749301</v>
      </c>
      <c r="G12">
        <f>'Main Sheet'!G12</f>
        <v>0.45945945382118197</v>
      </c>
      <c r="H12">
        <f>'Main Sheet'!H12</f>
        <v>0.42500001192092801</v>
      </c>
      <c r="I12">
        <f>'Main Sheet'!I12</f>
        <v>0.44155845046043302</v>
      </c>
      <c r="J12">
        <f>'Main Sheet'!J12</f>
        <v>0.83556497097015303</v>
      </c>
      <c r="K12" s="3">
        <f>'Main Sheet'!K12</f>
        <v>0.42802810668945301</v>
      </c>
      <c r="L12">
        <f>'Main Sheet'!P12</f>
        <v>0.89345508813857999</v>
      </c>
      <c r="M12">
        <f>'Main Sheet'!Q12</f>
        <v>0.3828125</v>
      </c>
      <c r="N12">
        <f>'Main Sheet'!R12</f>
        <v>0.44545453786849898</v>
      </c>
      <c r="O12">
        <f>'Main Sheet'!S12</f>
        <v>0.41176471114158603</v>
      </c>
      <c r="P12">
        <f>'Main Sheet'!T12</f>
        <v>0.85384315252303999</v>
      </c>
      <c r="Q12" s="3">
        <f>'Main Sheet'!U12</f>
        <v>0.37506282329559298</v>
      </c>
      <c r="R12">
        <f>'Main Sheet'!Z12</f>
        <v>0.64767616987228394</v>
      </c>
      <c r="S12">
        <f>'Main Sheet'!AA12</f>
        <v>0.96774190664291382</v>
      </c>
      <c r="T12">
        <f>'Main Sheet'!AB12</f>
        <v>0.27950310707092285</v>
      </c>
      <c r="U12">
        <f>'Main Sheet'!AC12</f>
        <v>0.4337349534034729</v>
      </c>
      <c r="V12">
        <f>'Main Sheet'!AD12</f>
        <v>0.78731662034988403</v>
      </c>
      <c r="W12">
        <f>'Main Sheet'!AE12</f>
        <v>0.81632018089294434</v>
      </c>
    </row>
    <row r="13" spans="1:23" x14ac:dyDescent="0.25">
      <c r="A13" s="105"/>
      <c r="B13" s="105"/>
      <c r="C13" s="105"/>
      <c r="D13">
        <v>2</v>
      </c>
      <c r="E13" s="3">
        <f>'Main Sheet'!E13</f>
        <v>9</v>
      </c>
      <c r="F13">
        <f>'Main Sheet'!F13</f>
        <v>0.90894311666488603</v>
      </c>
      <c r="G13">
        <f>'Main Sheet'!G13</f>
        <v>0.51190477609634399</v>
      </c>
      <c r="H13">
        <f>'Main Sheet'!H13</f>
        <v>0.37719297409057601</v>
      </c>
      <c r="I13">
        <f>'Main Sheet'!I13</f>
        <v>0.43434342741966198</v>
      </c>
      <c r="J13">
        <f>'Main Sheet'!J13</f>
        <v>0.88175189495086603</v>
      </c>
      <c r="K13" s="3">
        <f>'Main Sheet'!K13</f>
        <v>0.459152221679687</v>
      </c>
      <c r="L13">
        <f>'Main Sheet'!P13</f>
        <v>0.90258753299713101</v>
      </c>
      <c r="M13">
        <f>'Main Sheet'!Q13</f>
        <v>0.39024388790130599</v>
      </c>
      <c r="N13">
        <f>'Main Sheet'!R13</f>
        <v>0.29090908169746399</v>
      </c>
      <c r="O13">
        <f>'Main Sheet'!S13</f>
        <v>0.33333334326744002</v>
      </c>
      <c r="P13">
        <f>'Main Sheet'!T13</f>
        <v>0.85286170244216897</v>
      </c>
      <c r="Q13" s="3">
        <f>'Main Sheet'!U13</f>
        <v>0.33635324239730802</v>
      </c>
      <c r="R13">
        <f>'Main Sheet'!Z13</f>
        <v>0.57871061563491821</v>
      </c>
      <c r="S13">
        <f>'Main Sheet'!AA13</f>
        <v>0.97674417495727539</v>
      </c>
      <c r="T13">
        <f>'Main Sheet'!AB13</f>
        <v>0.1304347813129425</v>
      </c>
      <c r="U13">
        <f>'Main Sheet'!AC13</f>
        <v>0.23013699054718018</v>
      </c>
      <c r="V13">
        <f>'Main Sheet'!AD13</f>
        <v>0.77729767560958862</v>
      </c>
      <c r="W13">
        <f>'Main Sheet'!AE13</f>
        <v>0.80045926570892334</v>
      </c>
    </row>
    <row r="14" spans="1:23" x14ac:dyDescent="0.25">
      <c r="A14" s="105"/>
      <c r="B14" s="105"/>
      <c r="C14" s="105"/>
      <c r="D14">
        <v>3</v>
      </c>
      <c r="E14" s="3">
        <f>'Main Sheet'!E14</f>
        <v>18</v>
      </c>
      <c r="F14">
        <f>'Main Sheet'!F14</f>
        <v>0.90575081110000599</v>
      </c>
      <c r="G14">
        <f>'Main Sheet'!G14</f>
        <v>0.45333334803581199</v>
      </c>
      <c r="H14">
        <f>'Main Sheet'!H14</f>
        <v>0.306306302547454</v>
      </c>
      <c r="I14">
        <f>'Main Sheet'!I14</f>
        <v>0.36559140682220398</v>
      </c>
      <c r="J14">
        <f>'Main Sheet'!J14</f>
        <v>0.82869464159011796</v>
      </c>
      <c r="K14" s="3">
        <f>'Main Sheet'!K14</f>
        <v>0.39162975549697798</v>
      </c>
      <c r="L14">
        <f>'Main Sheet'!P14</f>
        <v>0.90410959720611495</v>
      </c>
      <c r="M14">
        <f>'Main Sheet'!Q14</f>
        <v>0.37096774578094399</v>
      </c>
      <c r="N14">
        <f>'Main Sheet'!R14</f>
        <v>0.20909090340137401</v>
      </c>
      <c r="O14">
        <f>'Main Sheet'!S14</f>
        <v>0.26744186878204301</v>
      </c>
      <c r="P14">
        <f>'Main Sheet'!T14</f>
        <v>0.84774994850158603</v>
      </c>
      <c r="Q14" s="3">
        <f>'Main Sheet'!U14</f>
        <v>0.320197343826293</v>
      </c>
      <c r="R14">
        <f>'Main Sheet'!Z14</f>
        <v>0.57271361351013184</v>
      </c>
      <c r="S14">
        <f>'Main Sheet'!AA14</f>
        <v>0.91111111640930176</v>
      </c>
      <c r="T14">
        <f>'Main Sheet'!AB14</f>
        <v>0.12732918560504913</v>
      </c>
      <c r="U14">
        <f>'Main Sheet'!AC14</f>
        <v>0.2234332412481308</v>
      </c>
      <c r="V14">
        <f>'Main Sheet'!AD14</f>
        <v>0.7817986011505127</v>
      </c>
      <c r="W14">
        <f>'Main Sheet'!AE14</f>
        <v>0.77736735343933105</v>
      </c>
    </row>
    <row r="15" spans="1:23" x14ac:dyDescent="0.25">
      <c r="A15" s="107"/>
      <c r="B15" s="107"/>
      <c r="C15" s="107"/>
      <c r="D15" s="7">
        <v>4</v>
      </c>
      <c r="E15" s="8">
        <f>'Main Sheet'!E15</f>
        <v>16</v>
      </c>
      <c r="F15" s="7">
        <f>'Main Sheet'!F15</f>
        <v>0.89782243967056197</v>
      </c>
      <c r="G15" s="7">
        <f>'Main Sheet'!G15</f>
        <v>0.40983605384826599</v>
      </c>
      <c r="H15" s="7">
        <f>'Main Sheet'!H15</f>
        <v>0.5</v>
      </c>
      <c r="I15" s="7">
        <f>'Main Sheet'!I15</f>
        <v>0.450450450181961</v>
      </c>
      <c r="J15" s="7">
        <f>'Main Sheet'!J15</f>
        <v>0.86980807781219405</v>
      </c>
      <c r="K15" s="8">
        <f>'Main Sheet'!K15</f>
        <v>0.52274638414382901</v>
      </c>
      <c r="L15" s="7">
        <f>'Main Sheet'!P15</f>
        <v>0.90639269351959195</v>
      </c>
      <c r="M15" s="7">
        <f>'Main Sheet'!Q15</f>
        <v>0.44144144654273898</v>
      </c>
      <c r="N15" s="7">
        <f>'Main Sheet'!R15</f>
        <v>0.44545453786849898</v>
      </c>
      <c r="O15" s="7">
        <f>'Main Sheet'!S15</f>
        <v>0.44343891739845198</v>
      </c>
      <c r="P15" s="7">
        <f>'Main Sheet'!T15</f>
        <v>0.85299003124237005</v>
      </c>
      <c r="Q15" s="8">
        <f>'Main Sheet'!U15</f>
        <v>0.405628621578216</v>
      </c>
      <c r="R15">
        <f>'Main Sheet'!Z15</f>
        <v>0.60269862413406372</v>
      </c>
      <c r="S15">
        <f>'Main Sheet'!AA15</f>
        <v>0.91304349899291992</v>
      </c>
      <c r="T15">
        <f>'Main Sheet'!AB15</f>
        <v>0.19565217196941376</v>
      </c>
      <c r="U15">
        <f>'Main Sheet'!AC15</f>
        <v>0.32225063443183899</v>
      </c>
      <c r="V15">
        <f>'Main Sheet'!AD15</f>
        <v>0.78977406024932861</v>
      </c>
      <c r="W15">
        <f>'Main Sheet'!AE15</f>
        <v>0.78692126274108887</v>
      </c>
    </row>
    <row r="16" spans="1:23" x14ac:dyDescent="0.25">
      <c r="A16" s="103" t="s">
        <v>20</v>
      </c>
      <c r="B16" s="103" t="s">
        <v>18</v>
      </c>
      <c r="C16" s="103">
        <v>18</v>
      </c>
      <c r="D16" s="9">
        <v>1</v>
      </c>
      <c r="E16" s="10">
        <f>'Main Sheet'!E16</f>
        <v>26</v>
      </c>
      <c r="F16" s="9">
        <f>'Main Sheet'!F16</f>
        <v>0.863597631454467</v>
      </c>
      <c r="G16" s="9">
        <f>'Main Sheet'!G16</f>
        <v>0.379518061876297</v>
      </c>
      <c r="H16" s="9">
        <f>'Main Sheet'!H16</f>
        <v>0.52499997615814198</v>
      </c>
      <c r="I16" s="9">
        <f>'Main Sheet'!I16</f>
        <v>0.44055944681167603</v>
      </c>
      <c r="J16" s="9">
        <f>'Main Sheet'!J16</f>
        <v>0.82682806253433205</v>
      </c>
      <c r="K16" s="10">
        <f>'Main Sheet'!K16</f>
        <v>0.373557448387146</v>
      </c>
      <c r="L16" s="9">
        <f>'Main Sheet'!P16</f>
        <v>0.86225265264511097</v>
      </c>
      <c r="M16" s="9">
        <f>'Main Sheet'!Q16</f>
        <v>0.31216931343078602</v>
      </c>
      <c r="N16" s="9">
        <f>'Main Sheet'!R16</f>
        <v>0.53636366128921498</v>
      </c>
      <c r="O16" s="9">
        <f>'Main Sheet'!S16</f>
        <v>0.39464882016181901</v>
      </c>
      <c r="P16" s="9">
        <f>'Main Sheet'!T16</f>
        <v>0.81551653146743697</v>
      </c>
      <c r="Q16" s="10">
        <f>'Main Sheet'!U16</f>
        <v>0.35379672050476002</v>
      </c>
      <c r="R16">
        <f>'Main Sheet'!Z16</f>
        <v>0.64167916774749756</v>
      </c>
      <c r="S16">
        <f>'Main Sheet'!AA16</f>
        <v>0.90291261672973633</v>
      </c>
      <c r="T16">
        <f>'Main Sheet'!AB16</f>
        <v>0.28881987929344177</v>
      </c>
      <c r="U16">
        <f>'Main Sheet'!AC16</f>
        <v>0.43764704465866089</v>
      </c>
      <c r="V16">
        <f>'Main Sheet'!AD16</f>
        <v>0.76985323429107666</v>
      </c>
      <c r="W16">
        <f>'Main Sheet'!AE16</f>
        <v>0.77507287263870239</v>
      </c>
    </row>
    <row r="17" spans="1:23" x14ac:dyDescent="0.25">
      <c r="A17" s="105"/>
      <c r="B17" s="105"/>
      <c r="C17" s="105"/>
      <c r="D17">
        <v>2</v>
      </c>
      <c r="E17" s="3">
        <f>'Main Sheet'!E17</f>
        <v>37</v>
      </c>
      <c r="F17">
        <f>'Main Sheet'!F17</f>
        <v>0.92113822698593095</v>
      </c>
      <c r="G17">
        <f>'Main Sheet'!G17</f>
        <v>0.623188376426696</v>
      </c>
      <c r="H17">
        <f>'Main Sheet'!H17</f>
        <v>0.37719297409057601</v>
      </c>
      <c r="I17">
        <f>'Main Sheet'!I17</f>
        <v>0.46994534134864802</v>
      </c>
      <c r="J17">
        <f>'Main Sheet'!J17</f>
        <v>0.88385057449340798</v>
      </c>
      <c r="K17" s="3">
        <f>'Main Sheet'!K17</f>
        <v>0.532526135444641</v>
      </c>
      <c r="L17">
        <f>'Main Sheet'!P17</f>
        <v>0.91095888614654497</v>
      </c>
      <c r="M17">
        <f>'Main Sheet'!Q17</f>
        <v>0.43137255311012201</v>
      </c>
      <c r="N17">
        <f>'Main Sheet'!R17</f>
        <v>0.20000000298023199</v>
      </c>
      <c r="O17">
        <f>'Main Sheet'!S17</f>
        <v>0.273291915655136</v>
      </c>
      <c r="P17">
        <f>'Main Sheet'!T17</f>
        <v>0.82139086723327603</v>
      </c>
      <c r="Q17" s="3">
        <f>'Main Sheet'!U17</f>
        <v>0.32400599122047402</v>
      </c>
      <c r="R17">
        <f>'Main Sheet'!Z17</f>
        <v>0.5487256646156311</v>
      </c>
      <c r="S17">
        <f>'Main Sheet'!AA17</f>
        <v>0.95652174949645996</v>
      </c>
      <c r="T17">
        <f>'Main Sheet'!AB17</f>
        <v>6.8322978913784027E-2</v>
      </c>
      <c r="U17">
        <f>'Main Sheet'!AC17</f>
        <v>0.12753623723983765</v>
      </c>
      <c r="V17">
        <f>'Main Sheet'!AD17</f>
        <v>0.75902420282363892</v>
      </c>
      <c r="W17">
        <f>'Main Sheet'!AE17</f>
        <v>0.75366610288619995</v>
      </c>
    </row>
    <row r="18" spans="1:23" x14ac:dyDescent="0.25">
      <c r="A18" s="105"/>
      <c r="B18" s="105"/>
      <c r="C18" s="105"/>
      <c r="D18">
        <v>3</v>
      </c>
      <c r="E18" s="3">
        <f>'Main Sheet'!E18</f>
        <v>39</v>
      </c>
      <c r="F18">
        <f>'Main Sheet'!F18</f>
        <v>0.90575081110000599</v>
      </c>
      <c r="G18">
        <f>'Main Sheet'!G18</f>
        <v>0.47008547186851501</v>
      </c>
      <c r="H18">
        <f>'Main Sheet'!H18</f>
        <v>0.49549549818038902</v>
      </c>
      <c r="I18">
        <f>'Main Sheet'!I18</f>
        <v>0.48245614767074502</v>
      </c>
      <c r="J18">
        <f>'Main Sheet'!J18</f>
        <v>0.87084978818893399</v>
      </c>
      <c r="K18" s="3">
        <f>'Main Sheet'!K18</f>
        <v>0.44323885440826399</v>
      </c>
      <c r="L18">
        <f>'Main Sheet'!P18</f>
        <v>0.88051748275756803</v>
      </c>
      <c r="M18">
        <f>'Main Sheet'!Q18</f>
        <v>0.32846716046333302</v>
      </c>
      <c r="N18">
        <f>'Main Sheet'!R18</f>
        <v>0.409090906381607</v>
      </c>
      <c r="O18">
        <f>'Main Sheet'!S18</f>
        <v>0.36437246203422502</v>
      </c>
      <c r="P18">
        <f>'Main Sheet'!T18</f>
        <v>0.83143305778503396</v>
      </c>
      <c r="Q18" s="3">
        <f>'Main Sheet'!U18</f>
        <v>0.318134725093841</v>
      </c>
      <c r="R18">
        <f>'Main Sheet'!Z18</f>
        <v>0.64017993211746216</v>
      </c>
      <c r="S18">
        <f>'Main Sheet'!AA18</f>
        <v>0.95555555820465088</v>
      </c>
      <c r="T18">
        <f>'Main Sheet'!AB18</f>
        <v>0.26708075404167175</v>
      </c>
      <c r="U18">
        <f>'Main Sheet'!AC18</f>
        <v>0.41747573018074036</v>
      </c>
      <c r="V18">
        <f>'Main Sheet'!AD18</f>
        <v>0.79346472024917603</v>
      </c>
      <c r="W18">
        <f>'Main Sheet'!AE18</f>
        <v>0.81275749206542969</v>
      </c>
    </row>
    <row r="19" spans="1:23" x14ac:dyDescent="0.25">
      <c r="A19" s="105"/>
      <c r="B19" s="105"/>
      <c r="C19" s="105"/>
      <c r="D19">
        <v>4</v>
      </c>
      <c r="E19" s="3">
        <f>'Main Sheet'!E19</f>
        <v>42</v>
      </c>
      <c r="F19">
        <f>'Main Sheet'!F19</f>
        <v>0.89865994453430098</v>
      </c>
      <c r="G19">
        <f>'Main Sheet'!G19</f>
        <v>0.42222222685813898</v>
      </c>
      <c r="H19">
        <f>'Main Sheet'!H19</f>
        <v>0.56999999284744196</v>
      </c>
      <c r="I19">
        <f>'Main Sheet'!I19</f>
        <v>0.48510637879371599</v>
      </c>
      <c r="J19">
        <f>'Main Sheet'!J19</f>
        <v>0.87267822027206399</v>
      </c>
      <c r="K19" s="3">
        <f>'Main Sheet'!K19</f>
        <v>0.54256165027618397</v>
      </c>
      <c r="L19">
        <f>'Main Sheet'!P19</f>
        <v>0.88051748275756803</v>
      </c>
      <c r="M19">
        <f>'Main Sheet'!Q19</f>
        <v>0.34013605117797802</v>
      </c>
      <c r="N19">
        <f>'Main Sheet'!R19</f>
        <v>0.454545468091964</v>
      </c>
      <c r="O19">
        <f>'Main Sheet'!S19</f>
        <v>0.38910505175590498</v>
      </c>
      <c r="P19">
        <f>'Main Sheet'!T19</f>
        <v>0.85246908664703303</v>
      </c>
      <c r="Q19" s="3">
        <f>'Main Sheet'!U19</f>
        <v>0.37204933166503901</v>
      </c>
      <c r="R19">
        <f>'Main Sheet'!Z19</f>
        <v>0.64167916774749756</v>
      </c>
      <c r="S19">
        <f>'Main Sheet'!AA19</f>
        <v>0.86725664138793945</v>
      </c>
      <c r="T19">
        <f>'Main Sheet'!AB19</f>
        <v>0.30434781312942505</v>
      </c>
      <c r="U19">
        <f>'Main Sheet'!AC19</f>
        <v>0.45057472586631775</v>
      </c>
      <c r="V19">
        <f>'Main Sheet'!AD19</f>
        <v>0.78220367431640625</v>
      </c>
      <c r="W19">
        <f>'Main Sheet'!AE19</f>
        <v>0.7842068076133728</v>
      </c>
    </row>
    <row r="20" spans="1:23" x14ac:dyDescent="0.25">
      <c r="A20" s="105"/>
      <c r="B20" s="105"/>
      <c r="C20" s="105">
        <v>34</v>
      </c>
      <c r="D20">
        <v>1</v>
      </c>
      <c r="E20" s="3">
        <f>'Main Sheet'!E20</f>
        <v>33</v>
      </c>
      <c r="F20">
        <f>'Main Sheet'!F20</f>
        <v>0.89855074882507302</v>
      </c>
      <c r="G20">
        <f>'Main Sheet'!G20</f>
        <v>0.50847458839416504</v>
      </c>
      <c r="H20">
        <f>'Main Sheet'!H20</f>
        <v>0.25</v>
      </c>
      <c r="I20">
        <f>'Main Sheet'!I20</f>
        <v>0.33519554138183499</v>
      </c>
      <c r="J20">
        <f>'Main Sheet'!J20</f>
        <v>0.84637540578842096</v>
      </c>
      <c r="K20" s="3">
        <f>'Main Sheet'!K20</f>
        <v>0.42002362012863098</v>
      </c>
      <c r="L20">
        <f>'Main Sheet'!P20</f>
        <v>0.91400301456451405</v>
      </c>
      <c r="M20">
        <f>'Main Sheet'!Q20</f>
        <v>0.47761192917823703</v>
      </c>
      <c r="N20">
        <f>'Main Sheet'!R20</f>
        <v>0.29090908169746399</v>
      </c>
      <c r="O20">
        <f>'Main Sheet'!S20</f>
        <v>0.361581921577453</v>
      </c>
      <c r="P20">
        <f>'Main Sheet'!T20</f>
        <v>0.83520078659057595</v>
      </c>
      <c r="Q20" s="3">
        <f>'Main Sheet'!U20</f>
        <v>0.38183352351188599</v>
      </c>
      <c r="R20">
        <f>'Main Sheet'!Z20</f>
        <v>0.59520238637924194</v>
      </c>
      <c r="S20">
        <f>'Main Sheet'!AA20</f>
        <v>1</v>
      </c>
      <c r="T20">
        <f>'Main Sheet'!AB20</f>
        <v>0.16149067878723145</v>
      </c>
      <c r="U20">
        <f>'Main Sheet'!AC20</f>
        <v>0.27807486057281494</v>
      </c>
      <c r="V20">
        <f>'Main Sheet'!AD20</f>
        <v>0.82657301425933838</v>
      </c>
      <c r="W20">
        <f>'Main Sheet'!AE20</f>
        <v>0.83123910427093506</v>
      </c>
    </row>
    <row r="21" spans="1:23" x14ac:dyDescent="0.25">
      <c r="A21" s="105"/>
      <c r="B21" s="105"/>
      <c r="C21" s="105"/>
      <c r="D21">
        <v>2</v>
      </c>
      <c r="E21" s="3">
        <f>'Main Sheet'!E21</f>
        <v>29</v>
      </c>
      <c r="F21">
        <f>'Main Sheet'!F21</f>
        <v>0.90569102764129605</v>
      </c>
      <c r="G21">
        <f>'Main Sheet'!G21</f>
        <v>0.483333319425582</v>
      </c>
      <c r="H21">
        <f>'Main Sheet'!H21</f>
        <v>0.25438597798347401</v>
      </c>
      <c r="I21">
        <f>'Main Sheet'!I21</f>
        <v>0.33333334326744002</v>
      </c>
      <c r="J21">
        <f>'Main Sheet'!J21</f>
        <v>0.89451676607131902</v>
      </c>
      <c r="K21" s="3">
        <f>'Main Sheet'!K21</f>
        <v>0.48057109117507901</v>
      </c>
      <c r="L21">
        <f>'Main Sheet'!P21</f>
        <v>0.90639269351959195</v>
      </c>
      <c r="M21">
        <f>'Main Sheet'!Q21</f>
        <v>0.36170211434364302</v>
      </c>
      <c r="N21">
        <f>'Main Sheet'!R21</f>
        <v>0.15454545617103499</v>
      </c>
      <c r="O21">
        <f>'Main Sheet'!S21</f>
        <v>0.21656051278114299</v>
      </c>
      <c r="P21">
        <f>'Main Sheet'!T21</f>
        <v>0.82518118619918801</v>
      </c>
      <c r="Q21" s="3">
        <f>'Main Sheet'!U21</f>
        <v>0.26359781622886602</v>
      </c>
      <c r="R21">
        <f>'Main Sheet'!Z21</f>
        <v>0.5517241358757019</v>
      </c>
      <c r="S21">
        <f>'Main Sheet'!AA21</f>
        <v>0.95999997854232788</v>
      </c>
      <c r="T21">
        <f>'Main Sheet'!AB21</f>
        <v>7.4534162878990173E-2</v>
      </c>
      <c r="U21">
        <f>'Main Sheet'!AC21</f>
        <v>0.13832853734493256</v>
      </c>
      <c r="V21">
        <f>'Main Sheet'!AD21</f>
        <v>0.76547837257385254</v>
      </c>
      <c r="W21">
        <f>'Main Sheet'!AE21</f>
        <v>0.74337112903594971</v>
      </c>
    </row>
    <row r="22" spans="1:23" x14ac:dyDescent="0.25">
      <c r="A22" s="105"/>
      <c r="B22" s="105"/>
      <c r="C22" s="105"/>
      <c r="D22">
        <v>3</v>
      </c>
      <c r="E22" s="3">
        <f>'Main Sheet'!E22</f>
        <v>45</v>
      </c>
      <c r="F22">
        <f>'Main Sheet'!F22</f>
        <v>0.87300318479537897</v>
      </c>
      <c r="G22">
        <f>'Main Sheet'!G22</f>
        <v>0.34210526943206698</v>
      </c>
      <c r="H22">
        <f>'Main Sheet'!H22</f>
        <v>0.468468457460403</v>
      </c>
      <c r="I22">
        <f>'Main Sheet'!I22</f>
        <v>0.39543727040290799</v>
      </c>
      <c r="J22">
        <f>'Main Sheet'!J22</f>
        <v>0.84839439392089799</v>
      </c>
      <c r="K22" s="3">
        <f>'Main Sheet'!K22</f>
        <v>0.35826829075813199</v>
      </c>
      <c r="L22">
        <f>'Main Sheet'!P22</f>
        <v>0.88051748275756803</v>
      </c>
      <c r="M22">
        <f>'Main Sheet'!Q22</f>
        <v>0.360946744680404</v>
      </c>
      <c r="N22">
        <f>'Main Sheet'!R22</f>
        <v>0.55454546213150002</v>
      </c>
      <c r="O22">
        <f>'Main Sheet'!S22</f>
        <v>0.43727597594261097</v>
      </c>
      <c r="P22">
        <f>'Main Sheet'!T22</f>
        <v>0.86955595016479403</v>
      </c>
      <c r="Q22" s="3">
        <f>'Main Sheet'!U22</f>
        <v>0.38694450259208601</v>
      </c>
      <c r="R22">
        <f>'Main Sheet'!Z22</f>
        <v>0.65367317199707031</v>
      </c>
      <c r="S22">
        <f>'Main Sheet'!AA22</f>
        <v>0.86400002241134644</v>
      </c>
      <c r="T22">
        <f>'Main Sheet'!AB22</f>
        <v>0.33540374040603638</v>
      </c>
      <c r="U22">
        <f>'Main Sheet'!AC22</f>
        <v>0.48322147130966187</v>
      </c>
      <c r="V22">
        <f>'Main Sheet'!AD22</f>
        <v>0.78241962194442749</v>
      </c>
      <c r="W22">
        <f>'Main Sheet'!AE22</f>
        <v>0.76508671045303345</v>
      </c>
    </row>
    <row r="23" spans="1:23" x14ac:dyDescent="0.25">
      <c r="A23" s="105"/>
      <c r="B23" s="105"/>
      <c r="C23" s="105"/>
      <c r="D23">
        <v>4</v>
      </c>
      <c r="E23" s="3">
        <f>'Main Sheet'!E23</f>
        <v>27</v>
      </c>
      <c r="F23">
        <f>'Main Sheet'!F23</f>
        <v>0.92797321081161499</v>
      </c>
      <c r="G23">
        <f>'Main Sheet'!G23</f>
        <v>0.66666668653488104</v>
      </c>
      <c r="H23">
        <f>'Main Sheet'!H23</f>
        <v>0.28000000119209201</v>
      </c>
      <c r="I23">
        <f>'Main Sheet'!I23</f>
        <v>0.394366204738616</v>
      </c>
      <c r="J23">
        <f>'Main Sheet'!J23</f>
        <v>0.86474406719207697</v>
      </c>
      <c r="K23" s="3">
        <f>'Main Sheet'!K23</f>
        <v>0.52845835685729903</v>
      </c>
      <c r="L23">
        <f>'Main Sheet'!P23</f>
        <v>0.91780823469161898</v>
      </c>
      <c r="M23">
        <f>'Main Sheet'!Q23</f>
        <v>0.54166668653488104</v>
      </c>
      <c r="N23">
        <f>'Main Sheet'!R23</f>
        <v>0.118181817233562</v>
      </c>
      <c r="O23">
        <f>'Main Sheet'!S23</f>
        <v>0.19402985274791701</v>
      </c>
      <c r="P23">
        <f>'Main Sheet'!T23</f>
        <v>0.85674268007278398</v>
      </c>
      <c r="Q23" s="3">
        <f>'Main Sheet'!U23</f>
        <v>0.37238350510597201</v>
      </c>
      <c r="R23">
        <f>'Main Sheet'!Z23</f>
        <v>0.55472266674041748</v>
      </c>
      <c r="S23">
        <f>'Main Sheet'!AA23</f>
        <v>1</v>
      </c>
      <c r="T23">
        <f>'Main Sheet'!AB23</f>
        <v>7.7639751136302948E-2</v>
      </c>
      <c r="U23">
        <f>'Main Sheet'!AC23</f>
        <v>0.14409221708774567</v>
      </c>
      <c r="V23">
        <f>'Main Sheet'!AD23</f>
        <v>0.81302547454833984</v>
      </c>
      <c r="W23">
        <f>'Main Sheet'!AE23</f>
        <v>0.83590048551559448</v>
      </c>
    </row>
    <row r="24" spans="1:23" x14ac:dyDescent="0.25">
      <c r="A24" s="105"/>
      <c r="B24" s="105"/>
      <c r="C24" s="105">
        <v>50</v>
      </c>
      <c r="D24">
        <v>1</v>
      </c>
      <c r="E24" s="3">
        <f>'Main Sheet'!E24</f>
        <v>13</v>
      </c>
      <c r="F24">
        <f>'Main Sheet'!F24</f>
        <v>0.84825235605239802</v>
      </c>
      <c r="G24">
        <f>'Main Sheet'!G24</f>
        <v>0.345744669437408</v>
      </c>
      <c r="H24">
        <f>'Main Sheet'!H24</f>
        <v>0.54166668653488104</v>
      </c>
      <c r="I24">
        <f>'Main Sheet'!I24</f>
        <v>0.42207792401313698</v>
      </c>
      <c r="J24">
        <f>'Main Sheet'!J24</f>
        <v>0.82881456613540605</v>
      </c>
      <c r="K24" s="3">
        <f>'Main Sheet'!K24</f>
        <v>0.37043792009353599</v>
      </c>
      <c r="L24">
        <f>'Main Sheet'!P24</f>
        <v>0.83789956569671598</v>
      </c>
      <c r="M24">
        <f>'Main Sheet'!Q24</f>
        <v>0.27111110091209401</v>
      </c>
      <c r="N24">
        <f>'Main Sheet'!R24</f>
        <v>0.55454546213150002</v>
      </c>
      <c r="O24">
        <f>'Main Sheet'!S24</f>
        <v>0.36417910456657399</v>
      </c>
      <c r="P24">
        <f>'Main Sheet'!T24</f>
        <v>0.83456659317016602</v>
      </c>
      <c r="Q24" s="3">
        <f>'Main Sheet'!U24</f>
        <v>0.35174927115440302</v>
      </c>
      <c r="R24">
        <f>'Main Sheet'!Z24</f>
        <v>0.70764619112014771</v>
      </c>
      <c r="S24">
        <f>'Main Sheet'!AA24</f>
        <v>0.90445858240127563</v>
      </c>
      <c r="T24">
        <f>'Main Sheet'!AB24</f>
        <v>0.4409937858581543</v>
      </c>
      <c r="U24">
        <f>'Main Sheet'!AC24</f>
        <v>0.59290188550949097</v>
      </c>
      <c r="V24">
        <f>'Main Sheet'!AD24</f>
        <v>0.79089921712875366</v>
      </c>
      <c r="W24">
        <f>'Main Sheet'!AE24</f>
        <v>0.80758440494537354</v>
      </c>
    </row>
    <row r="25" spans="1:23" x14ac:dyDescent="0.25">
      <c r="A25" s="105"/>
      <c r="B25" s="105"/>
      <c r="C25" s="105"/>
      <c r="D25">
        <v>2</v>
      </c>
      <c r="E25" s="3">
        <f>'Main Sheet'!E25</f>
        <v>12</v>
      </c>
      <c r="F25">
        <f>'Main Sheet'!F25</f>
        <v>0.913008153438568</v>
      </c>
      <c r="G25">
        <f>'Main Sheet'!G25</f>
        <v>0.55737704038619995</v>
      </c>
      <c r="H25">
        <f>'Main Sheet'!H25</f>
        <v>0.29824560880661</v>
      </c>
      <c r="I25">
        <f>'Main Sheet'!I25</f>
        <v>0.38857144117355302</v>
      </c>
      <c r="J25">
        <f>'Main Sheet'!J25</f>
        <v>0.83639883995056097</v>
      </c>
      <c r="K25" s="3">
        <f>'Main Sheet'!K25</f>
        <v>0.43921542167663502</v>
      </c>
      <c r="L25">
        <f>'Main Sheet'!P25</f>
        <v>0.90182650089263905</v>
      </c>
      <c r="M25">
        <f>'Main Sheet'!Q25</f>
        <v>0.34426230192184398</v>
      </c>
      <c r="N25">
        <f>'Main Sheet'!R25</f>
        <v>0.19090908765792799</v>
      </c>
      <c r="O25">
        <f>'Main Sheet'!S25</f>
        <v>0.24561403691768599</v>
      </c>
      <c r="P25">
        <f>'Main Sheet'!T25</f>
        <v>0.79870134592056197</v>
      </c>
      <c r="Q25" s="3">
        <f>'Main Sheet'!U25</f>
        <v>0.25840446352958601</v>
      </c>
      <c r="R25">
        <f>'Main Sheet'!Z25</f>
        <v>0.56671667098999023</v>
      </c>
      <c r="S25">
        <f>'Main Sheet'!AA25</f>
        <v>0.90243899822235107</v>
      </c>
      <c r="T25">
        <f>'Main Sheet'!AB25</f>
        <v>0.11490683257579803</v>
      </c>
      <c r="U25">
        <f>'Main Sheet'!AC25</f>
        <v>0.20385675132274628</v>
      </c>
      <c r="V25">
        <f>'Main Sheet'!AD25</f>
        <v>0.77810782194137573</v>
      </c>
      <c r="W25">
        <f>'Main Sheet'!AE25</f>
        <v>0.76262819766998291</v>
      </c>
    </row>
    <row r="26" spans="1:23" x14ac:dyDescent="0.25">
      <c r="A26" s="105"/>
      <c r="B26" s="105"/>
      <c r="C26" s="105"/>
      <c r="D26">
        <v>3</v>
      </c>
      <c r="E26" s="3">
        <f>'Main Sheet'!E26</f>
        <v>24</v>
      </c>
      <c r="F26">
        <f>'Main Sheet'!F26</f>
        <v>0.86661344766616799</v>
      </c>
      <c r="G26">
        <f>'Main Sheet'!G26</f>
        <v>0.33529412746429399</v>
      </c>
      <c r="H26">
        <f>'Main Sheet'!H26</f>
        <v>0.51351350545883101</v>
      </c>
      <c r="I26">
        <f>'Main Sheet'!I26</f>
        <v>0.40569394826888999</v>
      </c>
      <c r="J26">
        <f>'Main Sheet'!J26</f>
        <v>0.84645992517471302</v>
      </c>
      <c r="K26" s="3">
        <f>'Main Sheet'!K26</f>
        <v>0.36728855967521601</v>
      </c>
      <c r="L26">
        <f>'Main Sheet'!P26</f>
        <v>0.85007607936859098</v>
      </c>
      <c r="M26">
        <f>'Main Sheet'!Q26</f>
        <v>0.23952095210552199</v>
      </c>
      <c r="N26">
        <f>'Main Sheet'!R26</f>
        <v>0.363636374473571</v>
      </c>
      <c r="O26">
        <f>'Main Sheet'!S26</f>
        <v>0.288808673620224</v>
      </c>
      <c r="P26">
        <f>'Main Sheet'!T26</f>
        <v>0.79241162538528398</v>
      </c>
      <c r="Q26" s="3">
        <f>'Main Sheet'!U26</f>
        <v>0.248978301882743</v>
      </c>
      <c r="R26">
        <f>'Main Sheet'!Z26</f>
        <v>0.63118439912796021</v>
      </c>
      <c r="S26">
        <f>'Main Sheet'!AA26</f>
        <v>0.83333331346511841</v>
      </c>
      <c r="T26">
        <f>'Main Sheet'!AB26</f>
        <v>0.29503107070922852</v>
      </c>
      <c r="U26">
        <f>'Main Sheet'!AC26</f>
        <v>0.43577980995178223</v>
      </c>
      <c r="V26">
        <f>'Main Sheet'!AD26</f>
        <v>0.75454133749008179</v>
      </c>
      <c r="W26">
        <f>'Main Sheet'!AE26</f>
        <v>0.75094127655029297</v>
      </c>
    </row>
    <row r="27" spans="1:23" x14ac:dyDescent="0.25">
      <c r="A27" s="107"/>
      <c r="B27" s="107"/>
      <c r="C27" s="107"/>
      <c r="D27" s="7">
        <v>4</v>
      </c>
      <c r="E27" s="8">
        <f>'Main Sheet'!E27</f>
        <v>24</v>
      </c>
      <c r="F27" s="7">
        <f>'Main Sheet'!F27</f>
        <v>0.91457283496856601</v>
      </c>
      <c r="G27" s="7">
        <f>'Main Sheet'!G27</f>
        <v>0.49137932062148998</v>
      </c>
      <c r="H27" s="7">
        <f>'Main Sheet'!H27</f>
        <v>0.56999999284744196</v>
      </c>
      <c r="I27" s="7">
        <f>'Main Sheet'!I27</f>
        <v>0.52777779102325395</v>
      </c>
      <c r="J27" s="7">
        <f>'Main Sheet'!J27</f>
        <v>0.89623397588729803</v>
      </c>
      <c r="K27" s="8">
        <f>'Main Sheet'!K27</f>
        <v>0.50428050756454401</v>
      </c>
      <c r="L27" s="7">
        <f>'Main Sheet'!P27</f>
        <v>0.86605781316757202</v>
      </c>
      <c r="M27" s="7">
        <f>'Main Sheet'!Q27</f>
        <v>0.28000000119209201</v>
      </c>
      <c r="N27" s="7">
        <f>'Main Sheet'!R27</f>
        <v>0.38181817531585599</v>
      </c>
      <c r="O27" s="7">
        <f>'Main Sheet'!S27</f>
        <v>0.32307693362236001</v>
      </c>
      <c r="P27" s="7">
        <f>'Main Sheet'!T27</f>
        <v>0.82004678249359098</v>
      </c>
      <c r="Q27" s="8">
        <f>'Main Sheet'!U27</f>
        <v>0.25700038671493503</v>
      </c>
      <c r="R27">
        <f>'Main Sheet'!Z27</f>
        <v>0.6056971549987793</v>
      </c>
      <c r="S27">
        <f>'Main Sheet'!AA27</f>
        <v>0.81052631139755249</v>
      </c>
      <c r="T27">
        <f>'Main Sheet'!AB27</f>
        <v>0.23913043737411499</v>
      </c>
      <c r="U27">
        <f>'Main Sheet'!AC27</f>
        <v>0.36930456757545471</v>
      </c>
      <c r="V27">
        <f>'Main Sheet'!AD27</f>
        <v>0.75329005718231201</v>
      </c>
      <c r="W27">
        <f>'Main Sheet'!AE27</f>
        <v>0.74279379844665527</v>
      </c>
    </row>
    <row r="28" spans="1:23" x14ac:dyDescent="0.25">
      <c r="A28" s="103" t="s">
        <v>19</v>
      </c>
      <c r="B28" s="103" t="s">
        <v>22</v>
      </c>
      <c r="C28" s="103">
        <v>18</v>
      </c>
      <c r="D28" s="9">
        <v>1</v>
      </c>
      <c r="E28" s="10">
        <f>'Main Sheet'!E28</f>
        <v>18</v>
      </c>
      <c r="F28" s="9">
        <f>'Main Sheet'!F28</f>
        <v>0.85421997308731001</v>
      </c>
      <c r="G28" s="9">
        <f>'Main Sheet'!G28</f>
        <v>0.350877195596694</v>
      </c>
      <c r="H28" s="9">
        <f>'Main Sheet'!H28</f>
        <v>0.5</v>
      </c>
      <c r="I28" s="9">
        <f>'Main Sheet'!I28</f>
        <v>0.41237112879753102</v>
      </c>
      <c r="J28" s="9">
        <f>'Main Sheet'!J28</f>
        <v>0.82613962888717596</v>
      </c>
      <c r="K28" s="10">
        <f>'Main Sheet'!K28</f>
        <v>0.37366023659706099</v>
      </c>
      <c r="L28" s="9">
        <f>'Main Sheet'!P28</f>
        <v>0.87975645065307595</v>
      </c>
      <c r="M28" s="9">
        <f>'Main Sheet'!Q28</f>
        <v>0.346153855323791</v>
      </c>
      <c r="N28" s="9">
        <f>'Main Sheet'!R28</f>
        <v>0.49090909957885698</v>
      </c>
      <c r="O28" s="9">
        <f>'Main Sheet'!S28</f>
        <v>0.40601503849029502</v>
      </c>
      <c r="P28" s="9">
        <f>'Main Sheet'!T28</f>
        <v>0.83245998620986905</v>
      </c>
      <c r="Q28" s="10">
        <f>'Main Sheet'!U28</f>
        <v>0.38715964555740301</v>
      </c>
      <c r="R28">
        <f>'Main Sheet'!Z28</f>
        <v>0.6821589469909668</v>
      </c>
      <c r="S28">
        <f>'Main Sheet'!AA28</f>
        <v>0.94354838132858276</v>
      </c>
      <c r="T28">
        <f>'Main Sheet'!AB28</f>
        <v>0.36335402727127075</v>
      </c>
      <c r="U28">
        <f>'Main Sheet'!AC28</f>
        <v>0.52466368675231934</v>
      </c>
      <c r="V28">
        <f>'Main Sheet'!AD28</f>
        <v>0.83026373386383057</v>
      </c>
      <c r="W28">
        <f>'Main Sheet'!AE28</f>
        <v>0.8405226469039917</v>
      </c>
    </row>
    <row r="29" spans="1:23" x14ac:dyDescent="0.25">
      <c r="A29" s="105"/>
      <c r="B29" s="105"/>
      <c r="C29" s="105"/>
      <c r="D29">
        <v>2</v>
      </c>
      <c r="E29" s="3">
        <f>'Main Sheet'!E29</f>
        <v>4</v>
      </c>
      <c r="F29">
        <f>'Main Sheet'!F29</f>
        <v>0.88455283641815097</v>
      </c>
      <c r="G29">
        <f>'Main Sheet'!G29</f>
        <v>0.38709676265716497</v>
      </c>
      <c r="H29">
        <f>'Main Sheet'!H29</f>
        <v>0.42105263471603299</v>
      </c>
      <c r="I29">
        <f>'Main Sheet'!I29</f>
        <v>0.40336135029792702</v>
      </c>
      <c r="J29">
        <f>'Main Sheet'!J29</f>
        <v>0.85889452695846502</v>
      </c>
      <c r="K29" s="3">
        <f>'Main Sheet'!K29</f>
        <v>0.35103896260261502</v>
      </c>
      <c r="L29">
        <f>'Main Sheet'!P29</f>
        <v>0.88203954696655196</v>
      </c>
      <c r="M29">
        <f>'Main Sheet'!Q29</f>
        <v>0.33082705736160201</v>
      </c>
      <c r="N29">
        <f>'Main Sheet'!R29</f>
        <v>0.40000000596046398</v>
      </c>
      <c r="O29">
        <f>'Main Sheet'!S29</f>
        <v>0.36213991045951799</v>
      </c>
      <c r="P29">
        <f>'Main Sheet'!T29</f>
        <v>0.813964784145355</v>
      </c>
      <c r="Q29" s="3">
        <f>'Main Sheet'!U29</f>
        <v>0.27334547042846602</v>
      </c>
      <c r="R29">
        <f>'Main Sheet'!Z29</f>
        <v>0.70464766025543213</v>
      </c>
      <c r="S29">
        <f>'Main Sheet'!AA29</f>
        <v>0.95620435476303101</v>
      </c>
      <c r="T29">
        <f>'Main Sheet'!AB29</f>
        <v>0.40683230757713318</v>
      </c>
      <c r="U29">
        <f>'Main Sheet'!AC29</f>
        <v>0.57080608606338501</v>
      </c>
      <c r="V29">
        <f>'Main Sheet'!AD29</f>
        <v>0.83759111166000366</v>
      </c>
      <c r="W29">
        <f>'Main Sheet'!AE29</f>
        <v>0.86107492446899414</v>
      </c>
    </row>
    <row r="30" spans="1:23" x14ac:dyDescent="0.25">
      <c r="A30" s="105"/>
      <c r="B30" s="105"/>
      <c r="C30" s="105"/>
      <c r="D30">
        <v>3</v>
      </c>
      <c r="E30" s="3">
        <f>'Main Sheet'!E30</f>
        <v>24</v>
      </c>
      <c r="F30">
        <f>'Main Sheet'!F30</f>
        <v>0.890575051307678</v>
      </c>
      <c r="G30">
        <f>'Main Sheet'!G30</f>
        <v>0.37962964177131597</v>
      </c>
      <c r="H30">
        <f>'Main Sheet'!H30</f>
        <v>0.36936935782432501</v>
      </c>
      <c r="I30">
        <f>'Main Sheet'!I30</f>
        <v>0.37442922592163003</v>
      </c>
      <c r="J30">
        <f>'Main Sheet'!J30</f>
        <v>0.846088826656341</v>
      </c>
      <c r="K30" s="3">
        <f>'Main Sheet'!K30</f>
        <v>0.34211677312850902</v>
      </c>
      <c r="L30">
        <f>'Main Sheet'!P30</f>
        <v>0.88432270288467396</v>
      </c>
      <c r="M30">
        <f>'Main Sheet'!Q30</f>
        <v>0.322033911943435</v>
      </c>
      <c r="N30">
        <f>'Main Sheet'!R30</f>
        <v>0.34545454382896401</v>
      </c>
      <c r="O30">
        <f>'Main Sheet'!S30</f>
        <v>0.33333334326744002</v>
      </c>
      <c r="P30">
        <f>'Main Sheet'!T30</f>
        <v>0.82397317886352495</v>
      </c>
      <c r="Q30" s="3">
        <f>'Main Sheet'!U30</f>
        <v>0.33387562632560702</v>
      </c>
      <c r="R30">
        <f>'Main Sheet'!Z30</f>
        <v>0.66116940975189209</v>
      </c>
      <c r="S30">
        <f>'Main Sheet'!AA30</f>
        <v>0.91379308700561523</v>
      </c>
      <c r="T30">
        <f>'Main Sheet'!AB30</f>
        <v>0.32919254899024963</v>
      </c>
      <c r="U30">
        <f>'Main Sheet'!AC30</f>
        <v>0.48401826620101929</v>
      </c>
      <c r="V30">
        <f>'Main Sheet'!AD30</f>
        <v>0.81490683555603027</v>
      </c>
      <c r="W30">
        <f>'Main Sheet'!AE30</f>
        <v>0.8039366602897644</v>
      </c>
    </row>
    <row r="31" spans="1:23" x14ac:dyDescent="0.25">
      <c r="A31" s="105"/>
      <c r="B31" s="105"/>
      <c r="C31" s="105"/>
      <c r="D31">
        <v>4</v>
      </c>
      <c r="E31" s="3">
        <f>'Main Sheet'!E31</f>
        <v>29</v>
      </c>
      <c r="F31">
        <f>'Main Sheet'!F31</f>
        <v>0.90368509292602495</v>
      </c>
      <c r="G31">
        <f>'Main Sheet'!G31</f>
        <v>0.43243244290351801</v>
      </c>
      <c r="H31">
        <f>'Main Sheet'!H31</f>
        <v>0.479999989271163</v>
      </c>
      <c r="I31">
        <f>'Main Sheet'!I31</f>
        <v>0.45497629046440102</v>
      </c>
      <c r="J31">
        <f>'Main Sheet'!J31</f>
        <v>0.86467093229293801</v>
      </c>
      <c r="K31" s="3">
        <f>'Main Sheet'!K31</f>
        <v>0.495308518409729</v>
      </c>
      <c r="L31">
        <f>'Main Sheet'!P31</f>
        <v>0.88051748275756803</v>
      </c>
      <c r="M31">
        <f>'Main Sheet'!Q31</f>
        <v>0.33333334326744002</v>
      </c>
      <c r="N31">
        <f>'Main Sheet'!R31</f>
        <v>0.42727273702621399</v>
      </c>
      <c r="O31">
        <f>'Main Sheet'!S31</f>
        <v>0.374502003192901</v>
      </c>
      <c r="P31">
        <f>'Main Sheet'!T31</f>
        <v>0.812730312347412</v>
      </c>
      <c r="Q31" s="3">
        <f>'Main Sheet'!U31</f>
        <v>0.34888857603073098</v>
      </c>
      <c r="R31">
        <f>'Main Sheet'!Z31</f>
        <v>0.66416794061660767</v>
      </c>
      <c r="S31">
        <f>'Main Sheet'!AA31</f>
        <v>0.9375</v>
      </c>
      <c r="T31">
        <f>'Main Sheet'!AB31</f>
        <v>0.32608696818351746</v>
      </c>
      <c r="U31">
        <f>'Main Sheet'!AC31</f>
        <v>0.48387095332145691</v>
      </c>
      <c r="V31">
        <f>'Main Sheet'!AD31</f>
        <v>0.82868844270706177</v>
      </c>
      <c r="W31">
        <f>'Main Sheet'!AE31</f>
        <v>0.83844238519668579</v>
      </c>
    </row>
    <row r="32" spans="1:23" x14ac:dyDescent="0.25">
      <c r="A32" s="105"/>
      <c r="B32" s="105"/>
      <c r="C32" s="105">
        <v>34</v>
      </c>
      <c r="D32">
        <v>1</v>
      </c>
      <c r="E32" s="3">
        <f>'Main Sheet'!E32</f>
        <v>24</v>
      </c>
      <c r="F32">
        <f>'Main Sheet'!F32</f>
        <v>0.85592496395110995</v>
      </c>
      <c r="G32">
        <f>'Main Sheet'!G32</f>
        <v>0.361581921577453</v>
      </c>
      <c r="H32">
        <f>'Main Sheet'!H32</f>
        <v>0.53333336114883401</v>
      </c>
      <c r="I32">
        <f>'Main Sheet'!I32</f>
        <v>0.43097642064094499</v>
      </c>
      <c r="J32">
        <f>'Main Sheet'!J32</f>
        <v>0.84165871143340998</v>
      </c>
      <c r="K32" s="3">
        <f>'Main Sheet'!K32</f>
        <v>0.37042039632797202</v>
      </c>
      <c r="L32">
        <f>'Main Sheet'!P32</f>
        <v>0.87290716171264604</v>
      </c>
      <c r="M32">
        <f>'Main Sheet'!Q32</f>
        <v>0.35078534483909601</v>
      </c>
      <c r="N32">
        <f>'Main Sheet'!R32</f>
        <v>0.60909092426300004</v>
      </c>
      <c r="O32">
        <f>'Main Sheet'!S32</f>
        <v>0.44518271088600098</v>
      </c>
      <c r="P32">
        <f>'Main Sheet'!T32</f>
        <v>0.83746600151062001</v>
      </c>
      <c r="Q32" s="3">
        <f>'Main Sheet'!U32</f>
        <v>0.35077840089797901</v>
      </c>
      <c r="R32">
        <f>'Main Sheet'!Z32</f>
        <v>0.69115442037582397</v>
      </c>
      <c r="S32">
        <f>'Main Sheet'!AA32</f>
        <v>0.92028987407684326</v>
      </c>
      <c r="T32">
        <f>'Main Sheet'!AB32</f>
        <v>0.39440992474555969</v>
      </c>
      <c r="U32">
        <f>'Main Sheet'!AC32</f>
        <v>0.552173912525177</v>
      </c>
      <c r="V32">
        <f>'Main Sheet'!AD32</f>
        <v>0.82170307636260986</v>
      </c>
      <c r="W32">
        <f>'Main Sheet'!AE32</f>
        <v>0.84582829475402832</v>
      </c>
    </row>
    <row r="33" spans="1:23" x14ac:dyDescent="0.25">
      <c r="A33" s="105"/>
      <c r="B33" s="105"/>
      <c r="C33" s="105"/>
      <c r="D33">
        <v>2</v>
      </c>
      <c r="E33" s="3">
        <f>'Main Sheet'!E33</f>
        <v>31</v>
      </c>
      <c r="F33">
        <f>'Main Sheet'!F33</f>
        <v>0.88617885112762396</v>
      </c>
      <c r="G33">
        <f>'Main Sheet'!G33</f>
        <v>0.40972220897674499</v>
      </c>
      <c r="H33">
        <f>'Main Sheet'!H33</f>
        <v>0.51754385232925404</v>
      </c>
      <c r="I33">
        <f>'Main Sheet'!I33</f>
        <v>0.45736435055732699</v>
      </c>
      <c r="J33">
        <f>'Main Sheet'!J33</f>
        <v>0.86739140748977595</v>
      </c>
      <c r="K33" s="3">
        <f>'Main Sheet'!K33</f>
        <v>0.45576864480972201</v>
      </c>
      <c r="L33">
        <f>'Main Sheet'!P33</f>
        <v>0.86529678106307895</v>
      </c>
      <c r="M33">
        <f>'Main Sheet'!Q33</f>
        <v>0.28662419319152799</v>
      </c>
      <c r="N33">
        <f>'Main Sheet'!R33</f>
        <v>0.409090906381607</v>
      </c>
      <c r="O33">
        <f>'Main Sheet'!S33</f>
        <v>0.33707866072654702</v>
      </c>
      <c r="P33">
        <f>'Main Sheet'!T33</f>
        <v>0.80572330951690596</v>
      </c>
      <c r="Q33" s="3">
        <f>'Main Sheet'!U33</f>
        <v>0.30210384726524298</v>
      </c>
      <c r="R33">
        <f>'Main Sheet'!Z33</f>
        <v>0.686656653881073</v>
      </c>
      <c r="S33">
        <f>'Main Sheet'!AA33</f>
        <v>0.94488191604614258</v>
      </c>
      <c r="T33">
        <f>'Main Sheet'!AB33</f>
        <v>0.37267079949378967</v>
      </c>
      <c r="U33">
        <f>'Main Sheet'!AC33</f>
        <v>0.53452116250991821</v>
      </c>
      <c r="V33">
        <f>'Main Sheet'!AD33</f>
        <v>0.84011161327362061</v>
      </c>
      <c r="W33">
        <f>'Main Sheet'!AE33</f>
        <v>0.85692673921585083</v>
      </c>
    </row>
    <row r="34" spans="1:23" x14ac:dyDescent="0.25">
      <c r="A34" s="105"/>
      <c r="B34" s="105"/>
      <c r="C34" s="105"/>
      <c r="D34">
        <v>3</v>
      </c>
      <c r="E34" s="3">
        <f>'Main Sheet'!E34</f>
        <v>45</v>
      </c>
      <c r="F34">
        <f>'Main Sheet'!F34</f>
        <v>0.90974438190460205</v>
      </c>
      <c r="G34">
        <f>'Main Sheet'!G34</f>
        <v>0.49056604504585199</v>
      </c>
      <c r="H34">
        <f>'Main Sheet'!H34</f>
        <v>0.468468457460403</v>
      </c>
      <c r="I34">
        <f>'Main Sheet'!I34</f>
        <v>0.47926267981529203</v>
      </c>
      <c r="J34">
        <f>'Main Sheet'!J34</f>
        <v>0.85060513019561701</v>
      </c>
      <c r="K34" s="3">
        <f>'Main Sheet'!K34</f>
        <v>0.44406235218048001</v>
      </c>
      <c r="L34">
        <f>'Main Sheet'!P34</f>
        <v>0.89878237247466997</v>
      </c>
      <c r="M34">
        <f>'Main Sheet'!Q34</f>
        <v>0.39252337813377303</v>
      </c>
      <c r="N34">
        <f>'Main Sheet'!R34</f>
        <v>0.38181817531585599</v>
      </c>
      <c r="O34">
        <f>'Main Sheet'!S34</f>
        <v>0.38709676265716497</v>
      </c>
      <c r="P34">
        <f>'Main Sheet'!T34</f>
        <v>0.82949256896972601</v>
      </c>
      <c r="Q34" s="3">
        <f>'Main Sheet'!U34</f>
        <v>0.378551036119461</v>
      </c>
      <c r="R34">
        <f>'Main Sheet'!Z34</f>
        <v>0.6056971549987793</v>
      </c>
      <c r="S34">
        <f>'Main Sheet'!AA34</f>
        <v>0.94029849767684937</v>
      </c>
      <c r="T34">
        <f>'Main Sheet'!AB34</f>
        <v>0.19565217196941376</v>
      </c>
      <c r="U34">
        <f>'Main Sheet'!AC34</f>
        <v>0.32390746474266052</v>
      </c>
      <c r="V34">
        <f>'Main Sheet'!AD34</f>
        <v>0.79760563373565674</v>
      </c>
      <c r="W34">
        <f>'Main Sheet'!AE34</f>
        <v>0.80536586046218872</v>
      </c>
    </row>
    <row r="35" spans="1:23" x14ac:dyDescent="0.25">
      <c r="A35" s="105"/>
      <c r="B35" s="105"/>
      <c r="C35" s="105"/>
      <c r="D35">
        <v>4</v>
      </c>
      <c r="E35" s="3">
        <f>'Main Sheet'!E35</f>
        <v>20</v>
      </c>
      <c r="F35">
        <f>'Main Sheet'!F35</f>
        <v>0.91038525104522705</v>
      </c>
      <c r="G35">
        <f>'Main Sheet'!G35</f>
        <v>0.46464645862579301</v>
      </c>
      <c r="H35">
        <f>'Main Sheet'!H35</f>
        <v>0.46000000834464999</v>
      </c>
      <c r="I35">
        <f>'Main Sheet'!I35</f>
        <v>0.46231156587600702</v>
      </c>
      <c r="J35">
        <f>'Main Sheet'!J35</f>
        <v>0.86663621664047197</v>
      </c>
      <c r="K35" s="3">
        <f>'Main Sheet'!K35</f>
        <v>0.51087421178817705</v>
      </c>
      <c r="L35">
        <f>'Main Sheet'!P35</f>
        <v>0.90182650089263905</v>
      </c>
      <c r="M35">
        <f>'Main Sheet'!Q35</f>
        <v>0.40000000596046398</v>
      </c>
      <c r="N35">
        <f>'Main Sheet'!R35</f>
        <v>0.34545454382896401</v>
      </c>
      <c r="O35">
        <f>'Main Sheet'!S35</f>
        <v>0.370731711387634</v>
      </c>
      <c r="P35">
        <f>'Main Sheet'!T35</f>
        <v>0.83450627326965299</v>
      </c>
      <c r="Q35" s="3">
        <f>'Main Sheet'!U35</f>
        <v>0.36765474081039401</v>
      </c>
      <c r="R35">
        <f>'Main Sheet'!Z35</f>
        <v>0.73913043737411499</v>
      </c>
      <c r="S35">
        <f>'Main Sheet'!AA35</f>
        <v>0.95121949911117554</v>
      </c>
      <c r="T35">
        <f>'Main Sheet'!AB35</f>
        <v>0.48447203636169434</v>
      </c>
      <c r="U35">
        <f>'Main Sheet'!AC35</f>
        <v>0.6419752836227417</v>
      </c>
      <c r="V35">
        <f>'Main Sheet'!AD35</f>
        <v>0.84823113679885864</v>
      </c>
      <c r="W35">
        <f>'Main Sheet'!AE35</f>
        <v>0.86757785081863403</v>
      </c>
    </row>
    <row r="36" spans="1:23" x14ac:dyDescent="0.25">
      <c r="A36" s="105"/>
      <c r="B36" s="105"/>
      <c r="C36" s="105">
        <v>50</v>
      </c>
      <c r="D36">
        <v>1</v>
      </c>
      <c r="E36" s="3">
        <f>'Main Sheet'!E36</f>
        <v>13</v>
      </c>
      <c r="F36">
        <f>'Main Sheet'!F36</f>
        <v>0.86530262231826705</v>
      </c>
      <c r="G36">
        <f>'Main Sheet'!G36</f>
        <v>0.37333333492278997</v>
      </c>
      <c r="H36">
        <f>'Main Sheet'!H36</f>
        <v>0.46666666865348799</v>
      </c>
      <c r="I36">
        <f>'Main Sheet'!I36</f>
        <v>0.41481480002403198</v>
      </c>
      <c r="J36">
        <f>'Main Sheet'!J36</f>
        <v>0.825838923454284</v>
      </c>
      <c r="K36" s="3">
        <f>'Main Sheet'!K36</f>
        <v>0.42227467894554099</v>
      </c>
      <c r="L36">
        <f>'Main Sheet'!P36</f>
        <v>0.871385097503662</v>
      </c>
      <c r="M36">
        <f>'Main Sheet'!Q36</f>
        <v>0.33142855763435303</v>
      </c>
      <c r="N36">
        <f>'Main Sheet'!R36</f>
        <v>0.52727270126342696</v>
      </c>
      <c r="O36">
        <f>'Main Sheet'!S36</f>
        <v>0.40701752901077198</v>
      </c>
      <c r="P36">
        <f>'Main Sheet'!T36</f>
        <v>0.86419510841369596</v>
      </c>
      <c r="Q36" s="3">
        <f>'Main Sheet'!U36</f>
        <v>0.38425895571708601</v>
      </c>
      <c r="R36">
        <f>'Main Sheet'!Z36</f>
        <v>0.7061469554901123</v>
      </c>
      <c r="S36">
        <f>'Main Sheet'!AA36</f>
        <v>0.88414633274078369</v>
      </c>
      <c r="T36">
        <f>'Main Sheet'!AB36</f>
        <v>0.45031055808067322</v>
      </c>
      <c r="U36">
        <f>'Main Sheet'!AC36</f>
        <v>0.59670782089233398</v>
      </c>
      <c r="V36">
        <f>'Main Sheet'!AD36</f>
        <v>0.82557386159896851</v>
      </c>
      <c r="W36">
        <f>'Main Sheet'!AE36</f>
        <v>0.81472784280776978</v>
      </c>
    </row>
    <row r="37" spans="1:23" x14ac:dyDescent="0.25">
      <c r="A37" s="105"/>
      <c r="B37" s="105"/>
      <c r="C37" s="105"/>
      <c r="D37">
        <v>2</v>
      </c>
      <c r="E37" s="3">
        <f>'Main Sheet'!E37</f>
        <v>25</v>
      </c>
      <c r="F37">
        <f>'Main Sheet'!F37</f>
        <v>0.89999997615814198</v>
      </c>
      <c r="G37">
        <f>'Main Sheet'!G37</f>
        <v>0.43999999761581399</v>
      </c>
      <c r="H37">
        <f>'Main Sheet'!H37</f>
        <v>0.28947368264198298</v>
      </c>
      <c r="I37">
        <f>'Main Sheet'!I37</f>
        <v>0.34920635819435097</v>
      </c>
      <c r="J37">
        <f>'Main Sheet'!J37</f>
        <v>0.85023266077041604</v>
      </c>
      <c r="K37" s="3">
        <f>'Main Sheet'!K37</f>
        <v>0.41191568970680198</v>
      </c>
      <c r="L37">
        <f>'Main Sheet'!P37</f>
        <v>0.89726024866104104</v>
      </c>
      <c r="M37">
        <f>'Main Sheet'!Q37</f>
        <v>0.36842104792594899</v>
      </c>
      <c r="N37">
        <f>'Main Sheet'!R37</f>
        <v>0.318181812763214</v>
      </c>
      <c r="O37">
        <f>'Main Sheet'!S37</f>
        <v>0.34146341681480402</v>
      </c>
      <c r="P37">
        <f>'Main Sheet'!T37</f>
        <v>0.80423593521118097</v>
      </c>
      <c r="Q37" s="3">
        <f>'Main Sheet'!U37</f>
        <v>0.30751499533653198</v>
      </c>
      <c r="R37">
        <f>'Main Sheet'!Z37</f>
        <v>0.67766118049621582</v>
      </c>
      <c r="S37">
        <f>'Main Sheet'!AA37</f>
        <v>0.89051097631454468</v>
      </c>
      <c r="T37">
        <f>'Main Sheet'!AB37</f>
        <v>0.37888199090957642</v>
      </c>
      <c r="U37">
        <f>'Main Sheet'!AC37</f>
        <v>0.53159040212631226</v>
      </c>
      <c r="V37">
        <f>'Main Sheet'!AD37</f>
        <v>0.79344677925109863</v>
      </c>
      <c r="W37">
        <f>'Main Sheet'!AE37</f>
        <v>0.81689566373825073</v>
      </c>
    </row>
    <row r="38" spans="1:23" x14ac:dyDescent="0.25">
      <c r="A38" s="105"/>
      <c r="B38" s="105"/>
      <c r="C38" s="105"/>
      <c r="D38">
        <v>3</v>
      </c>
      <c r="E38" s="3">
        <f>'Main Sheet'!E38</f>
        <v>29</v>
      </c>
      <c r="F38">
        <f>'Main Sheet'!F38</f>
        <v>0.898562312126159</v>
      </c>
      <c r="G38">
        <f>'Main Sheet'!G38</f>
        <v>0.40697672963142301</v>
      </c>
      <c r="H38">
        <f>'Main Sheet'!H38</f>
        <v>0.31531530618667603</v>
      </c>
      <c r="I38">
        <f>'Main Sheet'!I38</f>
        <v>0.35532996058464</v>
      </c>
      <c r="J38">
        <f>'Main Sheet'!J38</f>
        <v>0.84073555469512895</v>
      </c>
      <c r="K38" s="3">
        <f>'Main Sheet'!K38</f>
        <v>0.41208741068839999</v>
      </c>
      <c r="L38">
        <f>'Main Sheet'!P38</f>
        <v>0.89193302392959595</v>
      </c>
      <c r="M38">
        <f>'Main Sheet'!Q38</f>
        <v>0.33333334326744002</v>
      </c>
      <c r="N38">
        <f>'Main Sheet'!R38</f>
        <v>0.29090908169746399</v>
      </c>
      <c r="O38">
        <f>'Main Sheet'!S38</f>
        <v>0.31067961454391402</v>
      </c>
      <c r="P38">
        <f>'Main Sheet'!T38</f>
        <v>0.80970251560211104</v>
      </c>
      <c r="Q38" s="3">
        <f>'Main Sheet'!U38</f>
        <v>0.29779574275016701</v>
      </c>
      <c r="R38">
        <f>'Main Sheet'!Z38</f>
        <v>0.63868063688278198</v>
      </c>
      <c r="S38">
        <f>'Main Sheet'!AA38</f>
        <v>0.90099012851715088</v>
      </c>
      <c r="T38">
        <f>'Main Sheet'!AB38</f>
        <v>0.28260868787765503</v>
      </c>
      <c r="U38">
        <f>'Main Sheet'!AC38</f>
        <v>0.43026003241539001</v>
      </c>
      <c r="V38">
        <f>'Main Sheet'!AD38</f>
        <v>0.75936627388000488</v>
      </c>
      <c r="W38">
        <f>'Main Sheet'!AE38</f>
        <v>0.78163182735443115</v>
      </c>
    </row>
    <row r="39" spans="1:23" x14ac:dyDescent="0.25">
      <c r="A39" s="107"/>
      <c r="B39" s="107"/>
      <c r="C39" s="107"/>
      <c r="D39" s="7">
        <v>4</v>
      </c>
      <c r="E39" s="8">
        <f>'Main Sheet'!E39</f>
        <v>16</v>
      </c>
      <c r="F39" s="7">
        <f>'Main Sheet'!F39</f>
        <v>0.91708540916442804</v>
      </c>
      <c r="G39" s="7">
        <f>'Main Sheet'!G39</f>
        <v>0.50588238239288297</v>
      </c>
      <c r="H39" s="7">
        <f>'Main Sheet'!H39</f>
        <v>0.43000000715255698</v>
      </c>
      <c r="I39" s="7">
        <f>'Main Sheet'!I39</f>
        <v>0.46486485004424999</v>
      </c>
      <c r="J39" s="7">
        <f>'Main Sheet'!J39</f>
        <v>0.88147175312042203</v>
      </c>
      <c r="K39" s="8">
        <f>'Main Sheet'!K39</f>
        <v>0.49897056818008401</v>
      </c>
      <c r="L39" s="7">
        <f>'Main Sheet'!P39</f>
        <v>0.89649921655654896</v>
      </c>
      <c r="M39" s="7">
        <f>'Main Sheet'!Q39</f>
        <v>0.36458334326744002</v>
      </c>
      <c r="N39" s="7">
        <f>'Main Sheet'!R39</f>
        <v>0.318181812763214</v>
      </c>
      <c r="O39" s="7">
        <f>'Main Sheet'!S39</f>
        <v>0.33980581164360002</v>
      </c>
      <c r="P39" s="7">
        <f>'Main Sheet'!T39</f>
        <v>0.83089709281921298</v>
      </c>
      <c r="Q39" s="8">
        <f>'Main Sheet'!U39</f>
        <v>0.316507518291473</v>
      </c>
      <c r="R39">
        <f>'Main Sheet'!Z39</f>
        <v>0.65067464113235474</v>
      </c>
      <c r="S39">
        <f>'Main Sheet'!AA39</f>
        <v>0.98901098966598511</v>
      </c>
      <c r="T39">
        <f>'Main Sheet'!AB39</f>
        <v>0.27950310707092285</v>
      </c>
      <c r="U39">
        <f>'Main Sheet'!AC39</f>
        <v>0.43583536148071289</v>
      </c>
      <c r="V39">
        <f>'Main Sheet'!AD39</f>
        <v>0.82860743999481201</v>
      </c>
      <c r="W39">
        <f>'Main Sheet'!AE39</f>
        <v>0.85883533954620361</v>
      </c>
    </row>
    <row r="40" spans="1:23" x14ac:dyDescent="0.25">
      <c r="A40" s="103" t="s">
        <v>19</v>
      </c>
      <c r="B40" s="103" t="s">
        <v>23</v>
      </c>
      <c r="C40" s="103">
        <v>18</v>
      </c>
      <c r="D40" s="9">
        <v>1</v>
      </c>
      <c r="E40" s="10">
        <f>'Main Sheet'!E40</f>
        <v>11</v>
      </c>
      <c r="F40" s="9">
        <f>'Main Sheet'!F40</f>
        <v>0.86786019802093495</v>
      </c>
      <c r="G40" s="9">
        <f>'Main Sheet'!G40</f>
        <v>0.38410595059394798</v>
      </c>
      <c r="H40" s="9">
        <f>'Main Sheet'!H40</f>
        <v>0.483333319425582</v>
      </c>
      <c r="I40" s="9">
        <f>'Main Sheet'!I40</f>
        <v>0.42804428935050898</v>
      </c>
      <c r="J40" s="9">
        <f>'Main Sheet'!J40</f>
        <v>0.84235513210296598</v>
      </c>
      <c r="K40" s="10">
        <f>'Main Sheet'!K40</f>
        <v>0.397595584392547</v>
      </c>
      <c r="L40" s="9">
        <f>'Main Sheet'!P40</f>
        <v>0.86834096908569303</v>
      </c>
      <c r="M40" s="9">
        <f>'Main Sheet'!Q40</f>
        <v>0.301886796951293</v>
      </c>
      <c r="N40" s="9">
        <f>'Main Sheet'!R40</f>
        <v>0.43636363744735701</v>
      </c>
      <c r="O40" s="9">
        <f>'Main Sheet'!S40</f>
        <v>0.35687732696533198</v>
      </c>
      <c r="P40" s="9">
        <f>'Main Sheet'!T40</f>
        <v>0.84149795770645097</v>
      </c>
      <c r="Q40" s="10">
        <f>'Main Sheet'!U40</f>
        <v>0.35585039854049599</v>
      </c>
      <c r="R40">
        <f>'Main Sheet'!Z40</f>
        <v>0.70914542675018311</v>
      </c>
      <c r="S40">
        <f>'Main Sheet'!AA40</f>
        <v>0.92105263471603394</v>
      </c>
      <c r="T40">
        <f>'Main Sheet'!AB40</f>
        <v>0.43478259444236755</v>
      </c>
      <c r="U40">
        <f>'Main Sheet'!AC40</f>
        <v>0.59071731567382813</v>
      </c>
      <c r="V40">
        <f>'Main Sheet'!AD40</f>
        <v>0.843955397605896</v>
      </c>
      <c r="W40">
        <f>'Main Sheet'!AE40</f>
        <v>0.84806090593338013</v>
      </c>
    </row>
    <row r="41" spans="1:23" x14ac:dyDescent="0.25">
      <c r="A41" s="105"/>
      <c r="B41" s="105"/>
      <c r="C41" s="105"/>
      <c r="D41">
        <v>2</v>
      </c>
      <c r="E41" s="3">
        <f>'Main Sheet'!E41</f>
        <v>7</v>
      </c>
      <c r="F41">
        <f>'Main Sheet'!F41</f>
        <v>0.89593493938446001</v>
      </c>
      <c r="G41">
        <f>'Main Sheet'!G41</f>
        <v>0.42391303181648199</v>
      </c>
      <c r="H41">
        <f>'Main Sheet'!H41</f>
        <v>0.34210526943206698</v>
      </c>
      <c r="I41">
        <f>'Main Sheet'!I41</f>
        <v>0.37864077091217002</v>
      </c>
      <c r="J41">
        <f>'Main Sheet'!J41</f>
        <v>0.85435140132903997</v>
      </c>
      <c r="K41" s="3">
        <f>'Main Sheet'!K41</f>
        <v>0.363403290510177</v>
      </c>
      <c r="L41">
        <f>'Main Sheet'!P41</f>
        <v>0.88660579919814997</v>
      </c>
      <c r="M41">
        <f>'Main Sheet'!Q41</f>
        <v>0.33043476939201299</v>
      </c>
      <c r="N41">
        <f>'Main Sheet'!R41</f>
        <v>0.34545454382896401</v>
      </c>
      <c r="O41">
        <f>'Main Sheet'!S41</f>
        <v>0.33777776360511702</v>
      </c>
      <c r="P41">
        <f>'Main Sheet'!T41</f>
        <v>0.80677282810211104</v>
      </c>
      <c r="Q41" s="3">
        <f>'Main Sheet'!U41</f>
        <v>0.269260644912719</v>
      </c>
      <c r="R41">
        <f>'Main Sheet'!Z41</f>
        <v>0.68065965175628662</v>
      </c>
      <c r="S41">
        <f>'Main Sheet'!AA41</f>
        <v>0.91603052616119385</v>
      </c>
      <c r="T41">
        <f>'Main Sheet'!AB41</f>
        <v>0.37267079949378967</v>
      </c>
      <c r="U41">
        <f>'Main Sheet'!AC41</f>
        <v>0.52980130910873413</v>
      </c>
      <c r="V41">
        <f>'Main Sheet'!AD41</f>
        <v>0.8356737494468689</v>
      </c>
      <c r="W41">
        <f>'Main Sheet'!AE41</f>
        <v>0.84335023164749146</v>
      </c>
    </row>
    <row r="42" spans="1:23" x14ac:dyDescent="0.25">
      <c r="A42" s="105"/>
      <c r="B42" s="105"/>
      <c r="C42" s="105"/>
      <c r="D42">
        <v>3</v>
      </c>
      <c r="E42" s="3">
        <f>'Main Sheet'!E42</f>
        <v>25</v>
      </c>
      <c r="F42">
        <f>'Main Sheet'!F42</f>
        <v>0.89616614580154397</v>
      </c>
      <c r="G42">
        <f>'Main Sheet'!G42</f>
        <v>0.40404039621353099</v>
      </c>
      <c r="H42">
        <f>'Main Sheet'!H42</f>
        <v>0.36036035418510398</v>
      </c>
      <c r="I42">
        <f>'Main Sheet'!I42</f>
        <v>0.380952388048172</v>
      </c>
      <c r="J42">
        <f>'Main Sheet'!J42</f>
        <v>0.84852075576782204</v>
      </c>
      <c r="K42" s="3">
        <f>'Main Sheet'!K42</f>
        <v>0.37949493527412398</v>
      </c>
      <c r="L42">
        <f>'Main Sheet'!P42</f>
        <v>0.90410959720611495</v>
      </c>
      <c r="M42">
        <f>'Main Sheet'!Q42</f>
        <v>0.40476191043853699</v>
      </c>
      <c r="N42">
        <f>'Main Sheet'!R42</f>
        <v>0.30909091234207098</v>
      </c>
      <c r="O42">
        <f>'Main Sheet'!S42</f>
        <v>0.35051545500755299</v>
      </c>
      <c r="P42">
        <f>'Main Sheet'!T42</f>
        <v>0.83388704061508101</v>
      </c>
      <c r="Q42" s="3">
        <f>'Main Sheet'!U42</f>
        <v>0.32921004295349099</v>
      </c>
      <c r="R42">
        <f>'Main Sheet'!Z42</f>
        <v>0.6296851634979248</v>
      </c>
      <c r="S42">
        <f>'Main Sheet'!AA42</f>
        <v>0.8571428656578064</v>
      </c>
      <c r="T42">
        <f>'Main Sheet'!AB42</f>
        <v>0.27950310707092285</v>
      </c>
      <c r="U42">
        <f>'Main Sheet'!AC42</f>
        <v>0.42154565453529358</v>
      </c>
      <c r="V42">
        <f>'Main Sheet'!AD42</f>
        <v>0.76661258935928345</v>
      </c>
      <c r="W42">
        <f>'Main Sheet'!AE42</f>
        <v>0.76707512140274048</v>
      </c>
    </row>
    <row r="43" spans="1:23" x14ac:dyDescent="0.25">
      <c r="A43" s="105"/>
      <c r="B43" s="105"/>
      <c r="C43" s="105"/>
      <c r="D43">
        <v>4</v>
      </c>
      <c r="E43" s="3">
        <f>'Main Sheet'!E43</f>
        <v>19</v>
      </c>
      <c r="F43">
        <f>'Main Sheet'!F43</f>
        <v>0.871021747589111</v>
      </c>
      <c r="G43">
        <f>'Main Sheet'!G43</f>
        <v>0.35789474844932501</v>
      </c>
      <c r="H43">
        <f>'Main Sheet'!H43</f>
        <v>0.68000000715255704</v>
      </c>
      <c r="I43">
        <f>'Main Sheet'!I43</f>
        <v>0.46896553039550698</v>
      </c>
      <c r="J43">
        <f>'Main Sheet'!J43</f>
        <v>0.87818098068237305</v>
      </c>
      <c r="K43" s="3">
        <f>'Main Sheet'!K43</f>
        <v>0.48726895451545699</v>
      </c>
      <c r="L43">
        <f>'Main Sheet'!P43</f>
        <v>0.83789956569671598</v>
      </c>
      <c r="M43">
        <f>'Main Sheet'!Q43</f>
        <v>0.27896994352340698</v>
      </c>
      <c r="N43">
        <f>'Main Sheet'!R43</f>
        <v>0.59090906381607</v>
      </c>
      <c r="O43">
        <f>'Main Sheet'!S43</f>
        <v>0.37900874018669101</v>
      </c>
      <c r="P43">
        <f>'Main Sheet'!T43</f>
        <v>0.84830111265182495</v>
      </c>
      <c r="Q43" s="3">
        <f>'Main Sheet'!U43</f>
        <v>0.36820226907730103</v>
      </c>
      <c r="R43">
        <f>'Main Sheet'!Z43</f>
        <v>0.67466264963150024</v>
      </c>
      <c r="S43">
        <f>'Main Sheet'!AA43</f>
        <v>0.92682927846908569</v>
      </c>
      <c r="T43">
        <f>'Main Sheet'!AB43</f>
        <v>0.35403725504875183</v>
      </c>
      <c r="U43">
        <f>'Main Sheet'!AC43</f>
        <v>0.51235955953598022</v>
      </c>
      <c r="V43">
        <f>'Main Sheet'!AD43</f>
        <v>0.79909080266952515</v>
      </c>
      <c r="W43">
        <f>'Main Sheet'!AE43</f>
        <v>0.81595331430435181</v>
      </c>
    </row>
    <row r="44" spans="1:23" x14ac:dyDescent="0.25">
      <c r="A44" s="105"/>
      <c r="B44" s="105"/>
      <c r="C44" s="105">
        <v>34</v>
      </c>
      <c r="D44">
        <v>1</v>
      </c>
      <c r="E44" s="3">
        <f>'Main Sheet'!E44</f>
        <v>24</v>
      </c>
      <c r="F44">
        <f>'Main Sheet'!F44</f>
        <v>0.84995734691619795</v>
      </c>
      <c r="G44">
        <f>'Main Sheet'!G44</f>
        <v>0.35714286565780601</v>
      </c>
      <c r="H44">
        <f>'Main Sheet'!H44</f>
        <v>0.58333331346511796</v>
      </c>
      <c r="I44">
        <f>'Main Sheet'!I44</f>
        <v>0.44303798675537098</v>
      </c>
      <c r="J44">
        <f>'Main Sheet'!J44</f>
        <v>0.85094964504241899</v>
      </c>
      <c r="K44" s="3">
        <f>'Main Sheet'!K44</f>
        <v>0.37610369920730502</v>
      </c>
      <c r="L44">
        <f>'Main Sheet'!P44</f>
        <v>0.86073058843612604</v>
      </c>
      <c r="M44">
        <f>'Main Sheet'!Q44</f>
        <v>0.32367148995399397</v>
      </c>
      <c r="N44">
        <f>'Main Sheet'!R44</f>
        <v>0.60909092426300004</v>
      </c>
      <c r="O44">
        <f>'Main Sheet'!S44</f>
        <v>0.422712922096252</v>
      </c>
      <c r="P44">
        <f>'Main Sheet'!T44</f>
        <v>0.842426717281341</v>
      </c>
      <c r="Q44" s="3">
        <f>'Main Sheet'!U44</f>
        <v>0.362184077501297</v>
      </c>
      <c r="R44">
        <f>'Main Sheet'!Z44</f>
        <v>0.67766118049621582</v>
      </c>
      <c r="S44">
        <f>'Main Sheet'!AA44</f>
        <v>0.92799997329711914</v>
      </c>
      <c r="T44">
        <f>'Main Sheet'!AB44</f>
        <v>0.36024844646453857</v>
      </c>
      <c r="U44">
        <f>'Main Sheet'!AC44</f>
        <v>0.51901566982269287</v>
      </c>
      <c r="V44">
        <f>'Main Sheet'!AD44</f>
        <v>0.80864161252975464</v>
      </c>
      <c r="W44">
        <f>'Main Sheet'!AE44</f>
        <v>0.82898545265197754</v>
      </c>
    </row>
    <row r="45" spans="1:23" x14ac:dyDescent="0.25">
      <c r="A45" s="105"/>
      <c r="B45" s="105"/>
      <c r="C45" s="105"/>
      <c r="D45">
        <v>2</v>
      </c>
      <c r="E45" s="3">
        <f>'Main Sheet'!E45</f>
        <v>21</v>
      </c>
      <c r="F45">
        <f>'Main Sheet'!F45</f>
        <v>0.90243899822235096</v>
      </c>
      <c r="G45">
        <f>'Main Sheet'!G45</f>
        <v>0.47222220897674499</v>
      </c>
      <c r="H45">
        <f>'Main Sheet'!H45</f>
        <v>0.44736841320991499</v>
      </c>
      <c r="I45">
        <f>'Main Sheet'!I45</f>
        <v>0.45945945382118197</v>
      </c>
      <c r="J45">
        <f>'Main Sheet'!J45</f>
        <v>0.87553453445434504</v>
      </c>
      <c r="K45" s="3">
        <f>'Main Sheet'!K45</f>
        <v>0.44040283560752802</v>
      </c>
      <c r="L45">
        <f>'Main Sheet'!P45</f>
        <v>0.87899541854858398</v>
      </c>
      <c r="M45">
        <f>'Main Sheet'!Q45</f>
        <v>0.31851851940155002</v>
      </c>
      <c r="N45">
        <f>'Main Sheet'!R45</f>
        <v>0.39090910553932101</v>
      </c>
      <c r="O45">
        <f>'Main Sheet'!S45</f>
        <v>0.35102039575576699</v>
      </c>
      <c r="P45">
        <f>'Main Sheet'!T45</f>
        <v>0.83720934391021695</v>
      </c>
      <c r="Q45" s="3">
        <f>'Main Sheet'!U45</f>
        <v>0.345467388629913</v>
      </c>
      <c r="R45">
        <f>'Main Sheet'!Z45</f>
        <v>0.6296851634979248</v>
      </c>
      <c r="S45">
        <f>'Main Sheet'!AA45</f>
        <v>0.95180720090866089</v>
      </c>
      <c r="T45">
        <f>'Main Sheet'!AB45</f>
        <v>0.24534161388874054</v>
      </c>
      <c r="U45">
        <f>'Main Sheet'!AC45</f>
        <v>0.39012345671653748</v>
      </c>
      <c r="V45">
        <f>'Main Sheet'!AD45</f>
        <v>0.78436404466629028</v>
      </c>
      <c r="W45">
        <f>'Main Sheet'!AE45</f>
        <v>0.80499517917633057</v>
      </c>
    </row>
    <row r="46" spans="1:23" x14ac:dyDescent="0.25">
      <c r="A46" s="105"/>
      <c r="B46" s="105"/>
      <c r="C46" s="105"/>
      <c r="D46">
        <v>3</v>
      </c>
      <c r="E46" s="3">
        <f>'Main Sheet'!E46</f>
        <v>48</v>
      </c>
      <c r="F46">
        <f>'Main Sheet'!F46</f>
        <v>0.90255588293075495</v>
      </c>
      <c r="G46">
        <f>'Main Sheet'!G46</f>
        <v>0.44444444775581299</v>
      </c>
      <c r="H46">
        <f>'Main Sheet'!H46</f>
        <v>0.39639639854431102</v>
      </c>
      <c r="I46">
        <f>'Main Sheet'!I46</f>
        <v>0.41904762387275601</v>
      </c>
      <c r="J46">
        <f>'Main Sheet'!J46</f>
        <v>0.85144215822219804</v>
      </c>
      <c r="K46" s="3">
        <f>'Main Sheet'!K46</f>
        <v>0.40989235043525601</v>
      </c>
      <c r="L46">
        <f>'Main Sheet'!P46</f>
        <v>0.89726024866104104</v>
      </c>
      <c r="M46">
        <f>'Main Sheet'!Q46</f>
        <v>0.36559140682220398</v>
      </c>
      <c r="N46">
        <f>'Main Sheet'!R46</f>
        <v>0.30909091234207098</v>
      </c>
      <c r="O46">
        <f>'Main Sheet'!S46</f>
        <v>0.33497536182403498</v>
      </c>
      <c r="P46">
        <f>'Main Sheet'!T46</f>
        <v>0.796375691890716</v>
      </c>
      <c r="Q46" s="3">
        <f>'Main Sheet'!U46</f>
        <v>0.305653095245361</v>
      </c>
      <c r="R46">
        <f>'Main Sheet'!Z46</f>
        <v>0.61619192361831665</v>
      </c>
      <c r="S46">
        <f>'Main Sheet'!AA46</f>
        <v>0.91250002384185791</v>
      </c>
      <c r="T46">
        <f>'Main Sheet'!AB46</f>
        <v>0.2267080694437027</v>
      </c>
      <c r="U46">
        <f>'Main Sheet'!AC46</f>
        <v>0.36318409442901611</v>
      </c>
      <c r="V46">
        <f>'Main Sheet'!AD46</f>
        <v>0.76821500062942505</v>
      </c>
      <c r="W46">
        <f>'Main Sheet'!AE46</f>
        <v>0.77106368541717529</v>
      </c>
    </row>
    <row r="47" spans="1:23" x14ac:dyDescent="0.25">
      <c r="A47" s="105"/>
      <c r="B47" s="105"/>
      <c r="C47" s="105"/>
      <c r="D47">
        <v>4</v>
      </c>
      <c r="E47" s="3">
        <f>'Main Sheet'!E47</f>
        <v>33</v>
      </c>
      <c r="F47">
        <f>'Main Sheet'!F47</f>
        <v>0.89782243967056197</v>
      </c>
      <c r="G47">
        <f>'Main Sheet'!G47</f>
        <v>0.42028984427451999</v>
      </c>
      <c r="H47">
        <f>'Main Sheet'!H47</f>
        <v>0.57999998331069902</v>
      </c>
      <c r="I47">
        <f>'Main Sheet'!I47</f>
        <v>0.487394958734512</v>
      </c>
      <c r="J47">
        <f>'Main Sheet'!J47</f>
        <v>0.86129802465438798</v>
      </c>
      <c r="K47" s="3">
        <f>'Main Sheet'!K47</f>
        <v>0.50594079494476296</v>
      </c>
      <c r="L47">
        <f>'Main Sheet'!P47</f>
        <v>0.87595129013061501</v>
      </c>
      <c r="M47">
        <f>'Main Sheet'!Q47</f>
        <v>0.33121019601821899</v>
      </c>
      <c r="N47">
        <f>'Main Sheet'!R47</f>
        <v>0.47272726893424899</v>
      </c>
      <c r="O47">
        <f>'Main Sheet'!S47</f>
        <v>0.38951310515403698</v>
      </c>
      <c r="P47">
        <f>'Main Sheet'!T47</f>
        <v>0.83793413639068604</v>
      </c>
      <c r="Q47" s="3">
        <f>'Main Sheet'!U47</f>
        <v>0.357453793287277</v>
      </c>
      <c r="R47">
        <f>'Main Sheet'!Z47</f>
        <v>0.61319339275360107</v>
      </c>
      <c r="S47">
        <f>'Main Sheet'!AA47</f>
        <v>0.93243241310119629</v>
      </c>
      <c r="T47">
        <f>'Main Sheet'!AB47</f>
        <v>0.2142857164144516</v>
      </c>
      <c r="U47">
        <f>'Main Sheet'!AC47</f>
        <v>0.34848484396934509</v>
      </c>
      <c r="V47">
        <f>'Main Sheet'!AD47</f>
        <v>0.78020519018173218</v>
      </c>
      <c r="W47">
        <f>'Main Sheet'!AE47</f>
        <v>0.78519952297210693</v>
      </c>
    </row>
    <row r="48" spans="1:23" x14ac:dyDescent="0.25">
      <c r="A48" s="105"/>
      <c r="B48" s="105"/>
      <c r="C48" s="105">
        <v>50</v>
      </c>
      <c r="D48">
        <v>1</v>
      </c>
      <c r="E48" s="3">
        <f>'Main Sheet'!E48</f>
        <v>8</v>
      </c>
      <c r="F48">
        <f>'Main Sheet'!F48</f>
        <v>0.90025573968887296</v>
      </c>
      <c r="G48">
        <f>'Main Sheet'!G48</f>
        <v>0.55555558204650801</v>
      </c>
      <c r="H48">
        <f>'Main Sheet'!H48</f>
        <v>0.125</v>
      </c>
      <c r="I48">
        <f>'Main Sheet'!I48</f>
        <v>0.20408163964748299</v>
      </c>
      <c r="J48">
        <f>'Main Sheet'!J48</f>
        <v>0.81001901626586903</v>
      </c>
      <c r="K48" s="3">
        <f>'Main Sheet'!K48</f>
        <v>0.39950579404830899</v>
      </c>
      <c r="L48">
        <f>'Main Sheet'!P48</f>
        <v>0.91856926679611195</v>
      </c>
      <c r="M48">
        <f>'Main Sheet'!Q48</f>
        <v>0.57894736528396595</v>
      </c>
      <c r="N48">
        <f>'Main Sheet'!R48</f>
        <v>0.10000000149011599</v>
      </c>
      <c r="O48">
        <f>'Main Sheet'!S48</f>
        <v>0.170542642474174</v>
      </c>
      <c r="P48">
        <f>'Main Sheet'!T48</f>
        <v>0.80191028118133501</v>
      </c>
      <c r="Q48" s="3">
        <f>'Main Sheet'!U48</f>
        <v>0.330825746059417</v>
      </c>
      <c r="R48">
        <f>'Main Sheet'!Z48</f>
        <v>0.54122936725616455</v>
      </c>
      <c r="S48">
        <f>'Main Sheet'!AA48</f>
        <v>1</v>
      </c>
      <c r="T48">
        <f>'Main Sheet'!AB48</f>
        <v>4.9689441919326782E-2</v>
      </c>
      <c r="U48">
        <f>'Main Sheet'!AC48</f>
        <v>9.4674557447433472E-2</v>
      </c>
      <c r="V48">
        <f>'Main Sheet'!AD48</f>
        <v>0.81293541193008423</v>
      </c>
      <c r="W48">
        <f>'Main Sheet'!AE48</f>
        <v>0.81892728805541992</v>
      </c>
    </row>
    <row r="49" spans="1:23" x14ac:dyDescent="0.25">
      <c r="A49" s="105"/>
      <c r="B49" s="105"/>
      <c r="C49" s="105"/>
      <c r="D49">
        <v>2</v>
      </c>
      <c r="E49" s="3">
        <f>'Main Sheet'!E49</f>
        <v>15</v>
      </c>
      <c r="F49">
        <f>'Main Sheet'!F49</f>
        <v>0.91869920492172197</v>
      </c>
      <c r="G49">
        <f>'Main Sheet'!G49</f>
        <v>0.69444441795349099</v>
      </c>
      <c r="H49">
        <f>'Main Sheet'!H49</f>
        <v>0.21929824352264399</v>
      </c>
      <c r="I49">
        <f>'Main Sheet'!I49</f>
        <v>0.33333334326744002</v>
      </c>
      <c r="J49">
        <f>'Main Sheet'!J49</f>
        <v>0.87028390169143599</v>
      </c>
      <c r="K49" s="3">
        <f>'Main Sheet'!K49</f>
        <v>0.48008829355239802</v>
      </c>
      <c r="L49">
        <f>'Main Sheet'!P49</f>
        <v>0.91324198246002197</v>
      </c>
      <c r="M49">
        <f>'Main Sheet'!Q49</f>
        <v>0.44736841320991499</v>
      </c>
      <c r="N49">
        <f>'Main Sheet'!R49</f>
        <v>0.15454545617103499</v>
      </c>
      <c r="O49">
        <f>'Main Sheet'!S49</f>
        <v>0.22972972691059099</v>
      </c>
      <c r="P49">
        <f>'Main Sheet'!T49</f>
        <v>0.821707904338836</v>
      </c>
      <c r="Q49" s="3">
        <f>'Main Sheet'!U49</f>
        <v>0.33657336235046298</v>
      </c>
      <c r="R49">
        <f>'Main Sheet'!Z49</f>
        <v>0.56371814012527466</v>
      </c>
      <c r="S49">
        <f>'Main Sheet'!AA49</f>
        <v>1</v>
      </c>
      <c r="T49">
        <f>'Main Sheet'!AB49</f>
        <v>9.627329558134079E-2</v>
      </c>
      <c r="U49">
        <f>'Main Sheet'!AC49</f>
        <v>0.17563739418983459</v>
      </c>
      <c r="V49">
        <f>'Main Sheet'!AD49</f>
        <v>0.81020790338516235</v>
      </c>
      <c r="W49">
        <f>'Main Sheet'!AE49</f>
        <v>0.83249682188034058</v>
      </c>
    </row>
    <row r="50" spans="1:23" x14ac:dyDescent="0.25">
      <c r="A50" s="105"/>
      <c r="B50" s="105"/>
      <c r="C50" s="105"/>
      <c r="D50">
        <v>3</v>
      </c>
      <c r="E50" s="3">
        <f>'Main Sheet'!E50</f>
        <v>14</v>
      </c>
      <c r="F50">
        <f>'Main Sheet'!F50</f>
        <v>0.91613417863845803</v>
      </c>
      <c r="G50">
        <f>'Main Sheet'!G50</f>
        <v>0.58823531866073597</v>
      </c>
      <c r="H50">
        <f>'Main Sheet'!H50</f>
        <v>0.18018017709255199</v>
      </c>
      <c r="I50">
        <f>'Main Sheet'!I50</f>
        <v>0.27586206793785001</v>
      </c>
      <c r="J50">
        <f>'Main Sheet'!J50</f>
        <v>0.84948408603668202</v>
      </c>
      <c r="K50" s="3">
        <f>'Main Sheet'!K50</f>
        <v>0.395836651325225</v>
      </c>
      <c r="L50">
        <f>'Main Sheet'!P50</f>
        <v>0.91476410627365101</v>
      </c>
      <c r="M50">
        <f>'Main Sheet'!Q50</f>
        <v>0.477272719144821</v>
      </c>
      <c r="N50">
        <f>'Main Sheet'!R50</f>
        <v>0.19090908765792799</v>
      </c>
      <c r="O50">
        <f>'Main Sheet'!S50</f>
        <v>0.272727280855178</v>
      </c>
      <c r="P50">
        <f>'Main Sheet'!T50</f>
        <v>0.844623982906341</v>
      </c>
      <c r="Q50" s="3">
        <f>'Main Sheet'!U50</f>
        <v>0.33928376436233498</v>
      </c>
      <c r="R50">
        <f>'Main Sheet'!Z50</f>
        <v>0.57571214437484741</v>
      </c>
      <c r="S50">
        <f>'Main Sheet'!AA50</f>
        <v>1</v>
      </c>
      <c r="T50">
        <f>'Main Sheet'!AB50</f>
        <v>0.12111800909042358</v>
      </c>
      <c r="U50">
        <f>'Main Sheet'!AC50</f>
        <v>0.21606647968292236</v>
      </c>
      <c r="V50">
        <f>'Main Sheet'!AD50</f>
        <v>0.8311188817024231</v>
      </c>
      <c r="W50">
        <f>'Main Sheet'!AE50</f>
        <v>0.84089189767837524</v>
      </c>
    </row>
    <row r="51" spans="1:23" x14ac:dyDescent="0.25">
      <c r="A51" s="107"/>
      <c r="B51" s="107"/>
      <c r="C51" s="107"/>
      <c r="D51" s="7">
        <v>4</v>
      </c>
      <c r="E51" s="8">
        <f>'Main Sheet'!E51</f>
        <v>17</v>
      </c>
      <c r="F51" s="7">
        <f>'Main Sheet'!F51</f>
        <v>0.85427135229110696</v>
      </c>
      <c r="G51" s="7">
        <f>'Main Sheet'!G51</f>
        <v>0.30729165673255898</v>
      </c>
      <c r="H51" s="7">
        <f>'Main Sheet'!H51</f>
        <v>0.58999997377395597</v>
      </c>
      <c r="I51" s="7">
        <f>'Main Sheet'!I51</f>
        <v>0.404109597206115</v>
      </c>
      <c r="J51" s="7">
        <f>'Main Sheet'!J51</f>
        <v>0.85933279991149902</v>
      </c>
      <c r="K51" s="8">
        <f>'Main Sheet'!K51</f>
        <v>0.43972122669219899</v>
      </c>
      <c r="L51" s="7">
        <f>'Main Sheet'!P51</f>
        <v>0.83561640977859497</v>
      </c>
      <c r="M51" s="7">
        <f>'Main Sheet'!Q51</f>
        <v>0.27350428700446999</v>
      </c>
      <c r="N51" s="7">
        <f>'Main Sheet'!R51</f>
        <v>0.58181816339492798</v>
      </c>
      <c r="O51" s="7">
        <f>'Main Sheet'!S51</f>
        <v>0.37209302186965898</v>
      </c>
      <c r="P51" s="7">
        <f>'Main Sheet'!T51</f>
        <v>0.84529596567153897</v>
      </c>
      <c r="Q51" s="8">
        <f>'Main Sheet'!U51</f>
        <v>0.28834438323974598</v>
      </c>
      <c r="R51">
        <f>'Main Sheet'!Z51</f>
        <v>0.70164918899536133</v>
      </c>
      <c r="S51">
        <f>'Main Sheet'!AA51</f>
        <v>0.8253968358039856</v>
      </c>
      <c r="T51">
        <f>'Main Sheet'!AB51</f>
        <v>0.48447203636169434</v>
      </c>
      <c r="U51">
        <f>'Main Sheet'!AC51</f>
        <v>0.61056751012802124</v>
      </c>
      <c r="V51">
        <f>'Main Sheet'!AD51</f>
        <v>0.77432715892791748</v>
      </c>
      <c r="W51">
        <f>'Main Sheet'!AE51</f>
        <v>0.76891565322875977</v>
      </c>
    </row>
    <row r="52" spans="1:23" x14ac:dyDescent="0.25">
      <c r="A52" s="103" t="s">
        <v>24</v>
      </c>
      <c r="B52" s="103" t="s">
        <v>21</v>
      </c>
      <c r="C52" s="103">
        <v>18</v>
      </c>
      <c r="D52" s="9">
        <v>1</v>
      </c>
      <c r="E52" s="10">
        <f>'Main Sheet'!E52</f>
        <v>6</v>
      </c>
      <c r="F52" s="9">
        <f>'Main Sheet'!F52</f>
        <v>0.88746803998947099</v>
      </c>
      <c r="G52" s="9">
        <f>'Main Sheet'!G52</f>
        <v>0.46153846383094699</v>
      </c>
      <c r="H52" s="9">
        <f>'Main Sheet'!H52</f>
        <v>0.60000002384185702</v>
      </c>
      <c r="I52" s="9">
        <f>'Main Sheet'!I52</f>
        <v>0.52173912525177002</v>
      </c>
      <c r="J52" s="9">
        <f>'Main Sheet'!J52</f>
        <v>0.84867036342620805</v>
      </c>
      <c r="K52" s="10">
        <f>'Main Sheet'!K52</f>
        <v>0.49701082706451399</v>
      </c>
      <c r="L52" s="9">
        <f>'Main Sheet'!P52</f>
        <v>0.87214612960815396</v>
      </c>
      <c r="M52" s="9">
        <f>'Main Sheet'!Q52</f>
        <v>0.34895834326744002</v>
      </c>
      <c r="N52" s="9">
        <f>'Main Sheet'!R52</f>
        <v>0.60909092426300004</v>
      </c>
      <c r="O52" s="9">
        <f>'Main Sheet'!S52</f>
        <v>0.44370859861373901</v>
      </c>
      <c r="P52" s="9">
        <f>'Main Sheet'!T52</f>
        <v>0.85996675491332997</v>
      </c>
      <c r="Q52" s="10">
        <f>'Main Sheet'!U52</f>
        <v>0.39321514964103699</v>
      </c>
      <c r="R52">
        <f>'Main Sheet'!Z52</f>
        <v>0.7061469554901123</v>
      </c>
      <c r="S52">
        <f>'Main Sheet'!AA52</f>
        <v>0.9038461446762085</v>
      </c>
      <c r="T52">
        <f>'Main Sheet'!AB52</f>
        <v>0.43788820505142212</v>
      </c>
      <c r="U52">
        <f>'Main Sheet'!AC52</f>
        <v>0.58995813131332397</v>
      </c>
      <c r="V52">
        <f>'Main Sheet'!AD52</f>
        <v>0.8092537522315979</v>
      </c>
      <c r="W52">
        <f>'Main Sheet'!AE52</f>
        <v>0.82250732183456421</v>
      </c>
    </row>
    <row r="53" spans="1:23" x14ac:dyDescent="0.25">
      <c r="A53" s="105"/>
      <c r="B53" s="105"/>
      <c r="C53" s="105"/>
      <c r="D53">
        <v>2</v>
      </c>
      <c r="E53" s="3">
        <f>'Main Sheet'!E53</f>
        <v>8</v>
      </c>
      <c r="F53">
        <f>'Main Sheet'!F53</f>
        <v>0.91707319021224898</v>
      </c>
      <c r="G53">
        <f>'Main Sheet'!G53</f>
        <v>0.60000002384185702</v>
      </c>
      <c r="H53">
        <f>'Main Sheet'!H53</f>
        <v>0.31578946113586398</v>
      </c>
      <c r="I53">
        <f>'Main Sheet'!I53</f>
        <v>0.41379311680793701</v>
      </c>
      <c r="J53">
        <f>'Main Sheet'!J53</f>
        <v>0.88900679349899203</v>
      </c>
      <c r="K53" s="3">
        <f>'Main Sheet'!K53</f>
        <v>0.54354256391525202</v>
      </c>
      <c r="L53">
        <f>'Main Sheet'!P53</f>
        <v>0.91704720258712702</v>
      </c>
      <c r="M53">
        <f>'Main Sheet'!Q53</f>
        <v>0.50704222917556696</v>
      </c>
      <c r="N53">
        <f>'Main Sheet'!R53</f>
        <v>0.32727271318435602</v>
      </c>
      <c r="O53">
        <f>'Main Sheet'!S53</f>
        <v>0.39779004454612699</v>
      </c>
      <c r="P53">
        <f>'Main Sheet'!T53</f>
        <v>0.86401391029357899</v>
      </c>
      <c r="Q53" s="3">
        <f>'Main Sheet'!U53</f>
        <v>0.44246089458465498</v>
      </c>
      <c r="R53">
        <f>'Main Sheet'!Z53</f>
        <v>0.59220391511917114</v>
      </c>
      <c r="S53">
        <f>'Main Sheet'!AA53</f>
        <v>0.96296298503875732</v>
      </c>
      <c r="T53">
        <f>'Main Sheet'!AB53</f>
        <v>0.16149067878723145</v>
      </c>
      <c r="U53">
        <f>'Main Sheet'!AC53</f>
        <v>0.27659574151039124</v>
      </c>
      <c r="V53">
        <f>'Main Sheet'!AD53</f>
        <v>0.7968403697013855</v>
      </c>
      <c r="W53">
        <f>'Main Sheet'!AE53</f>
        <v>0.81430995464324951</v>
      </c>
    </row>
    <row r="54" spans="1:23" x14ac:dyDescent="0.25">
      <c r="A54" s="105"/>
      <c r="B54" s="105"/>
      <c r="C54" s="105"/>
      <c r="D54">
        <v>3</v>
      </c>
      <c r="E54" s="3">
        <f>'Main Sheet'!E54</f>
        <v>6</v>
      </c>
      <c r="F54">
        <f>'Main Sheet'!F54</f>
        <v>0.86421728134155196</v>
      </c>
      <c r="G54">
        <f>'Main Sheet'!G54</f>
        <v>0.35748791694641102</v>
      </c>
      <c r="H54">
        <f>'Main Sheet'!H54</f>
        <v>0.66666668653488104</v>
      </c>
      <c r="I54">
        <f>'Main Sheet'!I54</f>
        <v>0.46540880203246998</v>
      </c>
      <c r="J54">
        <f>'Main Sheet'!J54</f>
        <v>0.84707576036453203</v>
      </c>
      <c r="K54" s="3">
        <f>'Main Sheet'!K54</f>
        <v>0.42528277635574302</v>
      </c>
      <c r="L54">
        <f>'Main Sheet'!P54</f>
        <v>0.83866059780120805</v>
      </c>
      <c r="M54">
        <f>'Main Sheet'!Q54</f>
        <v>0.290983617305755</v>
      </c>
      <c r="N54">
        <f>'Main Sheet'!R54</f>
        <v>0.64545452594757002</v>
      </c>
      <c r="O54">
        <f>'Main Sheet'!S54</f>
        <v>0.401129931211471</v>
      </c>
      <c r="P54">
        <f>'Main Sheet'!T54</f>
        <v>0.86666423082351596</v>
      </c>
      <c r="Q54" s="3">
        <f>'Main Sheet'!U54</f>
        <v>0.392840266227722</v>
      </c>
      <c r="R54">
        <f>'Main Sheet'!Z54</f>
        <v>0.73013490438461304</v>
      </c>
      <c r="S54">
        <f>'Main Sheet'!AA54</f>
        <v>0.90804594755172729</v>
      </c>
      <c r="T54">
        <f>'Main Sheet'!AB54</f>
        <v>0.49068322777748108</v>
      </c>
      <c r="U54">
        <f>'Main Sheet'!AC54</f>
        <v>0.63709676265716553</v>
      </c>
      <c r="V54">
        <f>'Main Sheet'!AD54</f>
        <v>0.81712120771408081</v>
      </c>
      <c r="W54">
        <f>'Main Sheet'!AE54</f>
        <v>0.84133291244506836</v>
      </c>
    </row>
    <row r="55" spans="1:23" x14ac:dyDescent="0.25">
      <c r="A55" s="105"/>
      <c r="B55" s="105"/>
      <c r="C55" s="105"/>
      <c r="D55">
        <v>4</v>
      </c>
      <c r="E55" s="3">
        <f>'Main Sheet'!E55</f>
        <v>8</v>
      </c>
      <c r="F55">
        <f>'Main Sheet'!F55</f>
        <v>0.85175877809524503</v>
      </c>
      <c r="G55">
        <f>'Main Sheet'!G55</f>
        <v>0.33617022633552501</v>
      </c>
      <c r="H55">
        <f>'Main Sheet'!H55</f>
        <v>0.79000002145767201</v>
      </c>
      <c r="I55">
        <f>'Main Sheet'!I55</f>
        <v>0.47164177894592202</v>
      </c>
      <c r="J55">
        <f>'Main Sheet'!J55</f>
        <v>0.88942408561706499</v>
      </c>
      <c r="K55" s="3">
        <f>'Main Sheet'!K55</f>
        <v>0.50199639797210605</v>
      </c>
      <c r="L55">
        <f>'Main Sheet'!P55</f>
        <v>0.81735157966613703</v>
      </c>
      <c r="M55">
        <f>'Main Sheet'!Q55</f>
        <v>0.27586206793785001</v>
      </c>
      <c r="N55">
        <f>'Main Sheet'!R55</f>
        <v>0.727272748947143</v>
      </c>
      <c r="O55">
        <f>'Main Sheet'!S55</f>
        <v>0.40000000596046398</v>
      </c>
      <c r="P55">
        <f>'Main Sheet'!T55</f>
        <v>0.87003928422927801</v>
      </c>
      <c r="Q55" s="3">
        <f>'Main Sheet'!U55</f>
        <v>0.42728608846664401</v>
      </c>
      <c r="R55">
        <f>'Main Sheet'!Z55</f>
        <v>0.73913043737411499</v>
      </c>
      <c r="S55">
        <f>'Main Sheet'!AA55</f>
        <v>0.85922330617904663</v>
      </c>
      <c r="T55">
        <f>'Main Sheet'!AB55</f>
        <v>0.54968941211700439</v>
      </c>
      <c r="U55">
        <f>'Main Sheet'!AC55</f>
        <v>0.67045456171035767</v>
      </c>
      <c r="V55">
        <f>'Main Sheet'!AD55</f>
        <v>0.80617517232894897</v>
      </c>
      <c r="W55">
        <f>'Main Sheet'!AE55</f>
        <v>0.8273080587387085</v>
      </c>
    </row>
    <row r="56" spans="1:23" x14ac:dyDescent="0.25">
      <c r="A56" s="105"/>
      <c r="B56" s="105"/>
      <c r="C56" s="105">
        <v>34</v>
      </c>
      <c r="D56">
        <v>1</v>
      </c>
      <c r="E56" s="3">
        <f>'Main Sheet'!E56</f>
        <v>3</v>
      </c>
      <c r="F56">
        <f>'Main Sheet'!F56</f>
        <v>0.869565188884735</v>
      </c>
      <c r="G56">
        <f>'Main Sheet'!G56</f>
        <v>0.40571427345275801</v>
      </c>
      <c r="H56">
        <f>'Main Sheet'!H56</f>
        <v>0.59166663885116499</v>
      </c>
      <c r="I56">
        <f>'Main Sheet'!I56</f>
        <v>0.48135593533515902</v>
      </c>
      <c r="J56">
        <f>'Main Sheet'!J56</f>
        <v>0.85361671447753895</v>
      </c>
      <c r="K56" s="3">
        <f>'Main Sheet'!K56</f>
        <v>0.38477489352226202</v>
      </c>
      <c r="L56">
        <f>'Main Sheet'!P56</f>
        <v>0.87823438644409102</v>
      </c>
      <c r="M56">
        <f>'Main Sheet'!Q56</f>
        <v>0.35955056548118502</v>
      </c>
      <c r="N56">
        <f>'Main Sheet'!R56</f>
        <v>0.58181816339492798</v>
      </c>
      <c r="O56">
        <f>'Main Sheet'!S56</f>
        <v>0.44444444775581299</v>
      </c>
      <c r="P56">
        <f>'Main Sheet'!T56</f>
        <v>0.84364998340606601</v>
      </c>
      <c r="Q56" s="3">
        <f>'Main Sheet'!U56</f>
        <v>0.351035356521606</v>
      </c>
      <c r="R56">
        <f>'Main Sheet'!Z56</f>
        <v>0.70464766025543213</v>
      </c>
      <c r="S56">
        <f>'Main Sheet'!AA56</f>
        <v>0.87425148487091064</v>
      </c>
      <c r="T56">
        <f>'Main Sheet'!AB56</f>
        <v>0.4534161388874054</v>
      </c>
      <c r="U56">
        <f>'Main Sheet'!AC56</f>
        <v>0.59713703393936157</v>
      </c>
      <c r="V56">
        <f>'Main Sheet'!AD56</f>
        <v>0.81300747394561768</v>
      </c>
      <c r="W56">
        <f>'Main Sheet'!AE56</f>
        <v>0.82522678375244141</v>
      </c>
    </row>
    <row r="57" spans="1:23" x14ac:dyDescent="0.25">
      <c r="A57" s="105"/>
      <c r="B57" s="105"/>
      <c r="C57" s="105"/>
      <c r="D57">
        <v>2</v>
      </c>
      <c r="E57" s="3">
        <f>'Main Sheet'!E57</f>
        <v>20</v>
      </c>
      <c r="F57">
        <f>'Main Sheet'!F57</f>
        <v>0.90813010931015004</v>
      </c>
      <c r="G57">
        <f>'Main Sheet'!G57</f>
        <v>0.50467288494110096</v>
      </c>
      <c r="H57">
        <f>'Main Sheet'!H57</f>
        <v>0.473684221506118</v>
      </c>
      <c r="I57">
        <f>'Main Sheet'!I57</f>
        <v>0.48868778347969</v>
      </c>
      <c r="J57">
        <f>'Main Sheet'!J57</f>
        <v>0.89228439331054599</v>
      </c>
      <c r="K57" s="3">
        <f>'Main Sheet'!K57</f>
        <v>0.52881020307540805</v>
      </c>
      <c r="L57">
        <f>'Main Sheet'!P57</f>
        <v>0.89649921655654896</v>
      </c>
      <c r="M57">
        <f>'Main Sheet'!Q57</f>
        <v>0.40845069289207397</v>
      </c>
      <c r="N57">
        <f>'Main Sheet'!R57</f>
        <v>0.52727270126342696</v>
      </c>
      <c r="O57">
        <f>'Main Sheet'!S57</f>
        <v>0.460317462682724</v>
      </c>
      <c r="P57">
        <f>'Main Sheet'!T57</f>
        <v>0.86284357309341397</v>
      </c>
      <c r="Q57" s="3">
        <f>'Main Sheet'!U57</f>
        <v>0.40798449516296298</v>
      </c>
      <c r="R57">
        <f>'Main Sheet'!Z57</f>
        <v>0.66566717624664307</v>
      </c>
      <c r="S57">
        <f>'Main Sheet'!AA57</f>
        <v>0.93805307149887085</v>
      </c>
      <c r="T57">
        <f>'Main Sheet'!AB57</f>
        <v>0.32919254899024963</v>
      </c>
      <c r="U57">
        <f>'Main Sheet'!AC57</f>
        <v>0.48735633492469788</v>
      </c>
      <c r="V57">
        <f>'Main Sheet'!AD57</f>
        <v>0.82100105285644531</v>
      </c>
      <c r="W57">
        <f>'Main Sheet'!AE57</f>
        <v>0.83263492584228516</v>
      </c>
    </row>
    <row r="58" spans="1:23" x14ac:dyDescent="0.25">
      <c r="A58" s="105"/>
      <c r="B58" s="105"/>
      <c r="C58" s="105"/>
      <c r="D58">
        <v>3</v>
      </c>
      <c r="E58" s="3">
        <f>'Main Sheet'!E58</f>
        <v>10</v>
      </c>
      <c r="F58">
        <f>'Main Sheet'!F58</f>
        <v>0.91853034496307295</v>
      </c>
      <c r="G58">
        <f>'Main Sheet'!G58</f>
        <v>0.58823531866073597</v>
      </c>
      <c r="H58">
        <f>'Main Sheet'!H58</f>
        <v>0.27027025818824701</v>
      </c>
      <c r="I58">
        <f>'Main Sheet'!I58</f>
        <v>0.37037035822868303</v>
      </c>
      <c r="J58">
        <f>'Main Sheet'!J58</f>
        <v>0.86327779293060303</v>
      </c>
      <c r="K58" s="3">
        <f>'Main Sheet'!K58</f>
        <v>0.42630520462989802</v>
      </c>
      <c r="L58">
        <f>'Main Sheet'!P58</f>
        <v>0.91476410627365101</v>
      </c>
      <c r="M58">
        <f>'Main Sheet'!Q58</f>
        <v>0.481481492519378</v>
      </c>
      <c r="N58">
        <f>'Main Sheet'!R58</f>
        <v>0.236363634467124</v>
      </c>
      <c r="O58">
        <f>'Main Sheet'!S58</f>
        <v>0.31707316637039101</v>
      </c>
      <c r="P58">
        <f>'Main Sheet'!T58</f>
        <v>0.85711264610290505</v>
      </c>
      <c r="Q58" s="3">
        <f>'Main Sheet'!U58</f>
        <v>0.405340135097503</v>
      </c>
      <c r="R58">
        <f>'Main Sheet'!Z58</f>
        <v>0.59970015287399292</v>
      </c>
      <c r="S58">
        <f>'Main Sheet'!AA58</f>
        <v>0.96610170602798462</v>
      </c>
      <c r="T58">
        <f>'Main Sheet'!AB58</f>
        <v>0.17701862752437592</v>
      </c>
      <c r="U58">
        <f>'Main Sheet'!AC58</f>
        <v>0.29921260476112366</v>
      </c>
      <c r="V58">
        <f>'Main Sheet'!AD58</f>
        <v>0.81330454349517822</v>
      </c>
      <c r="W58">
        <f>'Main Sheet'!AE58</f>
        <v>0.82211685180664063</v>
      </c>
    </row>
    <row r="59" spans="1:23" x14ac:dyDescent="0.25">
      <c r="A59" s="105"/>
      <c r="B59" s="105"/>
      <c r="C59" s="105"/>
      <c r="D59">
        <v>4</v>
      </c>
      <c r="E59" s="3">
        <f>'Main Sheet'!E59</f>
        <v>31</v>
      </c>
      <c r="F59">
        <f>'Main Sheet'!F59</f>
        <v>0.90284758806228604</v>
      </c>
      <c r="G59">
        <f>'Main Sheet'!G59</f>
        <v>0.44117647409438998</v>
      </c>
      <c r="H59">
        <f>'Main Sheet'!H59</f>
        <v>0.60000002384185702</v>
      </c>
      <c r="I59">
        <f>'Main Sheet'!I59</f>
        <v>0.50847458839416504</v>
      </c>
      <c r="J59">
        <f>'Main Sheet'!J59</f>
        <v>0.89585912227630604</v>
      </c>
      <c r="K59" s="3">
        <f>'Main Sheet'!K59</f>
        <v>0.49422031641006398</v>
      </c>
      <c r="L59">
        <f>'Main Sheet'!P59</f>
        <v>0.87747335433959905</v>
      </c>
      <c r="M59">
        <f>'Main Sheet'!Q59</f>
        <v>0.35260117053985501</v>
      </c>
      <c r="N59">
        <f>'Main Sheet'!R59</f>
        <v>0.55454546213150002</v>
      </c>
      <c r="O59">
        <f>'Main Sheet'!S59</f>
        <v>0.431095391511917</v>
      </c>
      <c r="P59">
        <f>'Main Sheet'!T59</f>
        <v>0.84563577175140303</v>
      </c>
      <c r="Q59" s="3">
        <f>'Main Sheet'!U59</f>
        <v>0.38255935907363797</v>
      </c>
      <c r="R59">
        <f>'Main Sheet'!Z59</f>
        <v>0.6836581826210022</v>
      </c>
      <c r="S59">
        <f>'Main Sheet'!AA59</f>
        <v>0.89361703395843506</v>
      </c>
      <c r="T59">
        <f>'Main Sheet'!AB59</f>
        <v>0.39130434393882751</v>
      </c>
      <c r="U59">
        <f>'Main Sheet'!AC59</f>
        <v>0.54427647590637207</v>
      </c>
      <c r="V59">
        <f>'Main Sheet'!AD59</f>
        <v>0.80054008960723877</v>
      </c>
      <c r="W59">
        <f>'Main Sheet'!AE59</f>
        <v>0.80730128288269043</v>
      </c>
    </row>
    <row r="60" spans="1:23" x14ac:dyDescent="0.25">
      <c r="A60" s="105"/>
      <c r="B60" s="105"/>
      <c r="C60" s="105">
        <v>50</v>
      </c>
      <c r="D60">
        <v>1</v>
      </c>
      <c r="E60" s="3">
        <f>'Main Sheet'!E60</f>
        <v>20</v>
      </c>
      <c r="F60">
        <f>'Main Sheet'!F60</f>
        <v>0.88064789772033603</v>
      </c>
      <c r="G60">
        <f>'Main Sheet'!G60</f>
        <v>0.420634925365448</v>
      </c>
      <c r="H60">
        <f>'Main Sheet'!H60</f>
        <v>0.44166666269302302</v>
      </c>
      <c r="I60">
        <f>'Main Sheet'!I60</f>
        <v>0.430894315242767</v>
      </c>
      <c r="J60">
        <f>'Main Sheet'!J60</f>
        <v>0.85489863157272294</v>
      </c>
      <c r="K60" s="3">
        <f>'Main Sheet'!K60</f>
        <v>0.382311850786209</v>
      </c>
      <c r="L60">
        <f>'Main Sheet'!P60</f>
        <v>0.89269405603408802</v>
      </c>
      <c r="M60">
        <f>'Main Sheet'!Q60</f>
        <v>0.40127387642860401</v>
      </c>
      <c r="N60">
        <f>'Main Sheet'!R60</f>
        <v>0.57272726297378496</v>
      </c>
      <c r="O60">
        <f>'Main Sheet'!S60</f>
        <v>0.47191011905670099</v>
      </c>
      <c r="P60">
        <f>'Main Sheet'!T60</f>
        <v>0.85637271404266302</v>
      </c>
      <c r="Q60" s="3">
        <f>'Main Sheet'!U60</f>
        <v>0.49981117248535101</v>
      </c>
      <c r="R60">
        <f>'Main Sheet'!Z60</f>
        <v>0.69715142250061035</v>
      </c>
      <c r="S60">
        <f>'Main Sheet'!AA60</f>
        <v>0.95454543828964233</v>
      </c>
      <c r="T60">
        <f>'Main Sheet'!AB60</f>
        <v>0.39130434393882751</v>
      </c>
      <c r="U60">
        <f>'Main Sheet'!AC60</f>
        <v>0.55506610870361328</v>
      </c>
      <c r="V60">
        <f>'Main Sheet'!AD60</f>
        <v>0.83881539106369019</v>
      </c>
      <c r="W60">
        <f>'Main Sheet'!AE60</f>
        <v>0.85628980398178101</v>
      </c>
    </row>
    <row r="61" spans="1:23" x14ac:dyDescent="0.25">
      <c r="A61" s="105"/>
      <c r="B61" s="105"/>
      <c r="C61" s="105"/>
      <c r="D61">
        <v>2</v>
      </c>
      <c r="E61" s="3">
        <f>'Main Sheet'!E61</f>
        <v>4</v>
      </c>
      <c r="F61">
        <f>'Main Sheet'!F61</f>
        <v>0.89918696880340498</v>
      </c>
      <c r="G61">
        <f>'Main Sheet'!G61</f>
        <v>0.4609375</v>
      </c>
      <c r="H61">
        <f>'Main Sheet'!H61</f>
        <v>0.51754385232925404</v>
      </c>
      <c r="I61">
        <f>'Main Sheet'!I61</f>
        <v>0.48760330677032399</v>
      </c>
      <c r="J61">
        <f>'Main Sheet'!J61</f>
        <v>0.90357160568237305</v>
      </c>
      <c r="K61" s="3">
        <f>'Main Sheet'!K61</f>
        <v>0.49297505617141701</v>
      </c>
      <c r="L61">
        <f>'Main Sheet'!P61</f>
        <v>0.88508373498916604</v>
      </c>
      <c r="M61">
        <f>'Main Sheet'!Q61</f>
        <v>0.36054420471191401</v>
      </c>
      <c r="N61">
        <f>'Main Sheet'!R61</f>
        <v>0.48181816935539201</v>
      </c>
      <c r="O61">
        <f>'Main Sheet'!S61</f>
        <v>0.41245135664939803</v>
      </c>
      <c r="P61">
        <f>'Main Sheet'!T61</f>
        <v>0.85785257816314697</v>
      </c>
      <c r="Q61" s="3">
        <f>'Main Sheet'!U61</f>
        <v>0.37971735000610302</v>
      </c>
      <c r="R61">
        <f>'Main Sheet'!Z61</f>
        <v>0.70164918899536133</v>
      </c>
      <c r="S61">
        <f>'Main Sheet'!AA61</f>
        <v>0.96946567296981812</v>
      </c>
      <c r="T61">
        <f>'Main Sheet'!AB61</f>
        <v>0.39440992474555969</v>
      </c>
      <c r="U61">
        <f>'Main Sheet'!AC61</f>
        <v>0.56070637702941895</v>
      </c>
      <c r="V61">
        <f>'Main Sheet'!AD61</f>
        <v>0.84496355056762695</v>
      </c>
      <c r="W61">
        <f>'Main Sheet'!AE61</f>
        <v>0.87243711948394775</v>
      </c>
    </row>
    <row r="62" spans="1:23" x14ac:dyDescent="0.25">
      <c r="A62" s="105"/>
      <c r="B62" s="105"/>
      <c r="C62" s="105"/>
      <c r="D62">
        <v>3</v>
      </c>
      <c r="E62" s="3">
        <f>'Main Sheet'!E62</f>
        <v>9</v>
      </c>
      <c r="F62">
        <f>'Main Sheet'!F62</f>
        <v>0.90335464477538996</v>
      </c>
      <c r="G62">
        <f>'Main Sheet'!G62</f>
        <v>0.459016382694244</v>
      </c>
      <c r="H62">
        <f>'Main Sheet'!H62</f>
        <v>0.50450450181961004</v>
      </c>
      <c r="I62">
        <f>'Main Sheet'!I62</f>
        <v>0.48068669438362099</v>
      </c>
      <c r="J62">
        <f>'Main Sheet'!J62</f>
        <v>0.85838246345519997</v>
      </c>
      <c r="K62" s="3">
        <f>'Main Sheet'!K62</f>
        <v>0.48779803514480502</v>
      </c>
      <c r="L62">
        <f>'Main Sheet'!P62</f>
        <v>0.88432270288467396</v>
      </c>
      <c r="M62">
        <f>'Main Sheet'!Q62</f>
        <v>0.375</v>
      </c>
      <c r="N62">
        <f>'Main Sheet'!R62</f>
        <v>0.57272726297378496</v>
      </c>
      <c r="O62">
        <f>'Main Sheet'!S62</f>
        <v>0.453237414360046</v>
      </c>
      <c r="P62">
        <f>'Main Sheet'!T62</f>
        <v>0.86078971624374301</v>
      </c>
      <c r="Q62" s="3">
        <f>'Main Sheet'!U62</f>
        <v>0.46594262123107899</v>
      </c>
      <c r="R62">
        <f>'Main Sheet'!Z62</f>
        <v>0.67466264963150024</v>
      </c>
      <c r="S62">
        <f>'Main Sheet'!AA62</f>
        <v>0.94117647409439087</v>
      </c>
      <c r="T62">
        <f>'Main Sheet'!AB62</f>
        <v>0.34782609343528748</v>
      </c>
      <c r="U62">
        <f>'Main Sheet'!AC62</f>
        <v>0.50793653726577759</v>
      </c>
      <c r="V62">
        <f>'Main Sheet'!AD62</f>
        <v>0.85581052303314209</v>
      </c>
      <c r="W62">
        <f>'Main Sheet'!AE62</f>
        <v>0.8517577052116394</v>
      </c>
    </row>
    <row r="63" spans="1:23" x14ac:dyDescent="0.25">
      <c r="A63" s="107"/>
      <c r="B63" s="107"/>
      <c r="C63" s="107"/>
      <c r="D63" s="7">
        <v>4</v>
      </c>
      <c r="E63" s="8">
        <f>'Main Sheet'!E63</f>
        <v>8</v>
      </c>
      <c r="F63" s="7">
        <f>'Main Sheet'!F63</f>
        <v>0.86097151041030795</v>
      </c>
      <c r="G63" s="7">
        <f>'Main Sheet'!G63</f>
        <v>0.34722220897674499</v>
      </c>
      <c r="H63" s="7">
        <f>'Main Sheet'!H63</f>
        <v>0.75</v>
      </c>
      <c r="I63" s="7">
        <f>'Main Sheet'!I63</f>
        <v>0.47468355298042297</v>
      </c>
      <c r="J63" s="7">
        <f>'Main Sheet'!J63</f>
        <v>0.89904934167861905</v>
      </c>
      <c r="K63" s="8">
        <f>'Main Sheet'!K63</f>
        <v>0.48348343372344899</v>
      </c>
      <c r="L63" s="7">
        <f>'Main Sheet'!P63</f>
        <v>0.83181124925613403</v>
      </c>
      <c r="M63" s="7">
        <f>'Main Sheet'!Q63</f>
        <v>0.30249109864234902</v>
      </c>
      <c r="N63" s="7">
        <f>'Main Sheet'!R63</f>
        <v>0.772727251052856</v>
      </c>
      <c r="O63" s="7">
        <f>'Main Sheet'!S63</f>
        <v>0.434782594442367</v>
      </c>
      <c r="P63" s="7">
        <f>'Main Sheet'!T63</f>
        <v>0.87798994779586703</v>
      </c>
      <c r="Q63" s="8">
        <f>'Main Sheet'!U63</f>
        <v>0.39214628934860202</v>
      </c>
      <c r="R63">
        <f>'Main Sheet'!Z63</f>
        <v>0.77811092138290405</v>
      </c>
      <c r="S63">
        <f>'Main Sheet'!AA63</f>
        <v>0.8883928656578064</v>
      </c>
      <c r="T63">
        <f>'Main Sheet'!AB63</f>
        <v>0.61801242828369141</v>
      </c>
      <c r="U63">
        <f>'Main Sheet'!AC63</f>
        <v>0.72893774509429932</v>
      </c>
      <c r="V63">
        <f>'Main Sheet'!AD63</f>
        <v>0.87261676788330078</v>
      </c>
      <c r="W63">
        <f>'Main Sheet'!AE63</f>
        <v>0.88236367702484131</v>
      </c>
    </row>
    <row r="64" spans="1:23" x14ac:dyDescent="0.25">
      <c r="A64" s="103" t="s">
        <v>19</v>
      </c>
      <c r="B64" s="103" t="s">
        <v>25</v>
      </c>
      <c r="C64" s="103"/>
      <c r="D64" s="9">
        <v>1</v>
      </c>
      <c r="E64" s="10">
        <f>'Main Sheet'!E64</f>
        <v>38</v>
      </c>
      <c r="F64" s="9">
        <f>'Main Sheet'!F64</f>
        <v>0.89769822359085005</v>
      </c>
      <c r="G64" s="9">
        <f>'Main Sheet'!G64</f>
        <v>0</v>
      </c>
      <c r="H64" s="9">
        <f>'Main Sheet'!H64</f>
        <v>0</v>
      </c>
      <c r="I64" s="9">
        <f>'Main Sheet'!I64</f>
        <v>0</v>
      </c>
      <c r="J64" s="9">
        <f>'Main Sheet'!J64</f>
        <v>0.69873368740081698</v>
      </c>
      <c r="K64" s="10">
        <f>'Main Sheet'!K64</f>
        <v>0.19846300780773099</v>
      </c>
      <c r="L64" s="9">
        <f>'Main Sheet'!P64</f>
        <v>0.91628617048263505</v>
      </c>
      <c r="M64" s="9">
        <f>'Main Sheet'!Q64</f>
        <v>0</v>
      </c>
      <c r="N64" s="9">
        <f>'Main Sheet'!R64</f>
        <v>0</v>
      </c>
      <c r="O64" s="9">
        <f>'Main Sheet'!S64</f>
        <v>0</v>
      </c>
      <c r="P64" s="9">
        <f>'Main Sheet'!T64</f>
        <v>0.68266385793685902</v>
      </c>
      <c r="Q64" s="10">
        <f>'Main Sheet'!U64</f>
        <v>0.178153902292251</v>
      </c>
      <c r="R64">
        <f>'Main Sheet'!Z64</f>
        <v>0.51724135875701904</v>
      </c>
      <c r="S64">
        <f>'Main Sheet'!AA64</f>
        <v>0</v>
      </c>
      <c r="T64">
        <f>'Main Sheet'!AB64</f>
        <v>0</v>
      </c>
      <c r="U64">
        <f>'Main Sheet'!AC64</f>
        <v>0</v>
      </c>
      <c r="V64">
        <f>'Main Sheet'!AD64</f>
        <v>0.58995407819747925</v>
      </c>
      <c r="W64">
        <f>'Main Sheet'!AE64</f>
        <v>0.54980528354644775</v>
      </c>
    </row>
    <row r="65" spans="1:23" x14ac:dyDescent="0.25">
      <c r="A65" s="105"/>
      <c r="B65" s="105"/>
      <c r="C65" s="105"/>
      <c r="D65">
        <v>2</v>
      </c>
      <c r="E65" s="3">
        <f>'Main Sheet'!E65</f>
        <v>46</v>
      </c>
      <c r="F65">
        <f>'Main Sheet'!F65</f>
        <v>0.90731710195541304</v>
      </c>
      <c r="G65">
        <f>'Main Sheet'!G65</f>
        <v>0</v>
      </c>
      <c r="H65">
        <f>'Main Sheet'!H65</f>
        <v>0</v>
      </c>
      <c r="I65">
        <f>'Main Sheet'!I65</f>
        <v>0</v>
      </c>
      <c r="J65">
        <f>'Main Sheet'!J65</f>
        <v>0.74301230907440097</v>
      </c>
      <c r="K65" s="3">
        <f>'Main Sheet'!K65</f>
        <v>0.22170831263065299</v>
      </c>
      <c r="L65">
        <f>'Main Sheet'!P65</f>
        <v>0.91628617048263505</v>
      </c>
      <c r="M65">
        <f>'Main Sheet'!Q65</f>
        <v>0</v>
      </c>
      <c r="N65">
        <f>'Main Sheet'!R65</f>
        <v>0</v>
      </c>
      <c r="O65">
        <f>'Main Sheet'!S65</f>
        <v>0</v>
      </c>
      <c r="P65">
        <f>'Main Sheet'!T65</f>
        <v>0.67980223894119196</v>
      </c>
      <c r="Q65" s="3">
        <f>'Main Sheet'!U65</f>
        <v>0.13317538797855299</v>
      </c>
      <c r="R65">
        <f>'Main Sheet'!Z65</f>
        <v>0.51724135875701904</v>
      </c>
      <c r="S65">
        <f>'Main Sheet'!AA65</f>
        <v>0</v>
      </c>
      <c r="T65">
        <f>'Main Sheet'!AB65</f>
        <v>0</v>
      </c>
      <c r="U65">
        <f>'Main Sheet'!AC65</f>
        <v>0</v>
      </c>
      <c r="V65">
        <f>'Main Sheet'!AD65</f>
        <v>0.57148265838623047</v>
      </c>
      <c r="W65">
        <f>'Main Sheet'!AE65</f>
        <v>0.51970010995864868</v>
      </c>
    </row>
    <row r="66" spans="1:23" x14ac:dyDescent="0.25">
      <c r="A66" s="105"/>
      <c r="B66" s="105"/>
      <c r="C66" s="105"/>
      <c r="D66">
        <v>3</v>
      </c>
      <c r="E66" s="3">
        <f>'Main Sheet'!E66</f>
        <v>48</v>
      </c>
      <c r="F66">
        <f>'Main Sheet'!F66</f>
        <v>0.91134184598922696</v>
      </c>
      <c r="G66">
        <f>'Main Sheet'!G66</f>
        <v>0</v>
      </c>
      <c r="H66">
        <f>'Main Sheet'!H66</f>
        <v>0</v>
      </c>
      <c r="I66">
        <f>'Main Sheet'!I66</f>
        <v>0</v>
      </c>
      <c r="J66">
        <f>'Main Sheet'!J66</f>
        <v>0.65843927860259999</v>
      </c>
      <c r="K66" s="3">
        <f>'Main Sheet'!K66</f>
        <v>0.13704247772693601</v>
      </c>
      <c r="L66">
        <f>'Main Sheet'!P66</f>
        <v>0.91628617048263505</v>
      </c>
      <c r="M66">
        <f>'Main Sheet'!Q66</f>
        <v>0</v>
      </c>
      <c r="N66">
        <f>'Main Sheet'!R66</f>
        <v>0</v>
      </c>
      <c r="O66">
        <f>'Main Sheet'!S66</f>
        <v>0</v>
      </c>
      <c r="P66">
        <f>'Main Sheet'!T66</f>
        <v>0.65945333242416304</v>
      </c>
      <c r="Q66" s="3">
        <f>'Main Sheet'!U66</f>
        <v>0.12829360365867601</v>
      </c>
      <c r="R66">
        <f>'Main Sheet'!Z66</f>
        <v>0.51724135875701904</v>
      </c>
      <c r="S66">
        <f>'Main Sheet'!AA66</f>
        <v>0</v>
      </c>
      <c r="T66">
        <f>'Main Sheet'!AB66</f>
        <v>0</v>
      </c>
      <c r="U66">
        <f>'Main Sheet'!AC66</f>
        <v>0</v>
      </c>
      <c r="V66">
        <f>'Main Sheet'!AD66</f>
        <v>0.56578445434570313</v>
      </c>
      <c r="W66">
        <f>'Main Sheet'!AE66</f>
        <v>0.52146589756011963</v>
      </c>
    </row>
    <row r="67" spans="1:23" x14ac:dyDescent="0.25">
      <c r="A67" s="107"/>
      <c r="B67" s="107"/>
      <c r="C67" s="107"/>
      <c r="D67" s="7">
        <v>4</v>
      </c>
      <c r="E67" s="8">
        <f>'Main Sheet'!E67</f>
        <v>50</v>
      </c>
      <c r="F67" s="7">
        <f>'Main Sheet'!F67</f>
        <v>0.91624790430068903</v>
      </c>
      <c r="G67" s="7">
        <f>'Main Sheet'!G67</f>
        <v>0</v>
      </c>
      <c r="H67" s="7">
        <f>'Main Sheet'!H67</f>
        <v>0</v>
      </c>
      <c r="I67" s="7">
        <f>'Main Sheet'!I67</f>
        <v>0</v>
      </c>
      <c r="J67" s="7">
        <f>'Main Sheet'!J67</f>
        <v>0.757659971714019</v>
      </c>
      <c r="K67" s="8">
        <f>'Main Sheet'!K67</f>
        <v>0.22631020843982599</v>
      </c>
      <c r="L67" s="7">
        <f>'Main Sheet'!P67</f>
        <v>0.91628617048263505</v>
      </c>
      <c r="M67" s="7">
        <f>'Main Sheet'!Q67</f>
        <v>0</v>
      </c>
      <c r="N67" s="7">
        <f>'Main Sheet'!R67</f>
        <v>0</v>
      </c>
      <c r="O67" s="7">
        <f>'Main Sheet'!S67</f>
        <v>0</v>
      </c>
      <c r="P67" s="7">
        <f>'Main Sheet'!T67</f>
        <v>0.71057081222534102</v>
      </c>
      <c r="Q67" s="8">
        <f>'Main Sheet'!U67</f>
        <v>0.17822530865669201</v>
      </c>
      <c r="R67">
        <f>'Main Sheet'!Z67</f>
        <v>0.51724135875701904</v>
      </c>
      <c r="S67">
        <f>'Main Sheet'!AA67</f>
        <v>0</v>
      </c>
      <c r="T67">
        <f>'Main Sheet'!AB67</f>
        <v>0</v>
      </c>
      <c r="U67">
        <f>'Main Sheet'!AC67</f>
        <v>0</v>
      </c>
      <c r="V67">
        <f>'Main Sheet'!AD67</f>
        <v>0.64655685424804688</v>
      </c>
      <c r="W67">
        <f>'Main Sheet'!AE67</f>
        <v>0.59876233339309692</v>
      </c>
    </row>
    <row r="68" spans="1:23" x14ac:dyDescent="0.25">
      <c r="A68" s="103" t="s">
        <v>19</v>
      </c>
      <c r="B68" s="103" t="s">
        <v>26</v>
      </c>
      <c r="C68" s="103"/>
      <c r="D68" s="9">
        <v>1</v>
      </c>
      <c r="E68" s="10">
        <f>'Main Sheet'!E68</f>
        <v>16</v>
      </c>
      <c r="F68" s="9">
        <f>'Main Sheet'!F68</f>
        <v>0.89769822359085005</v>
      </c>
      <c r="G68" s="9">
        <f>'Main Sheet'!G68</f>
        <v>0</v>
      </c>
      <c r="H68" s="9">
        <f>'Main Sheet'!H68</f>
        <v>0</v>
      </c>
      <c r="I68" s="9">
        <f>'Main Sheet'!I68</f>
        <v>0</v>
      </c>
      <c r="J68" s="9">
        <f>'Main Sheet'!J68</f>
        <v>0.70262742042541504</v>
      </c>
      <c r="K68" s="10">
        <f>'Main Sheet'!K68</f>
        <v>0.183729007840156</v>
      </c>
      <c r="L68" s="9">
        <f>'Main Sheet'!P68</f>
        <v>0.91628617048263505</v>
      </c>
      <c r="M68" s="9">
        <f>'Main Sheet'!Q68</f>
        <v>0</v>
      </c>
      <c r="N68" s="9">
        <f>'Main Sheet'!R68</f>
        <v>0</v>
      </c>
      <c r="O68" s="9">
        <f>'Main Sheet'!S68</f>
        <v>0</v>
      </c>
      <c r="P68" s="9">
        <f>'Main Sheet'!T68</f>
        <v>0.67237246036529497</v>
      </c>
      <c r="Q68" s="10">
        <f>'Main Sheet'!U68</f>
        <v>0.140773341059684</v>
      </c>
      <c r="R68">
        <f>'Main Sheet'!Z68</f>
        <v>0.51724135875701904</v>
      </c>
      <c r="S68">
        <f>'Main Sheet'!AA68</f>
        <v>0</v>
      </c>
      <c r="T68">
        <f>'Main Sheet'!AB68</f>
        <v>0</v>
      </c>
      <c r="U68">
        <f>'Main Sheet'!AC68</f>
        <v>0</v>
      </c>
      <c r="V68">
        <f>'Main Sheet'!AD68</f>
        <v>0.53664588928222656</v>
      </c>
      <c r="W68">
        <f>'Main Sheet'!AE68</f>
        <v>0.49642056226730347</v>
      </c>
    </row>
    <row r="69" spans="1:23" x14ac:dyDescent="0.25">
      <c r="A69" s="105"/>
      <c r="B69" s="105"/>
      <c r="C69" s="105"/>
      <c r="D69">
        <v>2</v>
      </c>
      <c r="E69" s="3">
        <f>'Main Sheet'!E69</f>
        <v>34</v>
      </c>
      <c r="F69">
        <f>'Main Sheet'!F69</f>
        <v>0.90731710195541304</v>
      </c>
      <c r="G69">
        <f>'Main Sheet'!G69</f>
        <v>0</v>
      </c>
      <c r="H69">
        <f>'Main Sheet'!H69</f>
        <v>0</v>
      </c>
      <c r="I69">
        <f>'Main Sheet'!I69</f>
        <v>0</v>
      </c>
      <c r="J69">
        <f>'Main Sheet'!J69</f>
        <v>0.73716443777084295</v>
      </c>
      <c r="K69" s="3">
        <f>'Main Sheet'!K69</f>
        <v>0.22935152053832999</v>
      </c>
      <c r="L69">
        <f>'Main Sheet'!P69</f>
        <v>0.91628617048263505</v>
      </c>
      <c r="M69">
        <f>'Main Sheet'!Q69</f>
        <v>0</v>
      </c>
      <c r="N69">
        <f>'Main Sheet'!R69</f>
        <v>0</v>
      </c>
      <c r="O69">
        <f>'Main Sheet'!S69</f>
        <v>0</v>
      </c>
      <c r="P69">
        <f>'Main Sheet'!T69</f>
        <v>0.682497799396514</v>
      </c>
      <c r="Q69" s="3">
        <f>'Main Sheet'!U69</f>
        <v>0.139206692576408</v>
      </c>
      <c r="R69">
        <f>'Main Sheet'!Z69</f>
        <v>0.51724135875701904</v>
      </c>
      <c r="S69">
        <f>'Main Sheet'!AA69</f>
        <v>0</v>
      </c>
      <c r="T69">
        <f>'Main Sheet'!AB69</f>
        <v>0</v>
      </c>
      <c r="U69">
        <f>'Main Sheet'!AC69</f>
        <v>0</v>
      </c>
      <c r="V69">
        <f>'Main Sheet'!AD69</f>
        <v>0.58226662874221802</v>
      </c>
      <c r="W69">
        <f>'Main Sheet'!AE69</f>
        <v>0.53252708911895752</v>
      </c>
    </row>
    <row r="70" spans="1:23" x14ac:dyDescent="0.25">
      <c r="A70" s="105"/>
      <c r="B70" s="105"/>
      <c r="C70" s="105"/>
      <c r="D70">
        <v>3</v>
      </c>
      <c r="E70" s="3">
        <f>'Main Sheet'!E70</f>
        <v>31</v>
      </c>
      <c r="F70">
        <f>'Main Sheet'!F70</f>
        <v>0.91134184598922696</v>
      </c>
      <c r="G70">
        <f>'Main Sheet'!G70</f>
        <v>0</v>
      </c>
      <c r="H70">
        <f>'Main Sheet'!H70</f>
        <v>0</v>
      </c>
      <c r="I70">
        <f>'Main Sheet'!I70</f>
        <v>0</v>
      </c>
      <c r="J70">
        <f>'Main Sheet'!J70</f>
        <v>0.67117512226104703</v>
      </c>
      <c r="K70" s="3">
        <f>'Main Sheet'!K70</f>
        <v>0.14150363206863401</v>
      </c>
      <c r="L70">
        <f>'Main Sheet'!P70</f>
        <v>0.91628617048263505</v>
      </c>
      <c r="M70">
        <f>'Main Sheet'!Q70</f>
        <v>0</v>
      </c>
      <c r="N70">
        <f>'Main Sheet'!R70</f>
        <v>0</v>
      </c>
      <c r="O70">
        <f>'Main Sheet'!S70</f>
        <v>0</v>
      </c>
      <c r="P70">
        <f>'Main Sheet'!T70</f>
        <v>0.63686954975128096</v>
      </c>
      <c r="Q70" s="3">
        <f>'Main Sheet'!U70</f>
        <v>0.124480061233043</v>
      </c>
      <c r="R70">
        <f>'Main Sheet'!Z70</f>
        <v>0.51724135875701904</v>
      </c>
      <c r="S70">
        <f>'Main Sheet'!AA70</f>
        <v>0</v>
      </c>
      <c r="T70">
        <f>'Main Sheet'!AB70</f>
        <v>0</v>
      </c>
      <c r="U70">
        <f>'Main Sheet'!AC70</f>
        <v>0</v>
      </c>
      <c r="V70">
        <f>'Main Sheet'!AD70</f>
        <v>0.58876585960388184</v>
      </c>
      <c r="W70">
        <f>'Main Sheet'!AE70</f>
        <v>0.53367698192596436</v>
      </c>
    </row>
    <row r="71" spans="1:23" x14ac:dyDescent="0.25">
      <c r="A71" s="107"/>
      <c r="B71" s="107"/>
      <c r="C71" s="107"/>
      <c r="D71" s="7">
        <v>4</v>
      </c>
      <c r="E71" s="8">
        <f>'Main Sheet'!E71</f>
        <v>45</v>
      </c>
      <c r="F71" s="7">
        <f>'Main Sheet'!F71</f>
        <v>0.91541039943695002</v>
      </c>
      <c r="G71" s="7">
        <f>'Main Sheet'!G71</f>
        <v>0</v>
      </c>
      <c r="H71" s="7">
        <f>'Main Sheet'!H71</f>
        <v>0</v>
      </c>
      <c r="I71" s="7">
        <f>'Main Sheet'!I71</f>
        <v>0</v>
      </c>
      <c r="J71" s="7">
        <f>'Main Sheet'!J71</f>
        <v>0.72410422563552801</v>
      </c>
      <c r="K71" s="8">
        <f>'Main Sheet'!K71</f>
        <v>0.21840052306652</v>
      </c>
      <c r="L71" s="7">
        <f>'Main Sheet'!P71</f>
        <v>0.91628617048263505</v>
      </c>
      <c r="M71" s="7">
        <f>'Main Sheet'!Q71</f>
        <v>0</v>
      </c>
      <c r="N71" s="7">
        <f>'Main Sheet'!R71</f>
        <v>0</v>
      </c>
      <c r="O71" s="7">
        <f>'Main Sheet'!S71</f>
        <v>0</v>
      </c>
      <c r="P71" s="7">
        <f>'Main Sheet'!T71</f>
        <v>0.68302631378173795</v>
      </c>
      <c r="Q71" s="8">
        <f>'Main Sheet'!U71</f>
        <v>0.149020060896873</v>
      </c>
      <c r="R71">
        <f>'Main Sheet'!Z71</f>
        <v>0.51724135875701904</v>
      </c>
      <c r="S71">
        <f>'Main Sheet'!AA71</f>
        <v>0</v>
      </c>
      <c r="T71">
        <f>'Main Sheet'!AB71</f>
        <v>0</v>
      </c>
      <c r="U71">
        <f>'Main Sheet'!AC71</f>
        <v>0</v>
      </c>
      <c r="V71">
        <f>'Main Sheet'!AD71</f>
        <v>0.60960483551025391</v>
      </c>
      <c r="W71">
        <f>'Main Sheet'!AE71</f>
        <v>0.55841642618179321</v>
      </c>
    </row>
    <row r="72" spans="1:23" x14ac:dyDescent="0.25">
      <c r="A72" s="103" t="s">
        <v>24</v>
      </c>
      <c r="B72" s="103" t="s">
        <v>27</v>
      </c>
      <c r="C72" s="103"/>
      <c r="D72" s="9">
        <v>1</v>
      </c>
      <c r="E72" s="10">
        <f>'Main Sheet'!E72</f>
        <v>45</v>
      </c>
      <c r="F72" s="9">
        <f>'Main Sheet'!F72</f>
        <v>0.88320547342300404</v>
      </c>
      <c r="G72" s="9">
        <f>'Main Sheet'!G72</f>
        <v>0.39506173133850098</v>
      </c>
      <c r="H72" s="9">
        <f>'Main Sheet'!H72</f>
        <v>0.266666680574417</v>
      </c>
      <c r="I72" s="9">
        <f>'Main Sheet'!I72</f>
        <v>0.318407952785491</v>
      </c>
      <c r="J72" s="9">
        <f>'Main Sheet'!J72</f>
        <v>0.81348526477813698</v>
      </c>
      <c r="K72" s="10">
        <f>'Main Sheet'!K72</f>
        <v>0.33723288774490301</v>
      </c>
      <c r="L72" s="9">
        <f>'Main Sheet'!P72</f>
        <v>0.90106546878814697</v>
      </c>
      <c r="M72" s="9">
        <f>'Main Sheet'!Q72</f>
        <v>0.403846144676208</v>
      </c>
      <c r="N72" s="9">
        <f>'Main Sheet'!R72</f>
        <v>0.38181817531585599</v>
      </c>
      <c r="O72" s="9">
        <f>'Main Sheet'!S72</f>
        <v>0.39252337813377303</v>
      </c>
      <c r="P72" s="9">
        <f>'Main Sheet'!T72</f>
        <v>0.81936728954315097</v>
      </c>
      <c r="Q72" s="10">
        <f>'Main Sheet'!U72</f>
        <v>0.32699429988861001</v>
      </c>
      <c r="R72">
        <f>'Main Sheet'!Z72</f>
        <v>0.77811092138290405</v>
      </c>
      <c r="S72">
        <f>'Main Sheet'!AA72</f>
        <v>0.8883928656578064</v>
      </c>
      <c r="T72">
        <f>'Main Sheet'!AB72</f>
        <v>0.61801242828369141</v>
      </c>
      <c r="U72">
        <f>'Main Sheet'!AC72</f>
        <v>0.72893774509429932</v>
      </c>
      <c r="V72">
        <f>'Main Sheet'!AD72</f>
        <v>0.87261676788330078</v>
      </c>
      <c r="W72">
        <f>'Main Sheet'!AE72</f>
        <v>0.88236367702484131</v>
      </c>
    </row>
    <row r="73" spans="1:23" x14ac:dyDescent="0.25">
      <c r="A73" s="105"/>
      <c r="B73" s="105"/>
      <c r="C73" s="105"/>
      <c r="D73">
        <v>2</v>
      </c>
      <c r="E73" s="3">
        <f>'Main Sheet'!E73</f>
        <v>4</v>
      </c>
      <c r="F73">
        <f>'Main Sheet'!F73</f>
        <v>0.90731710195541304</v>
      </c>
      <c r="G73">
        <f>'Main Sheet'!G73</f>
        <v>0.5</v>
      </c>
      <c r="H73">
        <f>'Main Sheet'!H73</f>
        <v>0.26315790414810097</v>
      </c>
      <c r="I73">
        <f>'Main Sheet'!I73</f>
        <v>0.34482759237289401</v>
      </c>
      <c r="J73">
        <f>'Main Sheet'!J73</f>
        <v>0.85689806938171298</v>
      </c>
      <c r="K73" s="3">
        <f>'Main Sheet'!K73</f>
        <v>0.39140477776527399</v>
      </c>
      <c r="L73">
        <f>'Main Sheet'!P73</f>
        <v>0.89269405603408802</v>
      </c>
      <c r="M73">
        <f>'Main Sheet'!Q73</f>
        <v>0.287671238183975</v>
      </c>
      <c r="N73">
        <f>'Main Sheet'!R73</f>
        <v>0.19090908765792799</v>
      </c>
      <c r="O73">
        <f>'Main Sheet'!S73</f>
        <v>0.229508191347122</v>
      </c>
      <c r="P73">
        <f>'Main Sheet'!T73</f>
        <v>0.76944279670715299</v>
      </c>
      <c r="Q73" s="3">
        <f>'Main Sheet'!U73</f>
        <v>0.230017140507698</v>
      </c>
      <c r="R73">
        <f>'Main Sheet'!Z73</f>
        <v>0.63118439912796021</v>
      </c>
      <c r="S73">
        <f>'Main Sheet'!AA73</f>
        <v>0.96341460943222046</v>
      </c>
      <c r="T73">
        <f>'Main Sheet'!AB73</f>
        <v>0.24534161388874054</v>
      </c>
      <c r="U73">
        <f>'Main Sheet'!AC73</f>
        <v>0.39108911156654358</v>
      </c>
      <c r="V73">
        <f>'Main Sheet'!AD73</f>
        <v>0.7917904257774353</v>
      </c>
      <c r="W73">
        <f>'Main Sheet'!AE73</f>
        <v>0.8060762882232666</v>
      </c>
    </row>
    <row r="74" spans="1:23" x14ac:dyDescent="0.25">
      <c r="A74" s="105"/>
      <c r="B74" s="105"/>
      <c r="C74" s="105"/>
      <c r="D74">
        <v>3</v>
      </c>
      <c r="E74" s="3">
        <f>'Main Sheet'!E74</f>
        <v>6</v>
      </c>
      <c r="F74">
        <f>'Main Sheet'!F74</f>
        <v>0.84744411706924405</v>
      </c>
      <c r="G74">
        <f>'Main Sheet'!G74</f>
        <v>0.30198019742965698</v>
      </c>
      <c r="H74">
        <f>'Main Sheet'!H74</f>
        <v>0.549549520015716</v>
      </c>
      <c r="I74">
        <f>'Main Sheet'!I74</f>
        <v>0.38977634906768799</v>
      </c>
      <c r="J74">
        <f>'Main Sheet'!J74</f>
        <v>0.81745111942291204</v>
      </c>
      <c r="K74" s="3">
        <f>'Main Sheet'!K74</f>
        <v>0.33580386638641302</v>
      </c>
      <c r="L74">
        <f>'Main Sheet'!P74</f>
        <v>0.83409434556961004</v>
      </c>
      <c r="M74">
        <f>'Main Sheet'!Q74</f>
        <v>0.25892856717109602</v>
      </c>
      <c r="N74">
        <f>'Main Sheet'!R74</f>
        <v>0.52727270126342696</v>
      </c>
      <c r="O74">
        <f>'Main Sheet'!S74</f>
        <v>0.347305387258529</v>
      </c>
      <c r="P74">
        <f>'Main Sheet'!T74</f>
        <v>0.80030208826064997</v>
      </c>
      <c r="Q74" s="3">
        <f>'Main Sheet'!U74</f>
        <v>0.27865141630172702</v>
      </c>
      <c r="R74">
        <f>'Main Sheet'!Z74</f>
        <v>0.6071963906288147</v>
      </c>
      <c r="S74">
        <f>'Main Sheet'!AA74</f>
        <v>0.91666668653488159</v>
      </c>
      <c r="T74">
        <f>'Main Sheet'!AB74</f>
        <v>0.20496894419193268</v>
      </c>
      <c r="U74">
        <f>'Main Sheet'!AC74</f>
        <v>0.3350253701210022</v>
      </c>
      <c r="V74">
        <f>'Main Sheet'!AD74</f>
        <v>0.78153741359710693</v>
      </c>
      <c r="W74">
        <f>'Main Sheet'!AE74</f>
        <v>0.7847602367401123</v>
      </c>
    </row>
    <row r="75" spans="1:23" x14ac:dyDescent="0.25">
      <c r="A75" s="107"/>
      <c r="B75" s="107"/>
      <c r="C75" s="107"/>
      <c r="D75" s="7">
        <v>4</v>
      </c>
      <c r="E75" s="8">
        <f>'Main Sheet'!E75</f>
        <v>17</v>
      </c>
      <c r="F75" s="7">
        <f>'Main Sheet'!F75</f>
        <v>0.842546045780181</v>
      </c>
      <c r="G75" s="7">
        <f>'Main Sheet'!G75</f>
        <v>0.30000001192092801</v>
      </c>
      <c r="H75" s="7">
        <f>'Main Sheet'!H75</f>
        <v>0.66000002622604304</v>
      </c>
      <c r="I75" s="7">
        <f>'Main Sheet'!I75</f>
        <v>0.41249999403953502</v>
      </c>
      <c r="J75" s="7">
        <f>'Main Sheet'!J75</f>
        <v>0.87033820152282704</v>
      </c>
      <c r="K75" s="8">
        <f>'Main Sheet'!K75</f>
        <v>0.38080042600631703</v>
      </c>
      <c r="L75" s="7">
        <f>'Main Sheet'!P75</f>
        <v>0.82952815294265703</v>
      </c>
      <c r="M75" s="7">
        <f>'Main Sheet'!Q75</f>
        <v>0.27559053897857599</v>
      </c>
      <c r="N75" s="7">
        <f>'Main Sheet'!R75</f>
        <v>0.636363625526428</v>
      </c>
      <c r="O75" s="7">
        <f>'Main Sheet'!S75</f>
        <v>0.38461539149284302</v>
      </c>
      <c r="P75" s="7">
        <f>'Main Sheet'!T75</f>
        <v>0.84190577268600397</v>
      </c>
      <c r="Q75" s="8">
        <f>'Main Sheet'!U75</f>
        <v>0.31651219725608798</v>
      </c>
      <c r="R75">
        <f>'Main Sheet'!Z75</f>
        <v>0.69565218687057495</v>
      </c>
      <c r="S75">
        <f>'Main Sheet'!AA75</f>
        <v>0.8399999737739563</v>
      </c>
      <c r="T75">
        <f>'Main Sheet'!AB75</f>
        <v>0.45652174949645996</v>
      </c>
      <c r="U75">
        <f>'Main Sheet'!AC75</f>
        <v>0.59154927730560303</v>
      </c>
      <c r="V75">
        <f>'Main Sheet'!AD75</f>
        <v>0.79415792226791382</v>
      </c>
      <c r="W75">
        <f>'Main Sheet'!AE75</f>
        <v>0.80812555551528931</v>
      </c>
    </row>
  </sheetData>
  <mergeCells count="58">
    <mergeCell ref="R1:W1"/>
    <mergeCell ref="R2:R3"/>
    <mergeCell ref="S2:S3"/>
    <mergeCell ref="T2:T3"/>
    <mergeCell ref="U2:U3"/>
    <mergeCell ref="V2:V3"/>
    <mergeCell ref="W2:W3"/>
    <mergeCell ref="I2:I3"/>
    <mergeCell ref="J2:J3"/>
    <mergeCell ref="K2:K3"/>
    <mergeCell ref="A1:A3"/>
    <mergeCell ref="B1:C1"/>
    <mergeCell ref="D1:D3"/>
    <mergeCell ref="E1:E3"/>
    <mergeCell ref="B2:B3"/>
    <mergeCell ref="C2:C3"/>
    <mergeCell ref="P2:P3"/>
    <mergeCell ref="Q2:Q3"/>
    <mergeCell ref="L1:Q1"/>
    <mergeCell ref="A4:A15"/>
    <mergeCell ref="B4:B15"/>
    <mergeCell ref="C4:C7"/>
    <mergeCell ref="C8:C11"/>
    <mergeCell ref="C12:C15"/>
    <mergeCell ref="F1:K1"/>
    <mergeCell ref="L2:L3"/>
    <mergeCell ref="M2:M3"/>
    <mergeCell ref="N2:N3"/>
    <mergeCell ref="O2:O3"/>
    <mergeCell ref="F2:F3"/>
    <mergeCell ref="G2:G3"/>
    <mergeCell ref="H2:H3"/>
    <mergeCell ref="A28:A39"/>
    <mergeCell ref="B28:B39"/>
    <mergeCell ref="C28:C31"/>
    <mergeCell ref="C32:C35"/>
    <mergeCell ref="C36:C39"/>
    <mergeCell ref="A16:A27"/>
    <mergeCell ref="B16:B27"/>
    <mergeCell ref="C16:C19"/>
    <mergeCell ref="C20:C23"/>
    <mergeCell ref="C24:C27"/>
    <mergeCell ref="A52:A63"/>
    <mergeCell ref="B52:B63"/>
    <mergeCell ref="C52:C55"/>
    <mergeCell ref="C56:C59"/>
    <mergeCell ref="C60:C63"/>
    <mergeCell ref="A40:A51"/>
    <mergeCell ref="B40:B51"/>
    <mergeCell ref="C40:C43"/>
    <mergeCell ref="C44:C47"/>
    <mergeCell ref="C48:C51"/>
    <mergeCell ref="A64:A67"/>
    <mergeCell ref="B64:C67"/>
    <mergeCell ref="A68:A71"/>
    <mergeCell ref="B68:C71"/>
    <mergeCell ref="A72:A75"/>
    <mergeCell ref="B72:C75"/>
  </mergeCells>
  <pageMargins left="0.7" right="0.7" top="0.75" bottom="0.75" header="0.3" footer="0.3"/>
  <pageSetup paperSize="9" scale="42" fitToWidth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1DE4E-DC52-4996-A80E-B2724E6933B9}">
  <sheetPr>
    <tabColor rgb="FF00B0F0"/>
  </sheetPr>
  <dimension ref="A1:P31"/>
  <sheetViews>
    <sheetView workbookViewId="0">
      <selection activeCell="O19" sqref="O19"/>
    </sheetView>
  </sheetViews>
  <sheetFormatPr defaultRowHeight="15" x14ac:dyDescent="0.25"/>
  <cols>
    <col min="1" max="1" width="20" customWidth="1"/>
    <col min="2" max="2" width="12.7109375" customWidth="1"/>
  </cols>
  <sheetData>
    <row r="1" spans="1:16" x14ac:dyDescent="0.25">
      <c r="A1" s="126" t="s">
        <v>15</v>
      </c>
      <c r="B1" s="126" t="s">
        <v>0</v>
      </c>
      <c r="C1" s="128"/>
      <c r="D1" s="112" t="s">
        <v>12</v>
      </c>
      <c r="E1" s="115" t="s">
        <v>13</v>
      </c>
      <c r="F1" s="115"/>
      <c r="G1" s="115"/>
      <c r="H1" s="115"/>
      <c r="I1" s="115"/>
      <c r="J1" s="116"/>
      <c r="K1" s="117" t="s">
        <v>14</v>
      </c>
      <c r="L1" s="118"/>
      <c r="M1" s="118"/>
      <c r="N1" s="118"/>
      <c r="O1" s="118"/>
      <c r="P1" s="119"/>
    </row>
    <row r="2" spans="1:16" x14ac:dyDescent="0.25">
      <c r="A2" s="126"/>
      <c r="B2" s="126" t="s">
        <v>16</v>
      </c>
      <c r="C2" s="128" t="s">
        <v>17</v>
      </c>
      <c r="D2" s="113"/>
      <c r="E2" s="120" t="s">
        <v>1</v>
      </c>
      <c r="F2" s="122" t="s">
        <v>2</v>
      </c>
      <c r="G2" s="122" t="s">
        <v>3</v>
      </c>
      <c r="H2" s="122" t="s">
        <v>4</v>
      </c>
      <c r="I2" s="122" t="s">
        <v>5</v>
      </c>
      <c r="J2" s="122" t="s">
        <v>70</v>
      </c>
      <c r="K2" s="124" t="s">
        <v>1</v>
      </c>
      <c r="L2" s="109" t="s">
        <v>2</v>
      </c>
      <c r="M2" s="109" t="s">
        <v>3</v>
      </c>
      <c r="N2" s="109" t="s">
        <v>4</v>
      </c>
      <c r="O2" s="109" t="s">
        <v>5</v>
      </c>
      <c r="P2" s="109" t="s">
        <v>70</v>
      </c>
    </row>
    <row r="3" spans="1:16" ht="15.75" thickBot="1" x14ac:dyDescent="0.3">
      <c r="A3" s="127"/>
      <c r="B3" s="127"/>
      <c r="C3" s="129"/>
      <c r="D3" s="114"/>
      <c r="E3" s="121"/>
      <c r="F3" s="123"/>
      <c r="G3" s="123"/>
      <c r="H3" s="123"/>
      <c r="I3" s="123"/>
      <c r="J3" s="123"/>
      <c r="K3" s="125"/>
      <c r="L3" s="110"/>
      <c r="M3" s="110"/>
      <c r="N3" s="110"/>
      <c r="O3" s="110"/>
      <c r="P3" s="110"/>
    </row>
    <row r="4" spans="1:16" x14ac:dyDescent="0.25">
      <c r="A4" s="103" t="s">
        <v>20</v>
      </c>
      <c r="B4" s="103" t="s">
        <v>18</v>
      </c>
      <c r="C4" s="103">
        <v>18</v>
      </c>
      <c r="D4" s="9">
        <v>1</v>
      </c>
      <c r="E4">
        <f>k_fold_2stage_output!D2</f>
        <v>0.86956518888473511</v>
      </c>
      <c r="F4">
        <f>k_fold_2stage_output!E2</f>
        <v>0.37956205010414124</v>
      </c>
      <c r="G4">
        <f>k_fold_2stage_output!F2</f>
        <v>0.43333333730697632</v>
      </c>
      <c r="H4">
        <f>k_fold_2stage_output!G2</f>
        <v>0.40466925501823425</v>
      </c>
      <c r="I4">
        <f>k_fold_2stage_output!H2</f>
        <v>0.83078503608703613</v>
      </c>
      <c r="J4">
        <f>k_fold_2stage_output!I2</f>
        <v>0.37758862972259521</v>
      </c>
      <c r="K4">
        <f>k_fold_2stage_output!N2</f>
        <v>0.88508373498916626</v>
      </c>
      <c r="L4">
        <f>k_fold_2stage_output!O2</f>
        <v>0.34351146221160889</v>
      </c>
      <c r="M4">
        <f>k_fold_2stage_output!P2</f>
        <v>0.40909090638160706</v>
      </c>
      <c r="N4">
        <f>k_fold_2stage_output!Q2</f>
        <v>0.37344399094581604</v>
      </c>
      <c r="O4">
        <f>k_fold_2stage_output!R2</f>
        <v>0.84165656566619873</v>
      </c>
      <c r="P4">
        <f>k_fold_2stage_output!S2</f>
        <v>0.32382386922836304</v>
      </c>
    </row>
    <row r="5" spans="1:16" x14ac:dyDescent="0.25">
      <c r="A5" s="105"/>
      <c r="B5" s="105"/>
      <c r="C5" s="105"/>
      <c r="D5">
        <v>2</v>
      </c>
      <c r="E5">
        <f>k_fold_2stage_output!D3</f>
        <v>0.90487802028656006</v>
      </c>
      <c r="F5">
        <f>k_fold_2stage_output!E3</f>
        <v>0.48739495873451233</v>
      </c>
      <c r="G5">
        <f>k_fold_2stage_output!F3</f>
        <v>0.50877195596694946</v>
      </c>
      <c r="H5">
        <f>k_fold_2stage_output!G3</f>
        <v>0.497854083776474</v>
      </c>
      <c r="I5">
        <f>k_fold_2stage_output!H3</f>
        <v>0.89392721652984619</v>
      </c>
      <c r="J5">
        <f>k_fold_2stage_output!I3</f>
        <v>0.53801500797271729</v>
      </c>
      <c r="K5">
        <f>k_fold_2stage_output!N3</f>
        <v>0.88660579919815063</v>
      </c>
      <c r="L5">
        <f>k_fold_2stage_output!O3</f>
        <v>0.34400001168251038</v>
      </c>
      <c r="M5">
        <f>k_fold_2stage_output!P3</f>
        <v>0.3909091055393219</v>
      </c>
      <c r="N5">
        <f>k_fold_2stage_output!Q3</f>
        <v>0.36595743894577026</v>
      </c>
      <c r="O5">
        <f>k_fold_2stage_output!R3</f>
        <v>0.83157658576965332</v>
      </c>
      <c r="P5">
        <f>k_fold_2stage_output!S3</f>
        <v>0.30148157477378845</v>
      </c>
    </row>
    <row r="6" spans="1:16" x14ac:dyDescent="0.25">
      <c r="A6" s="105"/>
      <c r="B6" s="105"/>
      <c r="C6" s="105"/>
      <c r="D6">
        <v>3</v>
      </c>
      <c r="E6">
        <f>k_fold_2stage_output!D4</f>
        <v>0.87060701847076416</v>
      </c>
      <c r="F6">
        <f>k_fold_2stage_output!E4</f>
        <v>0.32413792610168457</v>
      </c>
      <c r="G6">
        <f>k_fold_2stage_output!F4</f>
        <v>0.4234234094619751</v>
      </c>
      <c r="H6">
        <f>k_fold_2stage_output!G4</f>
        <v>0.3671875</v>
      </c>
      <c r="I6">
        <f>k_fold_2stage_output!H4</f>
        <v>0.84429651498794556</v>
      </c>
      <c r="J6">
        <f>k_fold_2stage_output!I4</f>
        <v>0.34148260951042175</v>
      </c>
      <c r="K6">
        <f>k_fold_2stage_output!N4</f>
        <v>0.87138509750366211</v>
      </c>
      <c r="L6">
        <f>k_fold_2stage_output!O4</f>
        <v>0.30201342701911926</v>
      </c>
      <c r="M6">
        <f>k_fold_2stage_output!P4</f>
        <v>0.40909090638160706</v>
      </c>
      <c r="N6">
        <f>k_fold_2stage_output!Q4</f>
        <v>0.3474903404712677</v>
      </c>
      <c r="O6">
        <f>k_fold_2stage_output!R4</f>
        <v>0.83736783266067505</v>
      </c>
      <c r="P6">
        <f>k_fold_2stage_output!S4</f>
        <v>0.33937108516693115</v>
      </c>
    </row>
    <row r="7" spans="1:16" x14ac:dyDescent="0.25">
      <c r="A7" s="105"/>
      <c r="B7" s="105"/>
      <c r="C7" s="105"/>
      <c r="D7">
        <v>4</v>
      </c>
      <c r="E7">
        <f>k_fold_2stage_output!D5</f>
        <v>0.92043548822402954</v>
      </c>
      <c r="F7">
        <f>k_fold_2stage_output!E5</f>
        <v>0.53164559602737427</v>
      </c>
      <c r="G7">
        <f>k_fold_2stage_output!F5</f>
        <v>0.41999998688697815</v>
      </c>
      <c r="H7">
        <f>k_fold_2stage_output!G5</f>
        <v>0.46927374601364136</v>
      </c>
      <c r="I7">
        <f>k_fold_2stage_output!H5</f>
        <v>0.87220299243927002</v>
      </c>
      <c r="J7">
        <f>k_fold_2stage_output!I5</f>
        <v>0.47592571377754211</v>
      </c>
      <c r="K7">
        <f>k_fold_2stage_output!N5</f>
        <v>0.89041095972061157</v>
      </c>
      <c r="L7">
        <f>k_fold_2stage_output!O5</f>
        <v>0.2976190447807312</v>
      </c>
      <c r="M7">
        <f>k_fold_2stage_output!P5</f>
        <v>0.22727273404598236</v>
      </c>
      <c r="N7">
        <f>k_fold_2stage_output!Q5</f>
        <v>0.25773194432258606</v>
      </c>
      <c r="O7">
        <f>k_fold_2stage_output!R5</f>
        <v>0.83717155456542969</v>
      </c>
      <c r="P7">
        <f>k_fold_2stage_output!S5</f>
        <v>0.27202838659286499</v>
      </c>
    </row>
    <row r="8" spans="1:16" x14ac:dyDescent="0.25">
      <c r="A8" s="105"/>
      <c r="B8" s="105"/>
      <c r="C8" s="105">
        <v>34</v>
      </c>
      <c r="D8">
        <v>1</v>
      </c>
      <c r="E8">
        <f>k_fold_2stage_output!D6</f>
        <v>0.87297528982162476</v>
      </c>
      <c r="F8">
        <f>k_fold_2stage_output!E6</f>
        <v>0.37168142199516296</v>
      </c>
      <c r="G8">
        <f>k_fold_2stage_output!F6</f>
        <v>0.34999999403953552</v>
      </c>
      <c r="H8">
        <f>k_fold_2stage_output!G6</f>
        <v>0.36051502823829651</v>
      </c>
      <c r="I8">
        <f>k_fold_2stage_output!H6</f>
        <v>0.84006810188293457</v>
      </c>
      <c r="J8">
        <f>k_fold_2stage_output!I6</f>
        <v>0.34158232808113098</v>
      </c>
      <c r="K8">
        <f>k_fold_2stage_output!N6</f>
        <v>0.89269405603408813</v>
      </c>
      <c r="L8">
        <f>k_fold_2stage_output!O6</f>
        <v>0.37984496355056763</v>
      </c>
      <c r="M8">
        <f>k_fold_2stage_output!P6</f>
        <v>0.44545453786849976</v>
      </c>
      <c r="N8">
        <f>k_fold_2stage_output!Q6</f>
        <v>0.41004183888435364</v>
      </c>
      <c r="O8">
        <f>k_fold_2stage_output!R6</f>
        <v>0.81941264867782593</v>
      </c>
      <c r="P8">
        <f>k_fold_2stage_output!S6</f>
        <v>0.37349772453308105</v>
      </c>
    </row>
    <row r="9" spans="1:16" x14ac:dyDescent="0.25">
      <c r="A9" s="105"/>
      <c r="B9" s="105"/>
      <c r="C9" s="105"/>
      <c r="D9">
        <v>2</v>
      </c>
      <c r="E9">
        <f>k_fold_2stage_output!D7</f>
        <v>0.91300815343856812</v>
      </c>
      <c r="F9">
        <f>k_fold_2stage_output!E7</f>
        <v>0.53684210777282715</v>
      </c>
      <c r="G9">
        <f>k_fold_2stage_output!F7</f>
        <v>0.44736841320991516</v>
      </c>
      <c r="H9">
        <f>k_fold_2stage_output!G7</f>
        <v>0.48803827166557312</v>
      </c>
      <c r="I9">
        <f>k_fold_2stage_output!H7</f>
        <v>0.87250053882598877</v>
      </c>
      <c r="J9">
        <f>k_fold_2stage_output!I7</f>
        <v>0.47781157493591309</v>
      </c>
      <c r="K9">
        <f>k_fold_2stage_output!N7</f>
        <v>0.90715372562408447</v>
      </c>
      <c r="L9">
        <f>k_fold_2stage_output!O7</f>
        <v>0.43181818723678589</v>
      </c>
      <c r="M9">
        <f>k_fold_2stage_output!P7</f>
        <v>0.34545454382896423</v>
      </c>
      <c r="N9">
        <f>k_fold_2stage_output!Q7</f>
        <v>0.38383838534355164</v>
      </c>
      <c r="O9">
        <f>k_fold_2stage_output!R7</f>
        <v>0.84232860803604126</v>
      </c>
      <c r="P9">
        <f>k_fold_2stage_output!S7</f>
        <v>0.35381767153739929</v>
      </c>
    </row>
    <row r="10" spans="1:16" x14ac:dyDescent="0.25">
      <c r="A10" s="105"/>
      <c r="B10" s="105"/>
      <c r="C10" s="105"/>
      <c r="D10">
        <v>3</v>
      </c>
      <c r="E10">
        <f>k_fold_2stage_output!D8</f>
        <v>0.88897764682769775</v>
      </c>
      <c r="F10">
        <f>k_fold_2stage_output!E8</f>
        <v>0.390625</v>
      </c>
      <c r="G10">
        <f>k_fold_2stage_output!F8</f>
        <v>0.45045045018196106</v>
      </c>
      <c r="H10">
        <f>k_fold_2stage_output!G8</f>
        <v>0.4184100329875946</v>
      </c>
      <c r="I10">
        <f>k_fold_2stage_output!H8</f>
        <v>0.85670065879821777</v>
      </c>
      <c r="J10">
        <f>k_fold_2stage_output!I8</f>
        <v>0.42364054918289185</v>
      </c>
      <c r="K10">
        <f>k_fold_2stage_output!N8</f>
        <v>0.87747335433959961</v>
      </c>
      <c r="L10">
        <f>k_fold_2stage_output!O8</f>
        <v>0.32413792610168457</v>
      </c>
      <c r="M10">
        <f>k_fold_2stage_output!P8</f>
        <v>0.4272727370262146</v>
      </c>
      <c r="N10">
        <f>k_fold_2stage_output!Q8</f>
        <v>0.36862745881080627</v>
      </c>
      <c r="O10">
        <f>k_fold_2stage_output!R8</f>
        <v>0.85246145725250244</v>
      </c>
      <c r="P10">
        <f>k_fold_2stage_output!S8</f>
        <v>0.35216167569160461</v>
      </c>
    </row>
    <row r="11" spans="1:16" x14ac:dyDescent="0.25">
      <c r="A11" s="105"/>
      <c r="B11" s="105"/>
      <c r="C11" s="105"/>
      <c r="D11">
        <v>4</v>
      </c>
      <c r="E11">
        <f>k_fold_2stage_output!D9</f>
        <v>0.91959798336029053</v>
      </c>
      <c r="F11">
        <f>k_fold_2stage_output!E9</f>
        <v>0.52702701091766357</v>
      </c>
      <c r="G11">
        <f>k_fold_2stage_output!F9</f>
        <v>0.38999998569488525</v>
      </c>
      <c r="H11">
        <f>k_fold_2stage_output!G9</f>
        <v>0.4482758641242981</v>
      </c>
      <c r="I11">
        <f>k_fold_2stage_output!H9</f>
        <v>0.86631619930267334</v>
      </c>
      <c r="J11">
        <f>k_fold_2stage_output!I9</f>
        <v>0.51733571290969849</v>
      </c>
      <c r="K11">
        <f>k_fold_2stage_output!N9</f>
        <v>0.90334856510162354</v>
      </c>
      <c r="L11">
        <f>k_fold_2stage_output!O9</f>
        <v>0.33962264657020569</v>
      </c>
      <c r="M11">
        <f>k_fold_2stage_output!P9</f>
        <v>0.16363635659217834</v>
      </c>
      <c r="N11">
        <f>k_fold_2stage_output!Q9</f>
        <v>0.22085890173912048</v>
      </c>
      <c r="O11">
        <f>k_fold_2stage_output!R9</f>
        <v>0.79332524538040161</v>
      </c>
      <c r="P11">
        <f>k_fold_2stage_output!S9</f>
        <v>0.29745027422904968</v>
      </c>
    </row>
    <row r="12" spans="1:16" x14ac:dyDescent="0.25">
      <c r="A12" s="105"/>
      <c r="B12" s="105"/>
      <c r="C12" s="105">
        <v>50</v>
      </c>
      <c r="D12">
        <v>1</v>
      </c>
      <c r="E12">
        <f>k_fold_2stage_output!D10</f>
        <v>0.88064789772033691</v>
      </c>
      <c r="F12">
        <f>k_fold_2stage_output!E10</f>
        <v>0.41379311680793762</v>
      </c>
      <c r="G12">
        <f>k_fold_2stage_output!F10</f>
        <v>0.40000000596046448</v>
      </c>
      <c r="H12">
        <f>k_fold_2stage_output!G10</f>
        <v>0.40677964687347412</v>
      </c>
      <c r="I12">
        <f>k_fold_2stage_output!H10</f>
        <v>0.82097190618515015</v>
      </c>
      <c r="J12">
        <f>k_fold_2stage_output!I10</f>
        <v>0.38065579533576965</v>
      </c>
      <c r="K12">
        <f>k_fold_2stage_output!N10</f>
        <v>0.86910200119018555</v>
      </c>
      <c r="L12">
        <f>k_fold_2stage_output!O10</f>
        <v>0.2651515007019043</v>
      </c>
      <c r="M12">
        <f>k_fold_2stage_output!P10</f>
        <v>0.31818181276321411</v>
      </c>
      <c r="N12">
        <f>k_fold_2stage_output!Q10</f>
        <v>0.28925618529319763</v>
      </c>
      <c r="O12">
        <f>k_fold_2stage_output!R10</f>
        <v>0.81720030307769775</v>
      </c>
      <c r="P12">
        <f>k_fold_2stage_output!S10</f>
        <v>0.28062385320663452</v>
      </c>
    </row>
    <row r="13" spans="1:16" x14ac:dyDescent="0.25">
      <c r="A13" s="105"/>
      <c r="B13" s="105"/>
      <c r="C13" s="105"/>
      <c r="D13">
        <v>2</v>
      </c>
      <c r="E13">
        <f>k_fold_2stage_output!D11</f>
        <v>0.9032520055770874</v>
      </c>
      <c r="F13">
        <f>k_fold_2stage_output!E11</f>
        <v>0.46913579106330872</v>
      </c>
      <c r="G13">
        <f>k_fold_2stage_output!F11</f>
        <v>0.3333333432674408</v>
      </c>
      <c r="H13">
        <f>k_fold_2stage_output!G11</f>
        <v>0.38974359631538391</v>
      </c>
      <c r="I13">
        <f>k_fold_2stage_output!H11</f>
        <v>0.87345147132873535</v>
      </c>
      <c r="J13">
        <f>k_fold_2stage_output!I11</f>
        <v>0.45601785182952881</v>
      </c>
      <c r="K13">
        <f>k_fold_2stage_output!N11</f>
        <v>0.88508373498916626</v>
      </c>
      <c r="L13">
        <f>k_fold_2stage_output!O11</f>
        <v>0.26966291666030884</v>
      </c>
      <c r="M13">
        <f>k_fold_2stage_output!P11</f>
        <v>0.21818181872367859</v>
      </c>
      <c r="N13">
        <f>k_fold_2stage_output!Q11</f>
        <v>0.24120603501796722</v>
      </c>
      <c r="O13">
        <f>k_fold_2stage_output!R11</f>
        <v>0.83612203598022461</v>
      </c>
      <c r="P13">
        <f>k_fold_2stage_output!S11</f>
        <v>0.25460392236709595</v>
      </c>
    </row>
    <row r="14" spans="1:16" x14ac:dyDescent="0.25">
      <c r="A14" s="105"/>
      <c r="B14" s="105"/>
      <c r="C14" s="105"/>
      <c r="D14">
        <v>3</v>
      </c>
      <c r="E14">
        <f>k_fold_2stage_output!D12</f>
        <v>0.89536738395690918</v>
      </c>
      <c r="F14">
        <f>k_fold_2stage_output!E12</f>
        <v>0.375</v>
      </c>
      <c r="G14">
        <f>k_fold_2stage_output!F12</f>
        <v>0.27027025818824768</v>
      </c>
      <c r="H14">
        <f>k_fold_2stage_output!G12</f>
        <v>0.31413611769676208</v>
      </c>
      <c r="I14">
        <f>k_fold_2stage_output!H12</f>
        <v>0.8325951099395752</v>
      </c>
      <c r="J14">
        <f>k_fold_2stage_output!I12</f>
        <v>0.31329494714736938</v>
      </c>
      <c r="K14">
        <f>k_fold_2stage_output!N12</f>
        <v>0.90258753299713135</v>
      </c>
      <c r="L14">
        <f>k_fold_2stage_output!O12</f>
        <v>0.32692307233810425</v>
      </c>
      <c r="M14">
        <f>k_fold_2stage_output!P12</f>
        <v>0.15454545617103577</v>
      </c>
      <c r="N14">
        <f>k_fold_2stage_output!Q12</f>
        <v>0.20987653732299805</v>
      </c>
      <c r="O14">
        <f>k_fold_2stage_output!R12</f>
        <v>0.82312744855880737</v>
      </c>
      <c r="P14">
        <f>k_fold_2stage_output!S12</f>
        <v>0.26349484920501709</v>
      </c>
    </row>
    <row r="15" spans="1:16" x14ac:dyDescent="0.25">
      <c r="A15" s="107"/>
      <c r="B15" s="107"/>
      <c r="C15" s="107"/>
      <c r="D15" s="7">
        <v>4</v>
      </c>
      <c r="E15">
        <f>k_fold_2stage_output!D13</f>
        <v>0.90787267684936523</v>
      </c>
      <c r="F15">
        <f>k_fold_2stage_output!E13</f>
        <v>0.45901638269424438</v>
      </c>
      <c r="G15">
        <f>k_fold_2stage_output!F13</f>
        <v>0.56000000238418579</v>
      </c>
      <c r="H15">
        <f>k_fold_2stage_output!G13</f>
        <v>0.5045045018196106</v>
      </c>
      <c r="I15">
        <f>k_fold_2stage_output!H13</f>
        <v>0.88010972738265991</v>
      </c>
      <c r="J15">
        <f>k_fold_2stage_output!I13</f>
        <v>0.55900520086288452</v>
      </c>
      <c r="K15">
        <f>k_fold_2stage_output!N13</f>
        <v>0.88203954696655273</v>
      </c>
      <c r="L15">
        <f>k_fold_2stage_output!O13</f>
        <v>0.35099336504936218</v>
      </c>
      <c r="M15">
        <f>k_fold_2stage_output!P13</f>
        <v>0.48181816935539246</v>
      </c>
      <c r="N15">
        <f>k_fold_2stage_output!Q13</f>
        <v>0.40613025426864624</v>
      </c>
      <c r="O15">
        <f>k_fold_2stage_output!R13</f>
        <v>0.83453643321990967</v>
      </c>
      <c r="P15">
        <f>k_fold_2stage_output!S13</f>
        <v>0.35391548275947571</v>
      </c>
    </row>
    <row r="16" spans="1:16" x14ac:dyDescent="0.25">
      <c r="A16" s="103" t="s">
        <v>24</v>
      </c>
      <c r="B16" s="103" t="s">
        <v>21</v>
      </c>
      <c r="C16" s="105">
        <v>18</v>
      </c>
      <c r="D16">
        <v>1</v>
      </c>
      <c r="E16">
        <f>k_fold_2stage_output!D14</f>
        <v>0.87382781505584717</v>
      </c>
      <c r="F16">
        <f>k_fold_2stage_output!E14</f>
        <v>0.41860464215278625</v>
      </c>
      <c r="G16">
        <f>k_fold_2stage_output!F14</f>
        <v>0.60000002384185791</v>
      </c>
      <c r="H16">
        <f>k_fold_2stage_output!G14</f>
        <v>0.49315068125724792</v>
      </c>
      <c r="I16">
        <f>k_fold_2stage_output!H14</f>
        <v>0.85674268007278442</v>
      </c>
      <c r="J16">
        <f>k_fold_2stage_output!I14</f>
        <v>0.43261745572090149</v>
      </c>
      <c r="K16">
        <f>k_fold_2stage_output!N14</f>
        <v>0.86605781316757202</v>
      </c>
      <c r="L16">
        <f>k_fold_2stage_output!O14</f>
        <v>0.33980581164360046</v>
      </c>
      <c r="M16">
        <f>k_fold_2stage_output!P14</f>
        <v>0.63636362552642822</v>
      </c>
      <c r="N16">
        <f>k_fold_2stage_output!Q14</f>
        <v>0.44303798675537109</v>
      </c>
      <c r="O16">
        <f>k_fold_2stage_output!R14</f>
        <v>0.86457276344299316</v>
      </c>
      <c r="P16">
        <f>k_fold_2stage_output!S14</f>
        <v>0.46481406688690186</v>
      </c>
    </row>
    <row r="17" spans="1:16" x14ac:dyDescent="0.25">
      <c r="A17" s="105"/>
      <c r="B17" s="105"/>
      <c r="C17" s="105"/>
      <c r="D17">
        <v>2</v>
      </c>
      <c r="E17">
        <f>k_fold_2stage_output!D15</f>
        <v>0.90243899822235107</v>
      </c>
      <c r="F17">
        <f>k_fold_2stage_output!E15</f>
        <v>0.48124998807907104</v>
      </c>
      <c r="G17">
        <f>k_fold_2stage_output!F15</f>
        <v>0.67543858289718628</v>
      </c>
      <c r="H17">
        <f>k_fold_2stage_output!G15</f>
        <v>0.56204378604888916</v>
      </c>
      <c r="I17">
        <f>k_fold_2stage_output!H15</f>
        <v>0.90431052446365356</v>
      </c>
      <c r="J17">
        <f>k_fold_2stage_output!I15</f>
        <v>0.61696267127990723</v>
      </c>
      <c r="K17">
        <f>k_fold_2stage_output!N15</f>
        <v>0.87138509750366211</v>
      </c>
      <c r="L17">
        <f>k_fold_2stage_output!O15</f>
        <v>0.35025382041931152</v>
      </c>
      <c r="M17">
        <f>k_fold_2stage_output!P15</f>
        <v>0.62727272510528564</v>
      </c>
      <c r="N17">
        <f>k_fold_2stage_output!Q15</f>
        <v>0.44951140880584717</v>
      </c>
      <c r="O17">
        <f>k_fold_2stage_output!R15</f>
        <v>0.86371177434921265</v>
      </c>
      <c r="P17">
        <f>k_fold_2stage_output!S15</f>
        <v>0.44874662160873413</v>
      </c>
    </row>
    <row r="18" spans="1:16" x14ac:dyDescent="0.25">
      <c r="A18" s="105"/>
      <c r="B18" s="105"/>
      <c r="C18" s="105"/>
      <c r="D18">
        <v>3</v>
      </c>
      <c r="E18">
        <f>k_fold_2stage_output!D16</f>
        <v>0.89217251539230347</v>
      </c>
      <c r="F18">
        <f>k_fold_2stage_output!E16</f>
        <v>0.41304346919059753</v>
      </c>
      <c r="G18">
        <f>k_fold_2stage_output!F16</f>
        <v>0.51351350545883179</v>
      </c>
      <c r="H18">
        <f>k_fold_2stage_output!G16</f>
        <v>0.45783132314682007</v>
      </c>
      <c r="I18">
        <f>k_fold_2stage_output!H16</f>
        <v>0.85211324691772461</v>
      </c>
      <c r="J18">
        <f>k_fold_2stage_output!I16</f>
        <v>0.45201206207275391</v>
      </c>
      <c r="K18">
        <f>k_fold_2stage_output!N16</f>
        <v>0.87899541854858398</v>
      </c>
      <c r="L18">
        <f>k_fold_2stage_output!O16</f>
        <v>0.35329341888427734</v>
      </c>
      <c r="M18">
        <f>k_fold_2stage_output!P16</f>
        <v>0.53636366128921509</v>
      </c>
      <c r="N18">
        <f>k_fold_2stage_output!Q16</f>
        <v>0.42599278688430786</v>
      </c>
      <c r="O18">
        <f>k_fold_2stage_output!R16</f>
        <v>0.83691489696502686</v>
      </c>
      <c r="P18">
        <f>k_fold_2stage_output!S16</f>
        <v>0.41122215986251831</v>
      </c>
    </row>
    <row r="19" spans="1:16" x14ac:dyDescent="0.25">
      <c r="A19" s="105"/>
      <c r="B19" s="105"/>
      <c r="C19" s="105"/>
      <c r="D19">
        <v>4</v>
      </c>
      <c r="E19">
        <f>k_fold_2stage_output!D17</f>
        <v>0.91373533010482788</v>
      </c>
      <c r="F19">
        <f>k_fold_2stage_output!E17</f>
        <v>0.48514851927757263</v>
      </c>
      <c r="G19">
        <f>k_fold_2stage_output!F17</f>
        <v>0.49000000953674316</v>
      </c>
      <c r="H19">
        <f>k_fold_2stage_output!G17</f>
        <v>0.48756217956542969</v>
      </c>
      <c r="I19">
        <f>k_fold_2stage_output!H17</f>
        <v>0.90862900018692017</v>
      </c>
      <c r="J19">
        <f>k_fold_2stage_output!I17</f>
        <v>0.5034375786781311</v>
      </c>
      <c r="K19">
        <f>k_fold_2stage_output!N17</f>
        <v>0.90943682193756104</v>
      </c>
      <c r="L19">
        <f>k_fold_2stage_output!O17</f>
        <v>0.46399998664855957</v>
      </c>
      <c r="M19">
        <f>k_fold_2stage_output!P17</f>
        <v>0.52727270126342773</v>
      </c>
      <c r="N19">
        <f>k_fold_2stage_output!Q17</f>
        <v>0.49361702799797058</v>
      </c>
      <c r="O19">
        <f>k_fold_2stage_output!R17</f>
        <v>0.87390512228012085</v>
      </c>
      <c r="P19">
        <f>k_fold_2stage_output!S17</f>
        <v>0.4645867645740509</v>
      </c>
    </row>
    <row r="20" spans="1:16" x14ac:dyDescent="0.25">
      <c r="A20" s="105"/>
      <c r="B20" s="105"/>
      <c r="C20" s="105">
        <v>34</v>
      </c>
      <c r="D20">
        <v>1</v>
      </c>
      <c r="E20">
        <f>k_fold_2stage_output!D18</f>
        <v>0.90451830625534058</v>
      </c>
      <c r="F20">
        <f>k_fold_2stage_output!E18</f>
        <v>0.53773581981658936</v>
      </c>
      <c r="G20">
        <f>k_fold_2stage_output!F18</f>
        <v>0.47499999403953552</v>
      </c>
      <c r="H20">
        <f>k_fold_2stage_output!G18</f>
        <v>0.50442475080490112</v>
      </c>
      <c r="I20">
        <f>k_fold_2stage_output!H18</f>
        <v>0.86302626132965088</v>
      </c>
      <c r="J20">
        <f>k_fold_2stage_output!I18</f>
        <v>0.44907012581825256</v>
      </c>
      <c r="K20">
        <f>k_fold_2stage_output!N18</f>
        <v>0.88432270288467407</v>
      </c>
      <c r="L20">
        <f>k_fold_2stage_output!O18</f>
        <v>0.37037035822868347</v>
      </c>
      <c r="M20">
        <f>k_fold_2stage_output!P18</f>
        <v>0.54545456171035767</v>
      </c>
      <c r="N20">
        <f>k_fold_2stage_output!Q18</f>
        <v>0.44117647409439087</v>
      </c>
      <c r="O20">
        <f>k_fold_2stage_output!R18</f>
        <v>0.86991852521896362</v>
      </c>
      <c r="P20">
        <f>k_fold_2stage_output!S18</f>
        <v>0.43479031324386597</v>
      </c>
    </row>
    <row r="21" spans="1:16" x14ac:dyDescent="0.25">
      <c r="A21" s="105"/>
      <c r="B21" s="105"/>
      <c r="C21" s="105"/>
      <c r="D21">
        <v>2</v>
      </c>
      <c r="E21">
        <f>k_fold_2stage_output!D19</f>
        <v>0.88780486583709717</v>
      </c>
      <c r="F21">
        <f>k_fold_2stage_output!E19</f>
        <v>0.42771083116531372</v>
      </c>
      <c r="G21">
        <f>k_fold_2stage_output!F19</f>
        <v>0.62280702590942383</v>
      </c>
      <c r="H21">
        <f>k_fold_2stage_output!G19</f>
        <v>0.50714284181594849</v>
      </c>
      <c r="I21">
        <f>k_fold_2stage_output!H19</f>
        <v>0.8960731029510498</v>
      </c>
      <c r="J21">
        <f>k_fold_2stage_output!I19</f>
        <v>0.53396803140640259</v>
      </c>
      <c r="K21">
        <f>k_fold_2stage_output!N19</f>
        <v>0.88356167078018188</v>
      </c>
      <c r="L21">
        <f>k_fold_2stage_output!O19</f>
        <v>0.371257483959198</v>
      </c>
      <c r="M21">
        <f>k_fold_2stage_output!P19</f>
        <v>0.56363636255264282</v>
      </c>
      <c r="N21">
        <f>k_fold_2stage_output!Q19</f>
        <v>0.44765344262123108</v>
      </c>
      <c r="O21">
        <f>k_fold_2stage_output!R19</f>
        <v>0.83617484569549561</v>
      </c>
      <c r="P21">
        <f>k_fold_2stage_output!S19</f>
        <v>0.38414624333381653</v>
      </c>
    </row>
    <row r="22" spans="1:16" x14ac:dyDescent="0.25">
      <c r="A22" s="105"/>
      <c r="B22" s="105"/>
      <c r="C22" s="105"/>
      <c r="D22">
        <v>3</v>
      </c>
      <c r="E22">
        <f>k_fold_2stage_output!D20</f>
        <v>0.91453671455383301</v>
      </c>
      <c r="F22">
        <f>k_fold_2stage_output!E20</f>
        <v>0.52127659320831299</v>
      </c>
      <c r="G22">
        <f>k_fold_2stage_output!F20</f>
        <v>0.44144144654273987</v>
      </c>
      <c r="H22">
        <f>k_fold_2stage_output!G20</f>
        <v>0.47804877161979675</v>
      </c>
      <c r="I22">
        <f>k_fold_2stage_output!H20</f>
        <v>0.8660886287689209</v>
      </c>
      <c r="J22">
        <f>k_fold_2stage_output!I20</f>
        <v>0.4867158830165863</v>
      </c>
      <c r="K22">
        <f>k_fold_2stage_output!N20</f>
        <v>0.89573818445205688</v>
      </c>
      <c r="L22">
        <f>k_fold_2stage_output!O20</f>
        <v>0.3919999897480011</v>
      </c>
      <c r="M22">
        <f>k_fold_2stage_output!P20</f>
        <v>0.44545453786849976</v>
      </c>
      <c r="N22">
        <f>k_fold_2stage_output!Q20</f>
        <v>0.41702127456665039</v>
      </c>
      <c r="O22">
        <f>k_fold_2stage_output!R20</f>
        <v>0.83402305841445923</v>
      </c>
      <c r="P22">
        <f>k_fold_2stage_output!S20</f>
        <v>0.39942216873168945</v>
      </c>
    </row>
    <row r="23" spans="1:16" x14ac:dyDescent="0.25">
      <c r="A23" s="105"/>
      <c r="B23" s="105"/>
      <c r="C23" s="105"/>
      <c r="D23">
        <v>4</v>
      </c>
      <c r="E23">
        <f>k_fold_2stage_output!D21</f>
        <v>0.90703517198562622</v>
      </c>
      <c r="F23">
        <f>k_fold_2stage_output!E21</f>
        <v>0.45217391848564148</v>
      </c>
      <c r="G23">
        <f>k_fold_2stage_output!F21</f>
        <v>0.51999998092651367</v>
      </c>
      <c r="H23">
        <f>k_fold_2stage_output!G21</f>
        <v>0.48372092843055725</v>
      </c>
      <c r="I23">
        <f>k_fold_2stage_output!H21</f>
        <v>0.88782447576522827</v>
      </c>
      <c r="J23">
        <f>k_fold_2stage_output!I21</f>
        <v>0.5037422776222229</v>
      </c>
      <c r="K23">
        <f>k_fold_2stage_output!N21</f>
        <v>0.88203954696655273</v>
      </c>
      <c r="L23">
        <f>k_fold_2stage_output!O21</f>
        <v>0.35668790340423584</v>
      </c>
      <c r="M23">
        <f>k_fold_2stage_output!P21</f>
        <v>0.50909090042114258</v>
      </c>
      <c r="N23">
        <f>k_fold_2stage_output!Q21</f>
        <v>0.41947564482688904</v>
      </c>
      <c r="O23">
        <f>k_fold_2stage_output!R21</f>
        <v>0.85207641124725342</v>
      </c>
      <c r="P23">
        <f>k_fold_2stage_output!S21</f>
        <v>0.42061442136764526</v>
      </c>
    </row>
    <row r="24" spans="1:16" x14ac:dyDescent="0.25">
      <c r="A24" s="105"/>
      <c r="B24" s="105"/>
      <c r="C24" s="105">
        <v>50</v>
      </c>
      <c r="D24">
        <v>1</v>
      </c>
      <c r="E24">
        <f>k_fold_2stage_output!D22</f>
        <v>0.85933506488800049</v>
      </c>
      <c r="F24">
        <f>k_fold_2stage_output!E22</f>
        <v>0.38693466782569885</v>
      </c>
      <c r="G24">
        <f>k_fold_2stage_output!F22</f>
        <v>0.64166665077209473</v>
      </c>
      <c r="H24">
        <f>k_fold_2stage_output!G22</f>
        <v>0.48275861144065857</v>
      </c>
      <c r="I24">
        <f>k_fold_2stage_output!H22</f>
        <v>0.85998737812042236</v>
      </c>
      <c r="J24">
        <f>k_fold_2stage_output!I22</f>
        <v>0.45638599991798401</v>
      </c>
      <c r="K24">
        <f>k_fold_2stage_output!N22</f>
        <v>0.8614916205406189</v>
      </c>
      <c r="L24">
        <f>k_fold_2stage_output!O22</f>
        <v>0.32857143878936768</v>
      </c>
      <c r="M24">
        <f>k_fold_2stage_output!P22</f>
        <v>0.62727272510528564</v>
      </c>
      <c r="N24">
        <f>k_fold_2stage_output!Q22</f>
        <v>0.43125000596046448</v>
      </c>
      <c r="O24">
        <f>k_fold_2stage_output!R22</f>
        <v>0.84783291816711426</v>
      </c>
      <c r="P24">
        <f>k_fold_2stage_output!S22</f>
        <v>0.40785783529281616</v>
      </c>
    </row>
    <row r="25" spans="1:16" x14ac:dyDescent="0.25">
      <c r="A25" s="105"/>
      <c r="B25" s="105"/>
      <c r="C25" s="105"/>
      <c r="D25">
        <v>2</v>
      </c>
      <c r="E25">
        <f>k_fold_2stage_output!D23</f>
        <v>0.89024388790130615</v>
      </c>
      <c r="F25">
        <f>k_fold_2stage_output!E23</f>
        <v>0.44134077429771423</v>
      </c>
      <c r="G25">
        <f>k_fold_2stage_output!F23</f>
        <v>0.69298243522644043</v>
      </c>
      <c r="H25">
        <f>k_fold_2stage_output!G23</f>
        <v>0.53924912214279175</v>
      </c>
      <c r="I25">
        <f>k_fold_2stage_output!H23</f>
        <v>0.90959250926971436</v>
      </c>
      <c r="J25">
        <f>k_fold_2stage_output!I23</f>
        <v>0.59181779623031616</v>
      </c>
      <c r="K25">
        <f>k_fold_2stage_output!N23</f>
        <v>0.86986303329467773</v>
      </c>
      <c r="L25">
        <f>k_fold_2stage_output!O23</f>
        <v>0.34825870394706726</v>
      </c>
      <c r="M25">
        <f>k_fold_2stage_output!P23</f>
        <v>0.63636362552642822</v>
      </c>
      <c r="N25">
        <f>k_fold_2stage_output!Q23</f>
        <v>0.45016077160835266</v>
      </c>
      <c r="O25">
        <f>k_fold_2stage_output!R23</f>
        <v>0.87742376327514648</v>
      </c>
      <c r="P25">
        <f>k_fold_2stage_output!S23</f>
        <v>0.46001112461090088</v>
      </c>
    </row>
    <row r="26" spans="1:16" x14ac:dyDescent="0.25">
      <c r="A26" s="105"/>
      <c r="B26" s="105"/>
      <c r="C26" s="105"/>
      <c r="D26">
        <v>3</v>
      </c>
      <c r="E26">
        <f>k_fold_2stage_output!D24</f>
        <v>0.91693288087844849</v>
      </c>
      <c r="F26">
        <f>k_fold_2stage_output!E24</f>
        <v>0.54117649793624878</v>
      </c>
      <c r="G26">
        <f>k_fold_2stage_output!F24</f>
        <v>0.41441440582275391</v>
      </c>
      <c r="H26">
        <f>k_fold_2stage_output!G24</f>
        <v>0.46938776969909668</v>
      </c>
      <c r="I26">
        <f>k_fold_2stage_output!H24</f>
        <v>0.8744819164276123</v>
      </c>
      <c r="J26">
        <f>k_fold_2stage_output!I24</f>
        <v>0.43241029977798462</v>
      </c>
      <c r="K26">
        <f>k_fold_2stage_output!N24</f>
        <v>0.90334856510162354</v>
      </c>
      <c r="L26">
        <f>k_fold_2stage_output!O24</f>
        <v>0.41584157943725586</v>
      </c>
      <c r="M26">
        <f>k_fold_2stage_output!P24</f>
        <v>0.38181817531585693</v>
      </c>
      <c r="N26">
        <f>k_fold_2stage_output!Q24</f>
        <v>0.39810428023338318</v>
      </c>
      <c r="O26">
        <f>k_fold_2stage_output!R24</f>
        <v>0.86158257722854614</v>
      </c>
      <c r="P26">
        <f>k_fold_2stage_output!S24</f>
        <v>0.40750414133071899</v>
      </c>
    </row>
    <row r="27" spans="1:16" x14ac:dyDescent="0.25">
      <c r="A27" s="107"/>
      <c r="B27" s="107"/>
      <c r="C27" s="107"/>
      <c r="D27" s="7">
        <v>4</v>
      </c>
      <c r="E27">
        <f>k_fold_2stage_output!D25</f>
        <v>0.87855947017669678</v>
      </c>
      <c r="F27">
        <f>k_fold_2stage_output!E25</f>
        <v>0.3668639063835144</v>
      </c>
      <c r="G27">
        <f>k_fold_2stage_output!F25</f>
        <v>0.62000000476837158</v>
      </c>
      <c r="H27">
        <f>k_fold_2stage_output!G25</f>
        <v>0.460966557264328</v>
      </c>
      <c r="I27">
        <f>k_fold_2stage_output!H25</f>
        <v>0.8863985538482666</v>
      </c>
      <c r="J27">
        <f>k_fold_2stage_output!I25</f>
        <v>0.50386369228363037</v>
      </c>
      <c r="K27">
        <f>k_fold_2stage_output!N25</f>
        <v>0.86225265264511108</v>
      </c>
      <c r="L27">
        <f>k_fold_2stage_output!O25</f>
        <v>0.34222221374511719</v>
      </c>
      <c r="M27">
        <f>k_fold_2stage_output!P25</f>
        <v>0.69999998807907104</v>
      </c>
      <c r="N27">
        <f>k_fold_2stage_output!Q25</f>
        <v>0.45970147848129272</v>
      </c>
      <c r="O27">
        <f>k_fold_2stage_output!R25</f>
        <v>0.87160223722457886</v>
      </c>
      <c r="P27">
        <f>k_fold_2stage_output!S25</f>
        <v>0.47835493087768555</v>
      </c>
    </row>
    <row r="28" spans="1:16" x14ac:dyDescent="0.25">
      <c r="A28" s="103" t="s">
        <v>24</v>
      </c>
      <c r="B28" s="103" t="s">
        <v>27</v>
      </c>
      <c r="C28" s="103"/>
      <c r="D28" s="9">
        <v>1</v>
      </c>
      <c r="E28">
        <f>k_fold_2stage_output!D26</f>
        <v>0.89343565702438354</v>
      </c>
      <c r="F28">
        <f>k_fold_2stage_output!E26</f>
        <v>0.47474747896194458</v>
      </c>
      <c r="G28">
        <f>k_fold_2stage_output!F26</f>
        <v>0.39166668057441711</v>
      </c>
      <c r="H28">
        <f>k_fold_2stage_output!G26</f>
        <v>0.42922374606132507</v>
      </c>
      <c r="I28">
        <f>k_fold_2stage_output!H26</f>
        <v>0.83475786447525024</v>
      </c>
      <c r="J28">
        <f>k_fold_2stage_output!I26</f>
        <v>0.40157926082611084</v>
      </c>
      <c r="K28">
        <f>k_fold_2stage_output!N26</f>
        <v>0.89193302392959595</v>
      </c>
      <c r="L28">
        <f>k_fold_2stage_output!O26</f>
        <v>0.36885246634483337</v>
      </c>
      <c r="M28">
        <f>k_fold_2stage_output!P26</f>
        <v>0.40909090638160706</v>
      </c>
      <c r="N28">
        <f>k_fold_2stage_output!Q26</f>
        <v>0.38793104887008667</v>
      </c>
      <c r="O28">
        <f>k_fold_2stage_output!R26</f>
        <v>0.82057535648345947</v>
      </c>
      <c r="P28">
        <f>k_fold_2stage_output!S26</f>
        <v>0.38543951511383057</v>
      </c>
    </row>
    <row r="29" spans="1:16" x14ac:dyDescent="0.25">
      <c r="A29" s="105"/>
      <c r="B29" s="105"/>
      <c r="C29" s="105"/>
      <c r="D29">
        <v>2</v>
      </c>
      <c r="E29">
        <f>k_fold_2stage_output!D27</f>
        <v>0.90406501293182373</v>
      </c>
      <c r="F29">
        <f>k_fold_2stage_output!E27</f>
        <v>0.48245614767074585</v>
      </c>
      <c r="G29">
        <f>k_fold_2stage_output!F27</f>
        <v>0.48245614767074585</v>
      </c>
      <c r="H29">
        <f>k_fold_2stage_output!G27</f>
        <v>0.48245614767074585</v>
      </c>
      <c r="I29">
        <f>k_fold_2stage_output!H27</f>
        <v>0.8917577862739563</v>
      </c>
      <c r="J29">
        <f>k_fold_2stage_output!I27</f>
        <v>0.48384791612625122</v>
      </c>
      <c r="K29">
        <f>k_fold_2stage_output!N27</f>
        <v>0.88356167078018188</v>
      </c>
      <c r="L29">
        <f>k_fold_2stage_output!O27</f>
        <v>0.33587786555290222</v>
      </c>
      <c r="M29">
        <f>k_fold_2stage_output!P27</f>
        <v>0.40000000596046448</v>
      </c>
      <c r="N29">
        <f>k_fold_2stage_output!Q27</f>
        <v>0.3651452362537384</v>
      </c>
      <c r="O29">
        <f>k_fold_2stage_output!R27</f>
        <v>0.82056021690368652</v>
      </c>
      <c r="P29">
        <f>k_fold_2stage_output!S27</f>
        <v>0.34231603145599365</v>
      </c>
    </row>
    <row r="30" spans="1:16" x14ac:dyDescent="0.25">
      <c r="A30" s="105"/>
      <c r="B30" s="105"/>
      <c r="C30" s="105"/>
      <c r="D30">
        <v>3</v>
      </c>
      <c r="E30">
        <f>k_fold_2stage_output!D28</f>
        <v>0.88817888498306274</v>
      </c>
      <c r="F30">
        <f>k_fold_2stage_output!E28</f>
        <v>0.38582676649093628</v>
      </c>
      <c r="G30">
        <f>k_fold_2stage_output!F28</f>
        <v>0.44144144654273987</v>
      </c>
      <c r="H30">
        <f>k_fold_2stage_output!G28</f>
        <v>0.4117647111415863</v>
      </c>
      <c r="I30">
        <f>k_fold_2stage_output!H28</f>
        <v>0.83987492322921753</v>
      </c>
      <c r="J30">
        <f>k_fold_2stage_output!I28</f>
        <v>0.41325199604034424</v>
      </c>
      <c r="K30">
        <f>k_fold_2stage_output!N28</f>
        <v>0.87747335433959961</v>
      </c>
      <c r="L30">
        <f>k_fold_2stage_output!O28</f>
        <v>0.33962264657020569</v>
      </c>
      <c r="M30">
        <f>k_fold_2stage_output!P28</f>
        <v>0.49090909957885742</v>
      </c>
      <c r="N30">
        <f>k_fold_2stage_output!Q28</f>
        <v>0.40148699283599854</v>
      </c>
      <c r="O30">
        <f>k_fold_2stage_output!R28</f>
        <v>0.81970709562301636</v>
      </c>
      <c r="P30">
        <f>k_fold_2stage_output!S28</f>
        <v>0.36401847004890442</v>
      </c>
    </row>
    <row r="31" spans="1:16" x14ac:dyDescent="0.25">
      <c r="A31" s="107"/>
      <c r="B31" s="107"/>
      <c r="C31" s="107"/>
      <c r="D31" s="7">
        <v>4</v>
      </c>
      <c r="E31">
        <f>k_fold_2stage_output!D29</f>
        <v>0.87018424272537231</v>
      </c>
      <c r="F31">
        <f>k_fold_2stage_output!E29</f>
        <v>0.35602095723152161</v>
      </c>
      <c r="G31">
        <f>k_fold_2stage_output!F29</f>
        <v>0.68000000715255737</v>
      </c>
      <c r="H31">
        <f>k_fold_2stage_output!G29</f>
        <v>0.4673539400100708</v>
      </c>
      <c r="I31">
        <f>k_fold_2stage_output!H29</f>
        <v>0.86933279037475586</v>
      </c>
      <c r="J31">
        <f>k_fold_2stage_output!I29</f>
        <v>0.41838085651397705</v>
      </c>
      <c r="K31">
        <f>k_fold_2stage_output!N29</f>
        <v>0.83713853359222412</v>
      </c>
      <c r="L31">
        <f>k_fold_2stage_output!O29</f>
        <v>0.2699114978313446</v>
      </c>
      <c r="M31">
        <f>k_fold_2stage_output!P29</f>
        <v>0.55454546213150024</v>
      </c>
      <c r="N31">
        <f>k_fold_2stage_output!Q29</f>
        <v>0.36309522390365601</v>
      </c>
      <c r="O31">
        <f>k_fold_2stage_output!R29</f>
        <v>0.82864689826965332</v>
      </c>
      <c r="P31">
        <f>k_fold_2stage_output!S29</f>
        <v>0.34560629725456238</v>
      </c>
    </row>
  </sheetData>
  <mergeCells count="31">
    <mergeCell ref="A1:A3"/>
    <mergeCell ref="B1:C1"/>
    <mergeCell ref="D1:D3"/>
    <mergeCell ref="A28:A31"/>
    <mergeCell ref="B28:C31"/>
    <mergeCell ref="A4:A15"/>
    <mergeCell ref="B4:B15"/>
    <mergeCell ref="C4:C7"/>
    <mergeCell ref="C8:C11"/>
    <mergeCell ref="C12:C15"/>
    <mergeCell ref="A16:A27"/>
    <mergeCell ref="B16:B27"/>
    <mergeCell ref="C16:C19"/>
    <mergeCell ref="C20:C23"/>
    <mergeCell ref="C24:C27"/>
    <mergeCell ref="E1:J1"/>
    <mergeCell ref="K1:P1"/>
    <mergeCell ref="B2:B3"/>
    <mergeCell ref="C2:C3"/>
    <mergeCell ref="E2:E3"/>
    <mergeCell ref="F2:F3"/>
    <mergeCell ref="G2:G3"/>
    <mergeCell ref="N2:N3"/>
    <mergeCell ref="O2:O3"/>
    <mergeCell ref="P2:P3"/>
    <mergeCell ref="H2:H3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CEEFB-1247-4236-B7DD-B1FFB18E5D4E}">
  <sheetPr>
    <tabColor rgb="FF00B0F0"/>
  </sheetPr>
  <dimension ref="A1:P31"/>
  <sheetViews>
    <sheetView workbookViewId="0">
      <selection activeCell="P28" sqref="P28"/>
    </sheetView>
  </sheetViews>
  <sheetFormatPr defaultRowHeight="15" x14ac:dyDescent="0.25"/>
  <cols>
    <col min="1" max="1" width="21" customWidth="1"/>
    <col min="2" max="2" width="14" customWidth="1"/>
  </cols>
  <sheetData>
    <row r="1" spans="1:16" x14ac:dyDescent="0.25">
      <c r="A1" s="126" t="s">
        <v>15</v>
      </c>
      <c r="B1" s="126" t="s">
        <v>0</v>
      </c>
      <c r="C1" s="128"/>
      <c r="D1" s="112" t="s">
        <v>12</v>
      </c>
      <c r="E1" s="148" t="s">
        <v>13</v>
      </c>
      <c r="F1" s="115"/>
      <c r="G1" s="115"/>
      <c r="H1" s="115"/>
      <c r="I1" s="115"/>
      <c r="J1" s="116"/>
      <c r="K1" s="118" t="s">
        <v>14</v>
      </c>
      <c r="L1" s="118"/>
      <c r="M1" s="118"/>
      <c r="N1" s="118"/>
      <c r="O1" s="118"/>
      <c r="P1" s="119"/>
    </row>
    <row r="2" spans="1:16" x14ac:dyDescent="0.25">
      <c r="A2" s="126"/>
      <c r="B2" s="126" t="s">
        <v>16</v>
      </c>
      <c r="C2" s="128" t="s">
        <v>17</v>
      </c>
      <c r="D2" s="113"/>
      <c r="E2" s="122" t="s">
        <v>1</v>
      </c>
      <c r="F2" s="122" t="s">
        <v>2</v>
      </c>
      <c r="G2" s="122" t="s">
        <v>3</v>
      </c>
      <c r="H2" s="122" t="s">
        <v>4</v>
      </c>
      <c r="I2" s="122" t="s">
        <v>5</v>
      </c>
      <c r="J2" s="122" t="s">
        <v>70</v>
      </c>
      <c r="K2" s="124" t="s">
        <v>1</v>
      </c>
      <c r="L2" s="109" t="s">
        <v>2</v>
      </c>
      <c r="M2" s="109" t="s">
        <v>3</v>
      </c>
      <c r="N2" s="109" t="s">
        <v>4</v>
      </c>
      <c r="O2" s="109" t="s">
        <v>5</v>
      </c>
      <c r="P2" s="109" t="s">
        <v>70</v>
      </c>
    </row>
    <row r="3" spans="1:16" ht="15.75" thickBot="1" x14ac:dyDescent="0.3">
      <c r="A3" s="127"/>
      <c r="B3" s="127"/>
      <c r="C3" s="129"/>
      <c r="D3" s="114"/>
      <c r="E3" s="123"/>
      <c r="F3" s="123"/>
      <c r="G3" s="123"/>
      <c r="H3" s="123"/>
      <c r="I3" s="123"/>
      <c r="J3" s="123"/>
      <c r="K3" s="125"/>
      <c r="L3" s="110"/>
      <c r="M3" s="110"/>
      <c r="N3" s="110"/>
      <c r="O3" s="110"/>
      <c r="P3" s="110"/>
    </row>
    <row r="4" spans="1:16" x14ac:dyDescent="0.25">
      <c r="A4" s="103" t="s">
        <v>20</v>
      </c>
      <c r="B4" s="103" t="s">
        <v>18</v>
      </c>
      <c r="C4" s="103">
        <v>18</v>
      </c>
      <c r="D4" s="10">
        <v>1</v>
      </c>
      <c r="E4" s="44">
        <f>k_fold_luna16db_output!D2</f>
        <v>0.84910488128662109</v>
      </c>
      <c r="F4">
        <f>k_fold_luna16db_output!E2</f>
        <v>0.34759357571601868</v>
      </c>
      <c r="G4">
        <f>k_fold_luna16db_output!F2</f>
        <v>0.54166668653488159</v>
      </c>
      <c r="H4">
        <f>k_fold_luna16db_output!G2</f>
        <v>0.42345276474952698</v>
      </c>
      <c r="I4">
        <f>k_fold_luna16db_output!H2</f>
        <v>0.83869105577468872</v>
      </c>
      <c r="J4" s="3">
        <f>k_fold_luna16db_output!I2</f>
        <v>0.33923211693763733</v>
      </c>
      <c r="K4">
        <f>k_fold_luna16db_output!N2</f>
        <v>0.84094369411468506</v>
      </c>
      <c r="L4">
        <f>k_fold_luna16db_output!O2</f>
        <v>0.2800000011920929</v>
      </c>
      <c r="M4">
        <f>k_fold_luna16db_output!P2</f>
        <v>0.5727272629737854</v>
      </c>
      <c r="N4">
        <f>k_fold_luna16db_output!Q2</f>
        <v>0.37611940503120422</v>
      </c>
      <c r="O4">
        <f>k_fold_luna16db_output!R2</f>
        <v>0.84143012762069702</v>
      </c>
      <c r="P4" s="11">
        <f>k_fold_luna16db_output!S2</f>
        <v>0.30523020029067993</v>
      </c>
    </row>
    <row r="5" spans="1:16" x14ac:dyDescent="0.25">
      <c r="A5" s="105"/>
      <c r="B5" s="105"/>
      <c r="C5" s="105"/>
      <c r="D5" s="3">
        <v>2</v>
      </c>
      <c r="E5" s="44">
        <f>k_fold_luna16db_output!D3</f>
        <v>0.90243899822235107</v>
      </c>
      <c r="F5">
        <f>k_fold_luna16db_output!E3</f>
        <v>0.43181818723678589</v>
      </c>
      <c r="G5">
        <f>k_fold_luna16db_output!F3</f>
        <v>0.1666666716337204</v>
      </c>
      <c r="H5">
        <f>k_fold_luna16db_output!G3</f>
        <v>0.24050633609294891</v>
      </c>
      <c r="I5">
        <f>k_fold_luna16db_output!H3</f>
        <v>0.8888888955116272</v>
      </c>
      <c r="J5" s="3">
        <f>k_fold_luna16db_output!I3</f>
        <v>0.39872854948043823</v>
      </c>
      <c r="K5">
        <f>k_fold_luna16db_output!N3</f>
        <v>0.91019785404205322</v>
      </c>
      <c r="L5">
        <f>k_fold_luna16db_output!O3</f>
        <v>0.3888888955116272</v>
      </c>
      <c r="M5">
        <f>k_fold_luna16db_output!P3</f>
        <v>0.12727272510528564</v>
      </c>
      <c r="N5">
        <f>k_fold_luna16db_output!Q3</f>
        <v>0.19178082048892975</v>
      </c>
      <c r="O5">
        <f>k_fold_luna16db_output!R3</f>
        <v>0.82495474815368652</v>
      </c>
      <c r="P5" s="3">
        <f>k_fold_luna16db_output!S3</f>
        <v>0.31585291028022766</v>
      </c>
    </row>
    <row r="6" spans="1:16" x14ac:dyDescent="0.25">
      <c r="A6" s="105"/>
      <c r="B6" s="105"/>
      <c r="C6" s="105"/>
      <c r="D6" s="3">
        <v>3</v>
      </c>
      <c r="E6" s="44">
        <f>k_fold_luna16db_output!D4</f>
        <v>0.89696484804153442</v>
      </c>
      <c r="F6">
        <f>k_fold_luna16db_output!E4</f>
        <v>0.4117647111415863</v>
      </c>
      <c r="G6">
        <f>k_fold_luna16db_output!F4</f>
        <v>0.37837839126586914</v>
      </c>
      <c r="H6">
        <f>k_fold_luna16db_output!G4</f>
        <v>0.39436620473861694</v>
      </c>
      <c r="I6">
        <f>k_fold_luna16db_output!H4</f>
        <v>0.85655057430267334</v>
      </c>
      <c r="J6" s="3">
        <f>k_fold_luna16db_output!I4</f>
        <v>0.3894086480140686</v>
      </c>
      <c r="K6">
        <f>k_fold_luna16db_output!N4</f>
        <v>0.88736683130264282</v>
      </c>
      <c r="L6">
        <f>k_fold_luna16db_output!O4</f>
        <v>0.3303571343421936</v>
      </c>
      <c r="M6">
        <f>k_fold_luna16db_output!P4</f>
        <v>0.33636364340782166</v>
      </c>
      <c r="N6">
        <f>k_fold_luna16db_output!Q4</f>
        <v>0.3333333432674408</v>
      </c>
      <c r="O6">
        <f>k_fold_luna16db_output!R4</f>
        <v>0.82619291543960571</v>
      </c>
      <c r="P6" s="3">
        <f>k_fold_luna16db_output!S4</f>
        <v>0.33812522888183594</v>
      </c>
    </row>
    <row r="7" spans="1:16" x14ac:dyDescent="0.25">
      <c r="A7" s="105"/>
      <c r="B7" s="105"/>
      <c r="C7" s="105"/>
      <c r="D7" s="3">
        <v>4</v>
      </c>
      <c r="E7" s="44">
        <f>k_fold_luna16db_output!D5</f>
        <v>0.88190954923629761</v>
      </c>
      <c r="F7">
        <f>k_fold_luna16db_output!E5</f>
        <v>0.37267079949378967</v>
      </c>
      <c r="G7">
        <f>k_fold_luna16db_output!F5</f>
        <v>0.60000002384185791</v>
      </c>
      <c r="H7">
        <f>k_fold_luna16db_output!G5</f>
        <v>0.45977011322975159</v>
      </c>
      <c r="I7">
        <f>k_fold_luna16db_output!H5</f>
        <v>0.88812613487243652</v>
      </c>
      <c r="J7" s="3">
        <f>k_fold_luna16db_output!I5</f>
        <v>0.52838146686553955</v>
      </c>
      <c r="K7">
        <f>k_fold_luna16db_output!N5</f>
        <v>0.86605781316757202</v>
      </c>
      <c r="L7">
        <f>k_fold_luna16db_output!O5</f>
        <v>0.31460675597190857</v>
      </c>
      <c r="M7">
        <f>k_fold_luna16db_output!P5</f>
        <v>0.50909090042114258</v>
      </c>
      <c r="N7">
        <f>k_fold_luna16db_output!Q5</f>
        <v>0.3888888955116272</v>
      </c>
      <c r="O7">
        <f>k_fold_luna16db_output!R5</f>
        <v>0.81362873315811157</v>
      </c>
      <c r="P7" s="3">
        <f>k_fold_luna16db_output!S5</f>
        <v>0.35676214098930359</v>
      </c>
    </row>
    <row r="8" spans="1:16" x14ac:dyDescent="0.25">
      <c r="A8" s="105"/>
      <c r="B8" s="105"/>
      <c r="C8" s="105">
        <v>34</v>
      </c>
      <c r="D8" s="3">
        <v>1</v>
      </c>
      <c r="E8" s="44">
        <f>k_fold_luna16db_output!D6</f>
        <v>0.85507243871688843</v>
      </c>
      <c r="F8">
        <f>k_fold_luna16db_output!E6</f>
        <v>0.35955056548118591</v>
      </c>
      <c r="G8">
        <f>k_fold_luna16db_output!F6</f>
        <v>0.53333336114883423</v>
      </c>
      <c r="H8">
        <f>k_fold_luna16db_output!G6</f>
        <v>0.42953020334243774</v>
      </c>
      <c r="I8">
        <f>k_fold_luna16db_output!H6</f>
        <v>0.83668094873428345</v>
      </c>
      <c r="J8" s="3">
        <f>k_fold_luna16db_output!I6</f>
        <v>0.35470432043075562</v>
      </c>
      <c r="K8">
        <f>k_fold_luna16db_output!N6</f>
        <v>0.87290716171264648</v>
      </c>
      <c r="L8">
        <f>k_fold_luna16db_output!O6</f>
        <v>0.33714285492897034</v>
      </c>
      <c r="M8">
        <f>k_fold_luna16db_output!P6</f>
        <v>0.53636366128921509</v>
      </c>
      <c r="N8">
        <f>k_fold_luna16db_output!Q6</f>
        <v>0.41403508186340332</v>
      </c>
      <c r="O8">
        <f>k_fold_luna16db_output!R6</f>
        <v>0.8464210033416748</v>
      </c>
      <c r="P8" s="3">
        <f>k_fold_luna16db_output!S6</f>
        <v>0.32204467058181763</v>
      </c>
    </row>
    <row r="9" spans="1:16" x14ac:dyDescent="0.25">
      <c r="A9" s="105"/>
      <c r="B9" s="105"/>
      <c r="C9" s="105"/>
      <c r="D9" s="3">
        <v>2</v>
      </c>
      <c r="E9" s="44">
        <f>k_fold_luna16db_output!D7</f>
        <v>0.90813010931015015</v>
      </c>
      <c r="F9">
        <f>k_fold_luna16db_output!E7</f>
        <v>0.50877195596694946</v>
      </c>
      <c r="G9">
        <f>k_fold_luna16db_output!F7</f>
        <v>0.25438597798347473</v>
      </c>
      <c r="H9">
        <f>k_fold_luna16db_output!G7</f>
        <v>0.33918127417564392</v>
      </c>
      <c r="I9">
        <f>k_fold_luna16db_output!H7</f>
        <v>0.87361663579940796</v>
      </c>
      <c r="J9" s="3">
        <f>k_fold_luna16db_output!I7</f>
        <v>0.40419590473175049</v>
      </c>
      <c r="K9">
        <f>k_fold_luna16db_output!N7</f>
        <v>0.91019785404205322</v>
      </c>
      <c r="L9">
        <f>k_fold_luna16db_output!O7</f>
        <v>0.43939393758773804</v>
      </c>
      <c r="M9">
        <f>k_fold_luna16db_output!P7</f>
        <v>0.26363635063171387</v>
      </c>
      <c r="N9">
        <f>k_fold_luna16db_output!Q7</f>
        <v>0.32954546809196472</v>
      </c>
      <c r="O9">
        <f>k_fold_luna16db_output!R7</f>
        <v>0.84615683555603027</v>
      </c>
      <c r="P9" s="3">
        <f>k_fold_luna16db_output!S7</f>
        <v>0.33921819925308228</v>
      </c>
    </row>
    <row r="10" spans="1:16" x14ac:dyDescent="0.25">
      <c r="A10" s="105"/>
      <c r="B10" s="105"/>
      <c r="C10" s="105"/>
      <c r="D10" s="3">
        <v>3</v>
      </c>
      <c r="E10" s="44">
        <f>k_fold_luna16db_output!D8</f>
        <v>0.90255588293075562</v>
      </c>
      <c r="F10">
        <f>k_fold_luna16db_output!E8</f>
        <v>0.42253521084785461</v>
      </c>
      <c r="G10">
        <f>k_fold_luna16db_output!F8</f>
        <v>0.27027025818824768</v>
      </c>
      <c r="H10">
        <f>k_fold_luna16db_output!G8</f>
        <v>0.32967033982276917</v>
      </c>
      <c r="I10">
        <f>k_fold_luna16db_output!H8</f>
        <v>0.84732067584991455</v>
      </c>
      <c r="J10" s="3">
        <f>k_fold_luna16db_output!I8</f>
        <v>0.37737250328063965</v>
      </c>
      <c r="K10">
        <f>k_fold_luna16db_output!N8</f>
        <v>0.91019785404205322</v>
      </c>
      <c r="L10">
        <f>k_fold_luna16db_output!O8</f>
        <v>0.44594594836235046</v>
      </c>
      <c r="M10">
        <f>k_fold_luna16db_output!P8</f>
        <v>0.30000001192092896</v>
      </c>
      <c r="N10">
        <f>k_fold_luna16db_output!Q8</f>
        <v>0.35869565606117249</v>
      </c>
      <c r="O10">
        <f>k_fold_luna16db_output!R8</f>
        <v>0.87485659122467041</v>
      </c>
      <c r="P10" s="3">
        <f>k_fold_luna16db_output!S8</f>
        <v>0.37571907043457031</v>
      </c>
    </row>
    <row r="11" spans="1:16" x14ac:dyDescent="0.25">
      <c r="A11" s="105"/>
      <c r="B11" s="105"/>
      <c r="C11" s="105"/>
      <c r="D11" s="3">
        <v>4</v>
      </c>
      <c r="E11" s="44">
        <f>k_fold_luna16db_output!D9</f>
        <v>0.92797321081161499</v>
      </c>
      <c r="F11">
        <f>k_fold_luna16db_output!E9</f>
        <v>0.75</v>
      </c>
      <c r="G11">
        <f>k_fold_luna16db_output!F9</f>
        <v>0.20999999344348907</v>
      </c>
      <c r="H11">
        <f>k_fold_luna16db_output!G9</f>
        <v>0.328125</v>
      </c>
      <c r="I11">
        <f>k_fold_luna16db_output!H9</f>
        <v>0.87060332298278809</v>
      </c>
      <c r="J11" s="3">
        <f>k_fold_luna16db_output!I9</f>
        <v>0.4950718879699707</v>
      </c>
      <c r="K11">
        <f>k_fold_luna16db_output!N9</f>
        <v>0.9162861704826355</v>
      </c>
      <c r="L11">
        <f>k_fold_luna16db_output!O9</f>
        <v>0.5</v>
      </c>
      <c r="M11">
        <f>k_fold_luna16db_output!P9</f>
        <v>0.16363635659217834</v>
      </c>
      <c r="N11">
        <f>k_fold_luna16db_output!Q9</f>
        <v>0.24657534062862396</v>
      </c>
      <c r="O11">
        <f>k_fold_luna16db_output!R9</f>
        <v>0.83798706531524658</v>
      </c>
      <c r="P11" s="3">
        <f>k_fold_luna16db_output!S9</f>
        <v>0.32807037234306335</v>
      </c>
    </row>
    <row r="12" spans="1:16" x14ac:dyDescent="0.25">
      <c r="A12" s="105"/>
      <c r="B12" s="105"/>
      <c r="C12" s="105">
        <v>50</v>
      </c>
      <c r="D12" s="3">
        <v>1</v>
      </c>
      <c r="E12" s="44">
        <f>k_fold_luna16db_output!D10</f>
        <v>0.86615514755249023</v>
      </c>
      <c r="F12">
        <f>k_fold_luna16db_output!E10</f>
        <v>0.35658913850784302</v>
      </c>
      <c r="G12">
        <f>k_fold_luna16db_output!F10</f>
        <v>0.38333332538604736</v>
      </c>
      <c r="H12">
        <f>k_fold_luna16db_output!G10</f>
        <v>0.36947789788246155</v>
      </c>
      <c r="I12">
        <f>k_fold_luna16db_output!H10</f>
        <v>0.82415312528610229</v>
      </c>
      <c r="J12" s="3">
        <f>k_fold_luna16db_output!I10</f>
        <v>0.37224280834197998</v>
      </c>
      <c r="K12">
        <f>k_fold_luna16db_output!N10</f>
        <v>0.8782343864440918</v>
      </c>
      <c r="L12">
        <f>k_fold_luna16db_output!O10</f>
        <v>0.3310810923576355</v>
      </c>
      <c r="M12">
        <f>k_fold_luna16db_output!P10</f>
        <v>0.44545453786849976</v>
      </c>
      <c r="N12">
        <f>k_fold_luna16db_output!Q10</f>
        <v>0.37984496355056763</v>
      </c>
      <c r="O12">
        <f>k_fold_luna16db_output!R10</f>
        <v>0.84356689453125</v>
      </c>
      <c r="P12" s="3">
        <f>k_fold_luna16db_output!S10</f>
        <v>0.35837206244468689</v>
      </c>
    </row>
    <row r="13" spans="1:16" x14ac:dyDescent="0.25">
      <c r="A13" s="105"/>
      <c r="B13" s="105"/>
      <c r="C13" s="105"/>
      <c r="D13" s="3">
        <v>2</v>
      </c>
      <c r="E13" s="44">
        <f>k_fold_luna16db_output!D11</f>
        <v>0.9154471755027771</v>
      </c>
      <c r="F13">
        <f>k_fold_luna16db_output!E11</f>
        <v>0.55102038383483887</v>
      </c>
      <c r="G13">
        <f>k_fold_luna16db_output!F11</f>
        <v>0.47368422150611877</v>
      </c>
      <c r="H13">
        <f>k_fold_luna16db_output!G11</f>
        <v>0.50943398475646973</v>
      </c>
      <c r="I13">
        <f>k_fold_luna16db_output!H11</f>
        <v>0.88807141780853271</v>
      </c>
      <c r="J13" s="3">
        <f>k_fold_luna16db_output!I11</f>
        <v>0.49678730964660645</v>
      </c>
      <c r="K13">
        <f>k_fold_luna16db_output!N11</f>
        <v>0.89345508813858032</v>
      </c>
      <c r="L13">
        <f>k_fold_luna16db_output!O11</f>
        <v>0.34375</v>
      </c>
      <c r="M13">
        <f>k_fold_luna16db_output!P11</f>
        <v>0.30000001192092896</v>
      </c>
      <c r="N13">
        <f>k_fold_luna16db_output!Q11</f>
        <v>0.32038834691047668</v>
      </c>
      <c r="O13">
        <f>k_fold_luna16db_output!R11</f>
        <v>0.84879946708679199</v>
      </c>
      <c r="P13" s="3">
        <f>k_fold_luna16db_output!S11</f>
        <v>0.32130381464958191</v>
      </c>
    </row>
    <row r="14" spans="1:16" x14ac:dyDescent="0.25">
      <c r="A14" s="105"/>
      <c r="B14" s="105"/>
      <c r="C14" s="105"/>
      <c r="D14" s="3">
        <v>3</v>
      </c>
      <c r="E14" s="44">
        <f>k_fold_luna16db_output!D12</f>
        <v>0.88977634906768799</v>
      </c>
      <c r="F14">
        <f>k_fold_luna16db_output!E12</f>
        <v>0.38842976093292236</v>
      </c>
      <c r="G14">
        <f>k_fold_luna16db_output!F12</f>
        <v>0.4234234094619751</v>
      </c>
      <c r="H14">
        <f>k_fold_luna16db_output!G12</f>
        <v>0.40517240762710571</v>
      </c>
      <c r="I14">
        <f>k_fold_luna16db_output!H12</f>
        <v>0.85340815782546997</v>
      </c>
      <c r="J14" s="3">
        <f>k_fold_luna16db_output!I12</f>
        <v>0.40808600187301636</v>
      </c>
      <c r="K14">
        <f>k_fold_luna16db_output!N12</f>
        <v>0.88127851486206055</v>
      </c>
      <c r="L14">
        <f>k_fold_luna16db_output!O12</f>
        <v>0.33571428060531616</v>
      </c>
      <c r="M14">
        <f>k_fold_luna16db_output!P12</f>
        <v>0.4272727370262146</v>
      </c>
      <c r="N14">
        <f>k_fold_luna16db_output!Q12</f>
        <v>0.37599998712539673</v>
      </c>
      <c r="O14">
        <f>k_fold_luna16db_output!R12</f>
        <v>0.83651471138000488</v>
      </c>
      <c r="P14" s="3">
        <f>k_fold_luna16db_output!S12</f>
        <v>0.32147696614265442</v>
      </c>
    </row>
    <row r="15" spans="1:16" x14ac:dyDescent="0.25">
      <c r="A15" s="107"/>
      <c r="B15" s="107"/>
      <c r="C15" s="107"/>
      <c r="D15" s="8">
        <v>4</v>
      </c>
      <c r="E15" s="32">
        <f>k_fold_luna16db_output!D13</f>
        <v>0.9179229736328125</v>
      </c>
      <c r="F15" s="7">
        <f>k_fold_luna16db_output!E13</f>
        <v>0.50925928354263306</v>
      </c>
      <c r="G15" s="7">
        <f>k_fold_luna16db_output!F13</f>
        <v>0.55000001192092896</v>
      </c>
      <c r="H15" s="7">
        <f>k_fold_luna16db_output!G13</f>
        <v>0.5288461446762085</v>
      </c>
      <c r="I15" s="7">
        <f>k_fold_luna16db_output!H13</f>
        <v>0.88712066411972046</v>
      </c>
      <c r="J15" s="8">
        <f>k_fold_luna16db_output!I13</f>
        <v>0.54123437404632568</v>
      </c>
      <c r="K15" s="7">
        <f>k_fold_luna16db_output!N13</f>
        <v>0.8782343864440918</v>
      </c>
      <c r="L15" s="7">
        <f>k_fold_luna16db_output!O13</f>
        <v>0.3046875</v>
      </c>
      <c r="M15" s="7">
        <f>k_fold_luna16db_output!P13</f>
        <v>0.35454544425010681</v>
      </c>
      <c r="N15" s="7">
        <f>k_fold_luna16db_output!Q13</f>
        <v>0.32773110270500183</v>
      </c>
      <c r="O15" s="7">
        <f>k_fold_luna16db_output!R13</f>
        <v>0.84009361267089844</v>
      </c>
      <c r="P15" s="8">
        <f>k_fold_luna16db_output!S13</f>
        <v>0.31534093618392944</v>
      </c>
    </row>
    <row r="16" spans="1:16" x14ac:dyDescent="0.25">
      <c r="A16" s="103" t="s">
        <v>24</v>
      </c>
      <c r="B16" s="103" t="s">
        <v>21</v>
      </c>
      <c r="C16" s="105">
        <v>18</v>
      </c>
      <c r="D16" s="3">
        <v>1</v>
      </c>
      <c r="E16" s="44">
        <f>k_fold_luna16db_output!D14</f>
        <v>0.84910488128662109</v>
      </c>
      <c r="F16">
        <f>k_fold_luna16db_output!E14</f>
        <v>0.35384616255760193</v>
      </c>
      <c r="G16">
        <f>k_fold_luna16db_output!F14</f>
        <v>0.57499998807907104</v>
      </c>
      <c r="H16">
        <f>k_fold_luna16db_output!G14</f>
        <v>0.43809524178504944</v>
      </c>
      <c r="I16">
        <f>k_fold_luna16db_output!H14</f>
        <v>0.85629159212112427</v>
      </c>
      <c r="J16" s="3">
        <f>k_fold_luna16db_output!I14</f>
        <v>0.34919330477714539</v>
      </c>
      <c r="K16">
        <f>k_fold_luna16db_output!N14</f>
        <v>0.84779298305511475</v>
      </c>
      <c r="L16">
        <f>k_fold_luna16db_output!O14</f>
        <v>0.29545453190803528</v>
      </c>
      <c r="M16">
        <f>k_fold_luna16db_output!P14</f>
        <v>0.59090906381607056</v>
      </c>
      <c r="N16">
        <f>k_fold_luna16db_output!Q14</f>
        <v>0.39393940567970276</v>
      </c>
      <c r="O16">
        <f>k_fold_luna16db_output!R14</f>
        <v>0.86011022329330444</v>
      </c>
      <c r="P16" s="3">
        <f>k_fold_luna16db_output!S14</f>
        <v>0.41020861268043518</v>
      </c>
    </row>
    <row r="17" spans="1:16" x14ac:dyDescent="0.25">
      <c r="A17" s="105"/>
      <c r="B17" s="105"/>
      <c r="C17" s="105"/>
      <c r="D17" s="3">
        <v>2</v>
      </c>
      <c r="E17" s="44">
        <f>k_fold_luna16db_output!D15</f>
        <v>0.89999997615814209</v>
      </c>
      <c r="F17">
        <f>k_fold_luna16db_output!E15</f>
        <v>0.46853145956993103</v>
      </c>
      <c r="G17">
        <f>k_fold_luna16db_output!F15</f>
        <v>0.58771932125091553</v>
      </c>
      <c r="H17">
        <f>k_fold_luna16db_output!G15</f>
        <v>0.52140074968338013</v>
      </c>
      <c r="I17">
        <f>k_fold_luna16db_output!H15</f>
        <v>0.89829748868942261</v>
      </c>
      <c r="J17" s="3">
        <f>k_fold_luna16db_output!I15</f>
        <v>0.56973749399185181</v>
      </c>
      <c r="K17">
        <f>k_fold_luna16db_output!N15</f>
        <v>0.88584476709365845</v>
      </c>
      <c r="L17">
        <f>k_fold_luna16db_output!O15</f>
        <v>0.36666667461395264</v>
      </c>
      <c r="M17">
        <f>k_fold_luna16db_output!P15</f>
        <v>0.5</v>
      </c>
      <c r="N17">
        <f>k_fold_luna16db_output!Q15</f>
        <v>0.42307692766189575</v>
      </c>
      <c r="O17">
        <f>k_fold_luna16db_output!R15</f>
        <v>0.85652369260787964</v>
      </c>
      <c r="P17" s="3">
        <f>k_fold_luna16db_output!S15</f>
        <v>0.41629785299301147</v>
      </c>
    </row>
    <row r="18" spans="1:16" x14ac:dyDescent="0.25">
      <c r="A18" s="105"/>
      <c r="B18" s="105"/>
      <c r="C18" s="105"/>
      <c r="D18" s="3">
        <v>3</v>
      </c>
      <c r="E18" s="44">
        <f>k_fold_luna16db_output!D16</f>
        <v>0.88498401641845703</v>
      </c>
      <c r="F18">
        <f>k_fold_luna16db_output!E16</f>
        <v>0.40000000596046448</v>
      </c>
      <c r="G18">
        <f>k_fold_luna16db_output!F16</f>
        <v>0.59459459781646729</v>
      </c>
      <c r="H18">
        <f>k_fold_luna16db_output!G16</f>
        <v>0.47826087474822998</v>
      </c>
      <c r="I18">
        <f>k_fold_luna16db_output!H16</f>
        <v>0.86212509870529175</v>
      </c>
      <c r="J18" s="3">
        <f>k_fold_luna16db_output!I16</f>
        <v>0.41715344786643982</v>
      </c>
      <c r="K18">
        <f>k_fold_luna16db_output!N16</f>
        <v>0.8554033637046814</v>
      </c>
      <c r="L18">
        <f>k_fold_luna16db_output!O16</f>
        <v>0.30392158031463623</v>
      </c>
      <c r="M18">
        <f>k_fold_luna16db_output!P16</f>
        <v>0.56363636255264282</v>
      </c>
      <c r="N18">
        <f>k_fold_luna16db_output!Q16</f>
        <v>0.39490446448326111</v>
      </c>
      <c r="O18">
        <f>k_fold_luna16db_output!R16</f>
        <v>0.85362428426742554</v>
      </c>
      <c r="P18" s="3">
        <f>k_fold_luna16db_output!S16</f>
        <v>0.42625048756599426</v>
      </c>
    </row>
    <row r="19" spans="1:16" x14ac:dyDescent="0.25">
      <c r="A19" s="105"/>
      <c r="B19" s="105"/>
      <c r="C19" s="105"/>
      <c r="D19" s="3">
        <v>4</v>
      </c>
      <c r="E19" s="44">
        <f>k_fold_luna16db_output!D17</f>
        <v>0.9162479043006897</v>
      </c>
      <c r="F19">
        <f>k_fold_luna16db_output!E17</f>
        <v>0.5</v>
      </c>
      <c r="G19">
        <f>k_fold_luna16db_output!F17</f>
        <v>0.61000001430511475</v>
      </c>
      <c r="H19">
        <f>k_fold_luna16db_output!G17</f>
        <v>0.54954952001571655</v>
      </c>
      <c r="I19">
        <f>k_fold_luna16db_output!H17</f>
        <v>0.88748627901077271</v>
      </c>
      <c r="J19" s="3">
        <f>k_fold_luna16db_output!I17</f>
        <v>0.47303581237792969</v>
      </c>
      <c r="K19">
        <f>k_fold_luna16db_output!N17</f>
        <v>0.89573818445205688</v>
      </c>
      <c r="L19">
        <f>k_fold_luna16db_output!O17</f>
        <v>0.40145984292030334</v>
      </c>
      <c r="M19">
        <f>k_fold_luna16db_output!P17</f>
        <v>0.5</v>
      </c>
      <c r="N19">
        <f>k_fold_luna16db_output!Q17</f>
        <v>0.44534412026405334</v>
      </c>
      <c r="O19">
        <f>k_fold_luna16db_output!R17</f>
        <v>0.87231200933456421</v>
      </c>
      <c r="P19" s="3">
        <f>k_fold_luna16db_output!S17</f>
        <v>0.45742598176002502</v>
      </c>
    </row>
    <row r="20" spans="1:16" x14ac:dyDescent="0.25">
      <c r="A20" s="105"/>
      <c r="B20" s="105"/>
      <c r="C20" s="105">
        <v>34</v>
      </c>
      <c r="D20" s="3">
        <v>1</v>
      </c>
      <c r="E20" s="44">
        <f>k_fold_luna16db_output!D18</f>
        <v>0.8388746976852417</v>
      </c>
      <c r="F20">
        <f>k_fold_luna16db_output!E18</f>
        <v>0.3349282443523407</v>
      </c>
      <c r="G20">
        <f>k_fold_luna16db_output!F18</f>
        <v>0.58333331346511841</v>
      </c>
      <c r="H20">
        <f>k_fold_luna16db_output!G18</f>
        <v>0.42553192377090454</v>
      </c>
      <c r="I20">
        <f>k_fold_luna16db_output!H18</f>
        <v>0.85293608903884888</v>
      </c>
      <c r="J20" s="3">
        <f>k_fold_luna16db_output!I18</f>
        <v>0.39459502696990967</v>
      </c>
      <c r="K20">
        <f>k_fold_luna16db_output!N18</f>
        <v>0.84170472621917725</v>
      </c>
      <c r="L20">
        <f>k_fold_luna16db_output!O18</f>
        <v>0.29752066731452942</v>
      </c>
      <c r="M20">
        <f>k_fold_luna16db_output!P18</f>
        <v>0.65454542636871338</v>
      </c>
      <c r="N20">
        <f>k_fold_luna16db_output!Q18</f>
        <v>0.40909090638160706</v>
      </c>
      <c r="O20">
        <f>k_fold_luna16db_output!R18</f>
        <v>0.84395194053649902</v>
      </c>
      <c r="P20" s="3">
        <f>k_fold_luna16db_output!S18</f>
        <v>0.36986622214317322</v>
      </c>
    </row>
    <row r="21" spans="1:16" x14ac:dyDescent="0.25">
      <c r="A21" s="105"/>
      <c r="B21" s="105"/>
      <c r="C21" s="105"/>
      <c r="D21" s="3">
        <v>2</v>
      </c>
      <c r="E21" s="44">
        <f>k_fold_luna16db_output!D19</f>
        <v>0.90487802028656006</v>
      </c>
      <c r="F21">
        <f>k_fold_luna16db_output!E19</f>
        <v>0.48717948794364929</v>
      </c>
      <c r="G21">
        <f>k_fold_luna16db_output!F19</f>
        <v>0.5</v>
      </c>
      <c r="H21">
        <f>k_fold_luna16db_output!G19</f>
        <v>0.49350649118423462</v>
      </c>
      <c r="I21">
        <f>k_fold_luna16db_output!H19</f>
        <v>0.89317268133163452</v>
      </c>
      <c r="J21" s="3">
        <f>k_fold_luna16db_output!I19</f>
        <v>0.53546810150146484</v>
      </c>
      <c r="K21">
        <f>k_fold_luna16db_output!N19</f>
        <v>0.8888888955116272</v>
      </c>
      <c r="L21">
        <f>k_fold_luna16db_output!O19</f>
        <v>0.36567163467407227</v>
      </c>
      <c r="M21">
        <f>k_fold_luna16db_output!P19</f>
        <v>0.44545453786849976</v>
      </c>
      <c r="N21">
        <f>k_fold_luna16db_output!Q19</f>
        <v>0.40163934230804443</v>
      </c>
      <c r="O21">
        <f>k_fold_luna16db_output!R19</f>
        <v>0.86241310834884644</v>
      </c>
      <c r="P21" s="3">
        <f>k_fold_luna16db_output!S19</f>
        <v>0.42060226202011108</v>
      </c>
    </row>
    <row r="22" spans="1:16" x14ac:dyDescent="0.25">
      <c r="A22" s="105"/>
      <c r="B22" s="105"/>
      <c r="C22" s="105"/>
      <c r="D22" s="3">
        <v>3</v>
      </c>
      <c r="E22" s="44">
        <f>k_fold_luna16db_output!D20</f>
        <v>0.90495204925537109</v>
      </c>
      <c r="F22">
        <f>k_fold_luna16db_output!E20</f>
        <v>0.4583333432674408</v>
      </c>
      <c r="G22">
        <f>k_fold_luna16db_output!F20</f>
        <v>0.39639639854431152</v>
      </c>
      <c r="H22">
        <f>k_fold_luna16db_output!G20</f>
        <v>0.4251207709312439</v>
      </c>
      <c r="I22">
        <f>k_fold_luna16db_output!H20</f>
        <v>0.87024968862533569</v>
      </c>
      <c r="J22" s="3">
        <f>k_fold_luna16db_output!I20</f>
        <v>0.39742696285247803</v>
      </c>
      <c r="K22">
        <f>k_fold_luna16db_output!N20</f>
        <v>0.8995434045791626</v>
      </c>
      <c r="L22">
        <f>k_fold_luna16db_output!O20</f>
        <v>0.4140625</v>
      </c>
      <c r="M22">
        <f>k_fold_luna16db_output!P20</f>
        <v>0.48181816935539246</v>
      </c>
      <c r="N22">
        <f>k_fold_luna16db_output!Q20</f>
        <v>0.44537815451622009</v>
      </c>
      <c r="O22">
        <f>k_fold_luna16db_output!R20</f>
        <v>0.876517653465271</v>
      </c>
      <c r="P22" s="3">
        <f>k_fold_luna16db_output!S20</f>
        <v>0.44919180870056152</v>
      </c>
    </row>
    <row r="23" spans="1:16" x14ac:dyDescent="0.25">
      <c r="A23" s="105"/>
      <c r="B23" s="105"/>
      <c r="C23" s="105"/>
      <c r="D23" s="3">
        <v>4</v>
      </c>
      <c r="E23" s="44">
        <f>k_fold_luna16db_output!D21</f>
        <v>0.8919597864151001</v>
      </c>
      <c r="F23">
        <f>k_fold_luna16db_output!E21</f>
        <v>0.40000000596046448</v>
      </c>
      <c r="G23">
        <f>k_fold_luna16db_output!F21</f>
        <v>0.57999998331069946</v>
      </c>
      <c r="H23">
        <f>k_fold_luna16db_output!G21</f>
        <v>0.47346937656402588</v>
      </c>
      <c r="I23">
        <f>k_fold_luna16db_output!H21</f>
        <v>0.87591403722763062</v>
      </c>
      <c r="J23" s="3">
        <f>k_fold_luna16db_output!I21</f>
        <v>0.39654123783111572</v>
      </c>
      <c r="K23">
        <f>k_fold_luna16db_output!N21</f>
        <v>0.86225265264511108</v>
      </c>
      <c r="L23">
        <f>k_fold_luna16db_output!O21</f>
        <v>0.31413611769676208</v>
      </c>
      <c r="M23">
        <f>k_fold_luna16db_output!P21</f>
        <v>0.54545456171035767</v>
      </c>
      <c r="N23">
        <f>k_fold_luna16db_output!Q21</f>
        <v>0.39867109060287476</v>
      </c>
      <c r="O23">
        <f>k_fold_luna16db_output!R21</f>
        <v>0.83094233274459839</v>
      </c>
      <c r="P23" s="3">
        <f>k_fold_luna16db_output!S21</f>
        <v>0.35366618633270264</v>
      </c>
    </row>
    <row r="24" spans="1:16" x14ac:dyDescent="0.25">
      <c r="A24" s="105"/>
      <c r="B24" s="105"/>
      <c r="C24" s="105">
        <v>50</v>
      </c>
      <c r="D24" s="3">
        <v>1</v>
      </c>
      <c r="E24" s="44">
        <f>k_fold_luna16db_output!D22</f>
        <v>0.87553280591964722</v>
      </c>
      <c r="F24">
        <f>k_fold_luna16db_output!E22</f>
        <v>0.3839285671710968</v>
      </c>
      <c r="G24">
        <f>k_fold_luna16db_output!F22</f>
        <v>0.35833331942558289</v>
      </c>
      <c r="H24">
        <f>k_fold_luna16db_output!G22</f>
        <v>0.37068966031074524</v>
      </c>
      <c r="I24">
        <f>k_fold_luna16db_output!H22</f>
        <v>0.87257832288742065</v>
      </c>
      <c r="J24" s="3">
        <f>k_fold_luna16db_output!I22</f>
        <v>0.41111811995506287</v>
      </c>
      <c r="K24">
        <f>k_fold_luna16db_output!N22</f>
        <v>0.88432270288467407</v>
      </c>
      <c r="L24">
        <f>k_fold_luna16db_output!O22</f>
        <v>0.35810810327529913</v>
      </c>
      <c r="M24">
        <f>k_fold_luna16db_output!P22</f>
        <v>0.48181816935539246</v>
      </c>
      <c r="N24">
        <f>k_fold_luna16db_output!Q22</f>
        <v>0.41085270047187805</v>
      </c>
      <c r="O24">
        <f>k_fold_luna16db_output!R22</f>
        <v>0.86763060092926025</v>
      </c>
      <c r="P24" s="3">
        <f>k_fold_luna16db_output!S22</f>
        <v>0.41785532236099243</v>
      </c>
    </row>
    <row r="25" spans="1:16" x14ac:dyDescent="0.25">
      <c r="A25" s="105"/>
      <c r="B25" s="105"/>
      <c r="C25" s="105"/>
      <c r="D25" s="3">
        <v>2</v>
      </c>
      <c r="E25" s="44">
        <f>k_fold_luna16db_output!D23</f>
        <v>0.87398374080657959</v>
      </c>
      <c r="F25">
        <f>k_fold_luna16db_output!E23</f>
        <v>0.40284359455108643</v>
      </c>
      <c r="G25">
        <f>k_fold_luna16db_output!F23</f>
        <v>0.74561405181884766</v>
      </c>
      <c r="H25">
        <f>k_fold_luna16db_output!G23</f>
        <v>0.52307695150375366</v>
      </c>
      <c r="I25">
        <f>k_fold_luna16db_output!H23</f>
        <v>0.89854896068572998</v>
      </c>
      <c r="J25" s="3">
        <f>k_fold_luna16db_output!I23</f>
        <v>0.4933907687664032</v>
      </c>
      <c r="K25">
        <f>k_fold_luna16db_output!N23</f>
        <v>0.844748854637146</v>
      </c>
      <c r="L25">
        <f>k_fold_luna16db_output!O23</f>
        <v>0.30084747076034546</v>
      </c>
      <c r="M25">
        <f>k_fold_luna16db_output!P23</f>
        <v>0.6454545259475708</v>
      </c>
      <c r="N25">
        <f>k_fold_luna16db_output!Q23</f>
        <v>0.41040462255477905</v>
      </c>
      <c r="O25">
        <f>k_fold_luna16db_output!R23</f>
        <v>0.85516464710235596</v>
      </c>
      <c r="P25" s="3">
        <f>k_fold_luna16db_output!S23</f>
        <v>0.41472384333610535</v>
      </c>
    </row>
    <row r="26" spans="1:16" x14ac:dyDescent="0.25">
      <c r="A26" s="105"/>
      <c r="B26" s="105"/>
      <c r="C26" s="105"/>
      <c r="D26" s="3">
        <v>3</v>
      </c>
      <c r="E26" s="44">
        <f>k_fold_luna16db_output!D24</f>
        <v>0.88019168376922607</v>
      </c>
      <c r="F26">
        <f>k_fold_luna16db_output!E24</f>
        <v>0.38596490025520325</v>
      </c>
      <c r="G26">
        <f>k_fold_luna16db_output!F24</f>
        <v>0.59459459781646729</v>
      </c>
      <c r="H26">
        <f>k_fold_luna16db_output!G24</f>
        <v>0.46808511018753052</v>
      </c>
      <c r="I26">
        <f>k_fold_luna16db_output!H24</f>
        <v>0.86625444889068604</v>
      </c>
      <c r="J26" s="3">
        <f>k_fold_luna16db_output!I24</f>
        <v>0.42262500524520874</v>
      </c>
      <c r="K26">
        <f>k_fold_luna16db_output!N24</f>
        <v>0.86757993698120117</v>
      </c>
      <c r="L26">
        <f>k_fold_luna16db_output!O24</f>
        <v>0.33505153656005859</v>
      </c>
      <c r="M26">
        <f>k_fold_luna16db_output!P24</f>
        <v>0.59090906381607056</v>
      </c>
      <c r="N26">
        <f>k_fold_luna16db_output!Q24</f>
        <v>0.42763158679008484</v>
      </c>
      <c r="O26">
        <f>k_fold_luna16db_output!R24</f>
        <v>0.85499846935272217</v>
      </c>
      <c r="P26" s="3">
        <f>k_fold_luna16db_output!S24</f>
        <v>0.40342152118682861</v>
      </c>
    </row>
    <row r="27" spans="1:16" x14ac:dyDescent="0.25">
      <c r="A27" s="107"/>
      <c r="B27" s="107"/>
      <c r="C27" s="107"/>
      <c r="D27" s="8">
        <v>4</v>
      </c>
      <c r="E27" s="32">
        <f>k_fold_luna16db_output!D25</f>
        <v>0.89028477668762207</v>
      </c>
      <c r="F27" s="7">
        <f>k_fold_luna16db_output!E25</f>
        <v>0.39735099673271179</v>
      </c>
      <c r="G27" s="7">
        <f>k_fold_luna16db_output!F25</f>
        <v>0.60000002384185791</v>
      </c>
      <c r="H27" s="7">
        <f>k_fold_luna16db_output!G25</f>
        <v>0.4780876636505127</v>
      </c>
      <c r="I27" s="7">
        <f>k_fold_luna16db_output!H25</f>
        <v>0.87142598628997803</v>
      </c>
      <c r="J27" s="8">
        <f>k_fold_luna16db_output!I25</f>
        <v>0.38470578193664551</v>
      </c>
      <c r="K27" s="7">
        <f>k_fold_luna16db_output!N25</f>
        <v>0.86910200119018555</v>
      </c>
      <c r="L27" s="7">
        <f>k_fold_luna16db_output!O25</f>
        <v>0.32584270834922791</v>
      </c>
      <c r="M27" s="7">
        <f>k_fold_luna16db_output!P25</f>
        <v>0.52727270126342773</v>
      </c>
      <c r="N27" s="7">
        <f>k_fold_luna16db_output!Q25</f>
        <v>0.40277779102325439</v>
      </c>
      <c r="O27" s="7">
        <f>k_fold_luna16db_output!R25</f>
        <v>0.84113562107086182</v>
      </c>
      <c r="P27" s="8">
        <f>k_fold_luna16db_output!S25</f>
        <v>0.2953987717628479</v>
      </c>
    </row>
    <row r="28" spans="1:16" x14ac:dyDescent="0.25">
      <c r="A28" s="103" t="s">
        <v>24</v>
      </c>
      <c r="B28" s="103" t="s">
        <v>27</v>
      </c>
      <c r="C28" s="103"/>
      <c r="D28" s="10">
        <v>1</v>
      </c>
      <c r="E28" s="44">
        <f>k_fold_luna16db_output!D26</f>
        <v>0.84143221378326416</v>
      </c>
      <c r="F28">
        <f>k_fold_luna16db_output!E26</f>
        <v>0.29878050088882446</v>
      </c>
      <c r="G28">
        <f>k_fold_luna16db_output!F26</f>
        <v>0.40833333134651184</v>
      </c>
      <c r="H28">
        <f>k_fold_luna16db_output!G26</f>
        <v>0.34507042169570923</v>
      </c>
      <c r="I28">
        <f>k_fold_luna16db_output!H26</f>
        <v>0.8084757924079895</v>
      </c>
      <c r="J28" s="3">
        <f>k_fold_luna16db_output!I26</f>
        <v>0.29249930381774902</v>
      </c>
      <c r="K28">
        <f>k_fold_luna16db_output!N26</f>
        <v>0.8508371114730835</v>
      </c>
      <c r="L28">
        <f>k_fold_luna16db_output!O26</f>
        <v>0.27127659320831299</v>
      </c>
      <c r="M28">
        <f>k_fold_luna16db_output!P26</f>
        <v>0.4636363685131073</v>
      </c>
      <c r="N28">
        <f>k_fold_luna16db_output!Q26</f>
        <v>0.34228187799453735</v>
      </c>
      <c r="O28">
        <f>k_fold_luna16db_output!R26</f>
        <v>0.81119757890701294</v>
      </c>
      <c r="P28" s="3">
        <f>k_fold_luna16db_output!S26</f>
        <v>0.25189876556396484</v>
      </c>
    </row>
    <row r="29" spans="1:16" x14ac:dyDescent="0.25">
      <c r="A29" s="105"/>
      <c r="B29" s="105"/>
      <c r="C29" s="105"/>
      <c r="D29" s="3">
        <v>2</v>
      </c>
      <c r="E29" s="44">
        <f>k_fold_luna16db_output!D27</f>
        <v>0.89918696880340576</v>
      </c>
      <c r="F29">
        <f>k_fold_luna16db_output!E27</f>
        <v>0.40000000596046448</v>
      </c>
      <c r="G29">
        <f>k_fold_luna16db_output!F27</f>
        <v>0.17543859779834747</v>
      </c>
      <c r="H29">
        <f>k_fold_luna16db_output!G27</f>
        <v>0.24390244483947754</v>
      </c>
      <c r="I29">
        <f>k_fold_luna16db_output!H27</f>
        <v>0.79900020360946655</v>
      </c>
      <c r="J29" s="3">
        <f>k_fold_luna16db_output!I27</f>
        <v>0.29220038652420044</v>
      </c>
      <c r="K29">
        <f>k_fold_luna16db_output!N27</f>
        <v>0.9056316614151001</v>
      </c>
      <c r="L29">
        <f>k_fold_luna16db_output!O27</f>
        <v>0.34090909361839294</v>
      </c>
      <c r="M29">
        <f>k_fold_luna16db_output!P27</f>
        <v>0.13636364042758942</v>
      </c>
      <c r="N29">
        <f>k_fold_luna16db_output!Q27</f>
        <v>0.19480518996715546</v>
      </c>
      <c r="O29">
        <f>k_fold_luna16db_output!R27</f>
        <v>0.77353519201278687</v>
      </c>
      <c r="P29" s="3">
        <f>k_fold_luna16db_output!S27</f>
        <v>0.25516399741172791</v>
      </c>
    </row>
    <row r="30" spans="1:16" x14ac:dyDescent="0.25">
      <c r="A30" s="105"/>
      <c r="B30" s="105"/>
      <c r="C30" s="105"/>
      <c r="D30" s="3">
        <v>3</v>
      </c>
      <c r="E30" s="44">
        <f>k_fold_luna16db_output!D28</f>
        <v>0.88897764682769775</v>
      </c>
      <c r="F30">
        <f>k_fold_luna16db_output!E28</f>
        <v>0.35106381773948669</v>
      </c>
      <c r="G30">
        <f>k_fold_luna16db_output!F28</f>
        <v>0.29729729890823364</v>
      </c>
      <c r="H30">
        <f>k_fold_luna16db_output!G28</f>
        <v>0.32195121049880981</v>
      </c>
      <c r="I30">
        <f>k_fold_luna16db_output!H28</f>
        <v>0.7722165584564209</v>
      </c>
      <c r="J30" s="3">
        <f>k_fold_luna16db_output!I28</f>
        <v>0.3199215829372406</v>
      </c>
      <c r="K30">
        <f>k_fold_luna16db_output!N28</f>
        <v>0.86453574895858765</v>
      </c>
      <c r="L30">
        <f>k_fold_luna16db_output!O28</f>
        <v>0.234375</v>
      </c>
      <c r="M30">
        <f>k_fold_luna16db_output!P28</f>
        <v>0.27272728085517883</v>
      </c>
      <c r="N30">
        <f>k_fold_luna16db_output!Q28</f>
        <v>0.25210085511207581</v>
      </c>
      <c r="O30">
        <f>k_fold_luna16db_output!R28</f>
        <v>0.74747055768966675</v>
      </c>
      <c r="P30" s="3">
        <f>k_fold_luna16db_output!S28</f>
        <v>0.23095114529132843</v>
      </c>
    </row>
    <row r="31" spans="1:16" x14ac:dyDescent="0.25">
      <c r="A31" s="107"/>
      <c r="B31" s="107"/>
      <c r="C31" s="107"/>
      <c r="D31" s="8">
        <v>4</v>
      </c>
      <c r="E31" s="32">
        <f>k_fold_luna16db_output!D29</f>
        <v>0.90117251873016357</v>
      </c>
      <c r="F31" s="7">
        <f>k_fold_luna16db_output!E29</f>
        <v>0.37142857909202576</v>
      </c>
      <c r="G31" s="7">
        <f>k_fold_luna16db_output!F29</f>
        <v>0.25999999046325684</v>
      </c>
      <c r="H31" s="7">
        <f>k_fold_luna16db_output!G29</f>
        <v>0.30588236451148987</v>
      </c>
      <c r="I31" s="7">
        <f>k_fold_luna16db_output!H29</f>
        <v>0.84933280944824219</v>
      </c>
      <c r="J31" s="8">
        <f>k_fold_luna16db_output!I29</f>
        <v>0.35585764050483704</v>
      </c>
      <c r="K31" s="7">
        <f>k_fold_luna16db_output!N29</f>
        <v>0.88964992761611938</v>
      </c>
      <c r="L31" s="7">
        <f>k_fold_luna16db_output!O29</f>
        <v>0.30337077379226685</v>
      </c>
      <c r="M31" s="7">
        <f>k_fold_luna16db_output!P29</f>
        <v>0.24545454978942871</v>
      </c>
      <c r="N31" s="7">
        <f>k_fold_luna16db_output!Q29</f>
        <v>0.27135679125785828</v>
      </c>
      <c r="O31" s="7">
        <f>k_fold_luna16db_output!R29</f>
        <v>0.81559956073760986</v>
      </c>
      <c r="P31" s="8">
        <f>k_fold_luna16db_output!S29</f>
        <v>0.27385705709457397</v>
      </c>
    </row>
  </sheetData>
  <mergeCells count="31">
    <mergeCell ref="A28:A31"/>
    <mergeCell ref="B28:C31"/>
    <mergeCell ref="A1:A3"/>
    <mergeCell ref="B1:C1"/>
    <mergeCell ref="D1:D3"/>
    <mergeCell ref="B2:B3"/>
    <mergeCell ref="C2:C3"/>
    <mergeCell ref="A4:A15"/>
    <mergeCell ref="B4:B15"/>
    <mergeCell ref="C4:C7"/>
    <mergeCell ref="C8:C11"/>
    <mergeCell ref="C12:C15"/>
    <mergeCell ref="A16:A27"/>
    <mergeCell ref="B16:B27"/>
    <mergeCell ref="C16:C19"/>
    <mergeCell ref="C20:C23"/>
    <mergeCell ref="C24:C27"/>
    <mergeCell ref="M2:M3"/>
    <mergeCell ref="N2:N3"/>
    <mergeCell ref="O2:O3"/>
    <mergeCell ref="P2:P3"/>
    <mergeCell ref="E1:J1"/>
    <mergeCell ref="K1:P1"/>
    <mergeCell ref="E2:E3"/>
    <mergeCell ref="F2:F3"/>
    <mergeCell ref="G2:G3"/>
    <mergeCell ref="H2:H3"/>
    <mergeCell ref="I2:I3"/>
    <mergeCell ref="J2:J3"/>
    <mergeCell ref="K2:K3"/>
    <mergeCell ref="L2:L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3113-8B2B-41CA-A9D7-543CC5502655}">
  <sheetPr>
    <tabColor rgb="FF00B050"/>
    <pageSetUpPr fitToPage="1"/>
  </sheetPr>
  <dimension ref="A1:V21"/>
  <sheetViews>
    <sheetView workbookViewId="0">
      <selection activeCell="M18" sqref="M16:M18"/>
    </sheetView>
  </sheetViews>
  <sheetFormatPr defaultRowHeight="15" x14ac:dyDescent="0.25"/>
  <cols>
    <col min="1" max="1" width="19.7109375" customWidth="1"/>
    <col min="2" max="2" width="15.85546875" customWidth="1"/>
    <col min="4" max="4" width="14.28515625" customWidth="1"/>
    <col min="5" max="16" width="12.5703125" customWidth="1"/>
    <col min="17" max="22" width="13.28515625" customWidth="1"/>
  </cols>
  <sheetData>
    <row r="1" spans="1:22" x14ac:dyDescent="0.25">
      <c r="A1" s="126" t="s">
        <v>15</v>
      </c>
      <c r="B1" s="126" t="s">
        <v>0</v>
      </c>
      <c r="C1" s="128"/>
      <c r="D1" s="112" t="s">
        <v>28</v>
      </c>
      <c r="E1" s="115" t="s">
        <v>13</v>
      </c>
      <c r="F1" s="115"/>
      <c r="G1" s="115"/>
      <c r="H1" s="115"/>
      <c r="I1" s="115"/>
      <c r="J1" s="116"/>
      <c r="K1" s="117" t="s">
        <v>14</v>
      </c>
      <c r="L1" s="118"/>
      <c r="M1" s="118"/>
      <c r="N1" s="118"/>
      <c r="O1" s="118"/>
      <c r="P1" s="119"/>
      <c r="Q1" s="130" t="s">
        <v>131</v>
      </c>
      <c r="R1" s="131"/>
      <c r="S1" s="131"/>
      <c r="T1" s="131"/>
      <c r="U1" s="131"/>
      <c r="V1" s="132"/>
    </row>
    <row r="2" spans="1:22" x14ac:dyDescent="0.25">
      <c r="A2" s="126"/>
      <c r="B2" s="126" t="s">
        <v>16</v>
      </c>
      <c r="C2" s="128" t="s">
        <v>17</v>
      </c>
      <c r="D2" s="113"/>
      <c r="E2" s="120" t="s">
        <v>1</v>
      </c>
      <c r="F2" s="122" t="s">
        <v>2</v>
      </c>
      <c r="G2" s="122" t="s">
        <v>3</v>
      </c>
      <c r="H2" s="122" t="s">
        <v>4</v>
      </c>
      <c r="I2" s="122" t="s">
        <v>5</v>
      </c>
      <c r="J2" s="122" t="s">
        <v>70</v>
      </c>
      <c r="K2" s="124" t="s">
        <v>1</v>
      </c>
      <c r="L2" s="109" t="s">
        <v>2</v>
      </c>
      <c r="M2" s="109" t="s">
        <v>3</v>
      </c>
      <c r="N2" s="109" t="s">
        <v>4</v>
      </c>
      <c r="O2" s="109" t="s">
        <v>5</v>
      </c>
      <c r="P2" s="109" t="s">
        <v>70</v>
      </c>
      <c r="Q2" s="133" t="s">
        <v>1</v>
      </c>
      <c r="R2" s="133" t="s">
        <v>2</v>
      </c>
      <c r="S2" s="133" t="s">
        <v>3</v>
      </c>
      <c r="T2" s="133" t="s">
        <v>4</v>
      </c>
      <c r="U2" s="133" t="s">
        <v>5</v>
      </c>
      <c r="V2" s="133" t="s">
        <v>70</v>
      </c>
    </row>
    <row r="3" spans="1:22" ht="15.75" thickBot="1" x14ac:dyDescent="0.3">
      <c r="A3" s="127"/>
      <c r="B3" s="127"/>
      <c r="C3" s="129"/>
      <c r="D3" s="114"/>
      <c r="E3" s="121"/>
      <c r="F3" s="123"/>
      <c r="G3" s="123"/>
      <c r="H3" s="123"/>
      <c r="I3" s="123"/>
      <c r="J3" s="123"/>
      <c r="K3" s="125"/>
      <c r="L3" s="110"/>
      <c r="M3" s="110"/>
      <c r="N3" s="110"/>
      <c r="O3" s="110"/>
      <c r="P3" s="110"/>
      <c r="Q3" s="134"/>
      <c r="R3" s="134"/>
      <c r="S3" s="134"/>
      <c r="T3" s="134"/>
      <c r="U3" s="134"/>
      <c r="V3" s="134"/>
    </row>
    <row r="4" spans="1:22" x14ac:dyDescent="0.25">
      <c r="A4" s="111" t="s">
        <v>19</v>
      </c>
      <c r="B4" s="111" t="s">
        <v>101</v>
      </c>
      <c r="C4" s="11">
        <v>18</v>
      </c>
      <c r="D4" s="27" t="str">
        <f>TEXT(AVERAGE(INDEX(Subsheet!E:E,(ROW(A1)-1)*4+4):INDEX(Subsheet!E:E,(ROW(A1)-1)*4+7)),"0.000") &amp; " ± " &amp; TEXT(_xlfn.STDEV.S(INDEX(Subsheet!E:E,(ROW(A1)-1)*4+4):INDEX(Subsheet!E:E,(ROW(A1)-1)*4+7)),"0.000")</f>
        <v>32.000 ± 5.416</v>
      </c>
      <c r="E4" s="45" t="str">
        <f>TEXT(AVERAGE(INDEX(Subsheet!F:F,(ROW(B1)-1)*4+4):INDEX(Subsheet!F:F,(ROW(B1)-1)*4+7)),"0.000") &amp; " ± " &amp; TEXT(_xlfn.STDEV.S(INDEX(Subsheet!F:F,(ROW(B1)-1)*4+4):INDEX(Subsheet!F:F,(ROW(B1)-1)*4+7)),"0.000")</f>
        <v>0.869 ± 0.018</v>
      </c>
      <c r="F4" s="45" t="str">
        <f>TEXT(AVERAGE(INDEX(Subsheet!G:G,(ROW(C1)-1)*4+4):INDEX(Subsheet!G:G,(ROW(C1)-1)*4+7)),"0.000") &amp; " ± " &amp; TEXT(_xlfn.STDEV.S(INDEX(Subsheet!G:G,(ROW(C1)-1)*4+4):INDEX(Subsheet!G:G,(ROW(C1)-1)*4+7)),"0.000")</f>
        <v>0.356 ± 0.027</v>
      </c>
      <c r="G4" s="45" t="str">
        <f>TEXT(AVERAGE(INDEX(Subsheet!H:H,(ROW(D1)-1)*4+4):INDEX(Subsheet!H:H,(ROW(D1)-1)*4+7)),"0.000") &amp; " ± " &amp; TEXT(_xlfn.STDEV.S(INDEX(Subsheet!H:H,(ROW(D1)-1)*4+4):INDEX(Subsheet!H:H,(ROW(D1)-1)*4+7)),"0.000")</f>
        <v>0.530 ± 0.134</v>
      </c>
      <c r="H4" s="45" t="str">
        <f>TEXT(AVERAGE(INDEX(Subsheet!I:I,(ROW(E1)-1)*4+4):INDEX(Subsheet!I:I,(ROW(E1)-1)*4+7)),"0.000") &amp; " ± " &amp; TEXT(_xlfn.STDEV.S(INDEX(Subsheet!I:I,(ROW(E1)-1)*4+4):INDEX(Subsheet!I:I,(ROW(E1)-1)*4+7)),"0.000")</f>
        <v>0.422 ± 0.061</v>
      </c>
      <c r="I4" s="45" t="str">
        <f>TEXT(AVERAGE(INDEX(Subsheet!J:J,(ROW(F1)-1)*4+4):INDEX(Subsheet!J:J,(ROW(F1)-1)*4+7)),"0.000") &amp; " ± " &amp; TEXT(_xlfn.STDEV.S(INDEX(Subsheet!J:J,(ROW(F1)-1)*4+4):INDEX(Subsheet!J:J,(ROW(F1)-1)*4+7)),"0.000")</f>
        <v>0.856 ± 0.032</v>
      </c>
      <c r="J4" s="46" t="str">
        <f>TEXT(AVERAGE(INDEX(Subsheet!K:K,(ROW(G1)-1)*4+4):INDEX(Subsheet!K:K,(ROW(G1)-1)*4+7)),"0.000") &amp; " ± " &amp; TEXT(_xlfn.STDEV.S(INDEX(Subsheet!K:K,(ROW(G1)-1)*4+4):INDEX(Subsheet!K:K,(ROW(G1)-1)*4+7)),"0.000")</f>
        <v>0.422 ± 0.114</v>
      </c>
      <c r="K4" s="53" t="str">
        <f>TEXT(AVERAGE(INDEX(Subsheet!L:L,(ROW(H1)-1)*4+4):INDEX(Subsheet!L:L,(ROW(H1)-1)*4+7)),"0.000") &amp; " ± " &amp; TEXT(_xlfn.STDEV.S(INDEX(Subsheet!L:L,(ROW(H1)-1)*4+4):INDEX(Subsheet!L:L,(ROW(H1)-1)*4+7)),"0.000")</f>
        <v>0.857 ± 0.019</v>
      </c>
      <c r="L4" s="54" t="str">
        <f>TEXT(AVERAGE(INDEX(Subsheet!M:M,(ROW(I1)-1)*4+4):INDEX(Subsheet!M:M,(ROW(I1)-1)*4+7)),"0.000") &amp; " ± " &amp; TEXT(_xlfn.STDEV.S(INDEX(Subsheet!M:M,(ROW(I1)-1)*4+4):INDEX(Subsheet!M:M,(ROW(I1)-1)*4+7)),"0.000")</f>
        <v>0.304 ± 0.036</v>
      </c>
      <c r="M4" s="54" t="str">
        <f>TEXT(AVERAGE(INDEX(Subsheet!N:N,(ROW(J1)-1)*4+4):INDEX(Subsheet!N:N,(ROW(J1)-1)*4+7)),"0.000") &amp; " ± " &amp; TEXT(_xlfn.STDEV.S(INDEX(Subsheet!N:N,(ROW(J1)-1)*4+4):INDEX(Subsheet!N:N,(ROW(J1)-1)*4+7)),"0.000")</f>
        <v>0.534 ± 0.064</v>
      </c>
      <c r="N4" s="54" t="str">
        <f>TEXT(AVERAGE(INDEX(Subsheet!O:O,(ROW(K1)-1)*4+4):INDEX(Subsheet!O:O,(ROW(K1)-1)*4+7)),"0.000") &amp; " ± " &amp; TEXT(_xlfn.STDEV.S(INDEX(Subsheet!O:O,(ROW(K1)-1)*4+4):INDEX(Subsheet!O:O,(ROW(K1)-1)*4+7)),"0.000")</f>
        <v>0.385 ± 0.030</v>
      </c>
      <c r="O4" s="54" t="str">
        <f>TEXT(AVERAGE(INDEX(Subsheet!P:P,(ROW(L1)-1)*4+4):INDEX(Subsheet!P:P,(ROW(L1)-1)*4+7)),"0.000") &amp; " ± " &amp; TEXT(_xlfn.STDEV.S(INDEX(Subsheet!P:P,(ROW(L1)-1)*4+4):INDEX(Subsheet!P:P,(ROW(L1)-1)*4+7)),"0.000")</f>
        <v>0.826 ± 0.032</v>
      </c>
      <c r="P4" s="55" t="str">
        <f>TEXT(AVERAGE(INDEX(Subsheet!Q:Q,(ROW(M1)-1)*4+4):INDEX(Subsheet!Q:Q,(ROW(M1)-1)*4+7)),"0.000") &amp; " ± " &amp; TEXT(_xlfn.STDEV.S(INDEX(Subsheet!Q:Q,(ROW(M1)-1)*4+4):INDEX(Subsheet!Q:Q,(ROW(M1)-1)*4+7)),"0.000")</f>
        <v>0.331 ± 0.041</v>
      </c>
      <c r="Q4" s="60" t="str">
        <f>TEXT(AVERAGE(INDEX(Subsheet!R:R,(ROW(H1)-1)*4+4):INDEX(Subsheet!R:R,(ROW(H1)-1)*4+7)),"0.000") &amp; " ± " &amp; TEXT(_xlfn.STDEV.S(INDEX(Subsheet!R:R,(ROW(H1)-1)*4+4):INDEX(Subsheet!R:R,(ROW(H1)-1)*4+7)),"0.000")</f>
        <v>0.669 ± 0.041</v>
      </c>
      <c r="R4" s="61" t="str">
        <f>TEXT(AVERAGE(INDEX(Subsheet!S:S,(ROW(I1)-1)*4+4):INDEX(Subsheet!S:S,(ROW(I1)-1)*4+7)),"0.000") &amp; " ± " &amp; TEXT(_xlfn.STDEV.S(INDEX(Subsheet!S:S,(ROW(I1)-1)*4+4):INDEX(Subsheet!S:S,(ROW(I1)-1)*4+7)),"0.000")</f>
        <v>0.886 ± 0.043</v>
      </c>
      <c r="S4" s="61" t="str">
        <f>TEXT(AVERAGE(INDEX(Subsheet!T:T,(ROW(J1)-1)*4+4):INDEX(Subsheet!T:T,(ROW(J1)-1)*4+7)),"0.000") &amp; " ± " &amp; TEXT(_xlfn.STDEV.S(INDEX(Subsheet!T:T,(ROW(J1)-1)*4+4):INDEX(Subsheet!T:T,(ROW(J1)-1)*4+7)),"0.000")</f>
        <v>0.360 ± 0.089</v>
      </c>
      <c r="T4" s="61" t="str">
        <f>TEXT(AVERAGE(INDEX(Subsheet!U:U,(ROW(K1)-1)*4+4):INDEX(Subsheet!U:U,(ROW(K1)-1)*4+7)),"0.000") &amp; " ± " &amp; TEXT(_xlfn.STDEV.S(INDEX(Subsheet!U:U,(ROW(K1)-1)*4+4):INDEX(Subsheet!U:U,(ROW(K1)-1)*4+7)),"0.000")</f>
        <v>0.508 ± 0.097</v>
      </c>
      <c r="U4" s="61" t="str">
        <f>TEXT(AVERAGE(INDEX(Subsheet!V:V,(ROW(L1)-1)*4+4):INDEX(Subsheet!V:V,(ROW(L1)-1)*4+7)),"0.000") &amp; " ± " &amp; TEXT(_xlfn.STDEV.S(INDEX(Subsheet!V:V,(ROW(L1)-1)*4+4):INDEX(Subsheet!V:V,(ROW(L1)-1)*4+7)),"0.000")</f>
        <v>0.776 ± 0.028</v>
      </c>
      <c r="V4" s="62" t="str">
        <f>TEXT(AVERAGE(INDEX(Subsheet!W:W,(ROW(M1)-1)*4+4):INDEX(Subsheet!W:W,(ROW(M1)-1)*4+7)),"0.000") &amp; " ± " &amp; TEXT(_xlfn.STDEV.S(INDEX(Subsheet!W:W,(ROW(M1)-1)*4+4):INDEX(Subsheet!W:W,(ROW(M1)-1)*4+7)),"0.000")</f>
        <v>0.788 ± 0.038</v>
      </c>
    </row>
    <row r="5" spans="1:22" x14ac:dyDescent="0.25">
      <c r="A5" s="105"/>
      <c r="B5" s="105"/>
      <c r="C5" s="3">
        <v>34</v>
      </c>
      <c r="D5" s="28" t="str">
        <f>TEXT(AVERAGE(INDEX(Subsheet!E:E,(ROW(A2)-1)*4+4):INDEX(Subsheet!E:E,(ROW(A2)-1)*4+7)),"0.000") &amp; " ± " &amp; TEXT(_xlfn.STDEV.S(INDEX(Subsheet!E:E,(ROW(A2)-1)*4+4):INDEX(Subsheet!E:E,(ROW(A2)-1)*4+7)),"0.000")</f>
        <v>39.500 ± 11.790</v>
      </c>
      <c r="E5" s="47" t="str">
        <f>TEXT(AVERAGE(INDEX(Subsheet!F:F,(ROW(B2)-1)*4+4):INDEX(Subsheet!F:F,(ROW(B2)-1)*4+7)),"0.000") &amp; " ± " &amp; TEXT(_xlfn.STDEV.S(INDEX(Subsheet!F:F,(ROW(B2)-1)*4+4):INDEX(Subsheet!F:F,(ROW(B2)-1)*4+7)),"0.000")</f>
        <v>0.897 ± 0.029</v>
      </c>
      <c r="F5" s="47" t="str">
        <f>TEXT(AVERAGE(INDEX(Subsheet!G:G,(ROW(C2)-1)*4+4):INDEX(Subsheet!G:G,(ROW(C2)-1)*4+7)),"0.000") &amp; " ± " &amp; TEXT(_xlfn.STDEV.S(INDEX(Subsheet!G:G,(ROW(C2)-1)*4+4):INDEX(Subsheet!G:G,(ROW(C2)-1)*4+7)),"0.000")</f>
        <v>0.469 ± 0.111</v>
      </c>
      <c r="G5" s="47" t="str">
        <f>TEXT(AVERAGE(INDEX(Subsheet!H:H,(ROW(D2)-1)*4+4):INDEX(Subsheet!H:H,(ROW(D2)-1)*4+7)),"0.000") &amp; " ± " &amp; TEXT(_xlfn.STDEV.S(INDEX(Subsheet!H:H,(ROW(D2)-1)*4+4):INDEX(Subsheet!H:H,(ROW(D2)-1)*4+7)),"0.000")</f>
        <v>0.437 ± 0.070</v>
      </c>
      <c r="H5" s="47" t="str">
        <f>TEXT(AVERAGE(INDEX(Subsheet!I:I,(ROW(E2)-1)*4+4):INDEX(Subsheet!I:I,(ROW(E2)-1)*4+7)),"0.000") &amp; " ± " &amp; TEXT(_xlfn.STDEV.S(INDEX(Subsheet!I:I,(ROW(E2)-1)*4+4):INDEX(Subsheet!I:I,(ROW(E2)-1)*4+7)),"0.000")</f>
        <v>0.443 ± 0.039</v>
      </c>
      <c r="I5" s="47" t="str">
        <f>TEXT(AVERAGE(INDEX(Subsheet!J:J,(ROW(F2)-1)*4+4):INDEX(Subsheet!J:J,(ROW(F2)-1)*4+7)),"0.000") &amp; " ± " &amp; TEXT(_xlfn.STDEV.S(INDEX(Subsheet!J:J,(ROW(F2)-1)*4+4):INDEX(Subsheet!J:J,(ROW(F2)-1)*4+7)),"0.000")</f>
        <v>0.860 ± 0.024</v>
      </c>
      <c r="J5" s="48" t="str">
        <f>TEXT(AVERAGE(INDEX(Subsheet!K:K,(ROW(G2)-1)*4+4):INDEX(Subsheet!K:K,(ROW(G2)-1)*4+7)),"0.000") &amp; " ± " &amp; TEXT(_xlfn.STDEV.S(INDEX(Subsheet!K:K,(ROW(G2)-1)*4+4):INDEX(Subsheet!K:K,(ROW(G2)-1)*4+7)),"0.000")</f>
        <v>0.438 ± 0.080</v>
      </c>
      <c r="K5" s="53" t="str">
        <f>TEXT(AVERAGE(INDEX(Subsheet!L:L,(ROW(H2)-1)*4+4):INDEX(Subsheet!L:L,(ROW(H2)-1)*4+7)),"0.000") &amp; " ± " &amp; TEXT(_xlfn.STDEV.S(INDEX(Subsheet!L:L,(ROW(H2)-1)*4+4):INDEX(Subsheet!L:L,(ROW(H2)-1)*4+7)),"0.000")</f>
        <v>0.883 ± 0.014</v>
      </c>
      <c r="L5" s="53" t="str">
        <f>TEXT(AVERAGE(INDEX(Subsheet!M:M,(ROW(I2)-1)*4+4):INDEX(Subsheet!M:M,(ROW(I2)-1)*4+7)),"0.000") &amp; " ± " &amp; TEXT(_xlfn.STDEV.S(INDEX(Subsheet!M:M,(ROW(I2)-1)*4+4):INDEX(Subsheet!M:M,(ROW(I2)-1)*4+7)),"0.000")</f>
        <v>0.298 ± 0.036</v>
      </c>
      <c r="M5" s="53" t="str">
        <f>TEXT(AVERAGE(INDEX(Subsheet!N:N,(ROW(J2)-1)*4+4):INDEX(Subsheet!N:N,(ROW(J2)-1)*4+7)),"0.000") &amp; " ± " &amp; TEXT(_xlfn.STDEV.S(INDEX(Subsheet!N:N,(ROW(J2)-1)*4+4):INDEX(Subsheet!N:N,(ROW(J2)-1)*4+7)),"0.000")</f>
        <v>0.307 ± 0.169</v>
      </c>
      <c r="N5" s="53" t="str">
        <f>TEXT(AVERAGE(INDEX(Subsheet!O:O,(ROW(K2)-1)*4+4):INDEX(Subsheet!O:O,(ROW(K2)-1)*4+7)),"0.000") &amp; " ± " &amp; TEXT(_xlfn.STDEV.S(INDEX(Subsheet!O:O,(ROW(K2)-1)*4+4):INDEX(Subsheet!O:O,(ROW(K2)-1)*4+7)),"0.000")</f>
        <v>0.289 ± 0.092</v>
      </c>
      <c r="O5" s="53" t="str">
        <f>TEXT(AVERAGE(INDEX(Subsheet!P:P,(ROW(L2)-1)*4+4):INDEX(Subsheet!P:P,(ROW(L2)-1)*4+7)),"0.000") &amp; " ± " &amp; TEXT(_xlfn.STDEV.S(INDEX(Subsheet!P:P,(ROW(L2)-1)*4+4):INDEX(Subsheet!P:P,(ROW(L2)-1)*4+7)),"0.000")</f>
        <v>0.820 ± 0.026</v>
      </c>
      <c r="P5" s="56" t="str">
        <f>TEXT(AVERAGE(INDEX(Subsheet!Q:Q,(ROW(M2)-1)*4+4):INDEX(Subsheet!Q:Q,(ROW(M2)-1)*4+7)),"0.000") &amp; " ± " &amp; TEXT(_xlfn.STDEV.S(INDEX(Subsheet!Q:Q,(ROW(M2)-1)*4+4):INDEX(Subsheet!Q:Q,(ROW(M2)-1)*4+7)),"0.000")</f>
        <v>0.300 ± 0.039</v>
      </c>
      <c r="Q5" s="60" t="str">
        <f>TEXT(AVERAGE(INDEX(Subsheet!R:R,(ROW(H2)-1)*4+4):INDEX(Subsheet!R:R,(ROW(H2)-1)*4+7)),"0.000") &amp; " ± " &amp; TEXT(_xlfn.STDEV.S(INDEX(Subsheet!R:R,(ROW(H2)-1)*4+4):INDEX(Subsheet!R:R,(ROW(H2)-1)*4+7)),"0.000")</f>
        <v>0.630 ± 0.057</v>
      </c>
      <c r="R5" s="61" t="str">
        <f>TEXT(AVERAGE(INDEX(Subsheet!S:S,(ROW(I2)-1)*4+4):INDEX(Subsheet!S:S,(ROW(I2)-1)*4+7)),"0.000") &amp; " ± " &amp; TEXT(_xlfn.STDEV.S(INDEX(Subsheet!S:S,(ROW(I2)-1)*4+4):INDEX(Subsheet!S:S,(ROW(I2)-1)*4+7)),"0.000")</f>
        <v>0.894 ± 0.008</v>
      </c>
      <c r="S5" s="61" t="str">
        <f>TEXT(AVERAGE(INDEX(Subsheet!T:T,(ROW(J2)-1)*4+4):INDEX(Subsheet!T:T,(ROW(J2)-1)*4+7)),"0.000") &amp; " ± " &amp; TEXT(_xlfn.STDEV.S(INDEX(Subsheet!T:T,(ROW(J2)-1)*4+4):INDEX(Subsheet!T:T,(ROW(J2)-1)*4+7)),"0.000")</f>
        <v>0.264 ± 0.132</v>
      </c>
      <c r="T5" s="61" t="str">
        <f>TEXT(AVERAGE(INDEX(Subsheet!U:U,(ROW(K2)-1)*4+4):INDEX(Subsheet!U:U,(ROW(K2)-1)*4+7)),"0.000") &amp; " ± " &amp; TEXT(_xlfn.STDEV.S(INDEX(Subsheet!U:U,(ROW(K2)-1)*4+4):INDEX(Subsheet!U:U,(ROW(K2)-1)*4+7)),"0.000")</f>
        <v>0.394 ± 0.158</v>
      </c>
      <c r="U5" s="61" t="str">
        <f>TEXT(AVERAGE(INDEX(Subsheet!V:V,(ROW(L2)-1)*4+4):INDEX(Subsheet!V:V,(ROW(L2)-1)*4+7)),"0.000") &amp; " ± " &amp; TEXT(_xlfn.STDEV.S(INDEX(Subsheet!V:V,(ROW(L2)-1)*4+4):INDEX(Subsheet!V:V,(ROW(L2)-1)*4+7)),"0.000")</f>
        <v>0.779 ± 0.030</v>
      </c>
      <c r="V5" s="62" t="str">
        <f>TEXT(AVERAGE(INDEX(Subsheet!W:W,(ROW(M2)-1)*4+4):INDEX(Subsheet!W:W,(ROW(M2)-1)*4+7)),"0.000") &amp; " ± " &amp; TEXT(_xlfn.STDEV.S(INDEX(Subsheet!W:W,(ROW(M2)-1)*4+4):INDEX(Subsheet!W:W,(ROW(M2)-1)*4+7)),"0.000")</f>
        <v>0.783 ± 0.032</v>
      </c>
    </row>
    <row r="6" spans="1:22" x14ac:dyDescent="0.25">
      <c r="A6" s="107"/>
      <c r="B6" s="107"/>
      <c r="C6" s="8">
        <v>50</v>
      </c>
      <c r="D6" s="29" t="str">
        <f>TEXT(AVERAGE(INDEX(Subsheet!E:E,(ROW(A3)-1)*4+4):INDEX(Subsheet!E:E,(ROW(A3)-1)*4+7)),"0.000") &amp; " ± " &amp; TEXT(_xlfn.STDEV.S(INDEX(Subsheet!E:E,(ROW(A3)-1)*4+4):INDEX(Subsheet!E:E,(ROW(A3)-1)*4+7)),"0.000")</f>
        <v>17.750 ± 7.848</v>
      </c>
      <c r="E6" s="49" t="str">
        <f>TEXT(AVERAGE(INDEX(Subsheet!F:F,(ROW(B3)-1)*4+4):INDEX(Subsheet!F:F,(ROW(B3)-1)*4+7)),"0.000") &amp; " ± " &amp; TEXT(_xlfn.STDEV.S(INDEX(Subsheet!F:F,(ROW(B3)-1)*4+4):INDEX(Subsheet!F:F,(ROW(B3)-1)*4+7)),"0.000")</f>
        <v>0.901 ± 0.008</v>
      </c>
      <c r="F6" s="49" t="str">
        <f>TEXT(AVERAGE(INDEX(Subsheet!G:G,(ROW(C3)-1)*4+4):INDEX(Subsheet!G:G,(ROW(C3)-1)*4+7)),"0.000") &amp; " ± " &amp; TEXT(_xlfn.STDEV.S(INDEX(Subsheet!G:G,(ROW(C3)-1)*4+4):INDEX(Subsheet!G:G,(ROW(C3)-1)*4+7)),"0.000")</f>
        <v>0.459 ± 0.042</v>
      </c>
      <c r="G6" s="49" t="str">
        <f>TEXT(AVERAGE(INDEX(Subsheet!H:H,(ROW(D3)-1)*4+4):INDEX(Subsheet!H:H,(ROW(D3)-1)*4+7)),"0.000") &amp; " ± " &amp; TEXT(_xlfn.STDEV.S(INDEX(Subsheet!H:H,(ROW(D3)-1)*4+4):INDEX(Subsheet!H:H,(ROW(D3)-1)*4+7)),"0.000")</f>
        <v>0.402 ± 0.081</v>
      </c>
      <c r="H6" s="49" t="str">
        <f>TEXT(AVERAGE(INDEX(Subsheet!I:I,(ROW(E3)-1)*4+4):INDEX(Subsheet!I:I,(ROW(E3)-1)*4+7)),"0.000") &amp; " ± " &amp; TEXT(_xlfn.STDEV.S(INDEX(Subsheet!I:I,(ROW(E3)-1)*4+4):INDEX(Subsheet!I:I,(ROW(E3)-1)*4+7)),"0.000")</f>
        <v>0.423 ± 0.039</v>
      </c>
      <c r="I6" s="49" t="str">
        <f>TEXT(AVERAGE(INDEX(Subsheet!J:J,(ROW(F3)-1)*4+4):INDEX(Subsheet!J:J,(ROW(F3)-1)*4+7)),"0.000") &amp; " ± " &amp; TEXT(_xlfn.STDEV.S(INDEX(Subsheet!J:J,(ROW(F3)-1)*4+4):INDEX(Subsheet!J:J,(ROW(F3)-1)*4+7)),"0.000")</f>
        <v>0.854 ± 0.026</v>
      </c>
      <c r="J6" s="50" t="str">
        <f>TEXT(AVERAGE(INDEX(Subsheet!K:K,(ROW(G3)-1)*4+4):INDEX(Subsheet!K:K,(ROW(G3)-1)*4+7)),"0.000") &amp; " ± " &amp; TEXT(_xlfn.STDEV.S(INDEX(Subsheet!K:K,(ROW(G3)-1)*4+4):INDEX(Subsheet!K:K,(ROW(G3)-1)*4+7)),"0.000")</f>
        <v>0.450 ± 0.056</v>
      </c>
      <c r="K6" s="57" t="str">
        <f>TEXT(AVERAGE(INDEX(Subsheet!L:L,(ROW(H3)-1)*4+4):INDEX(Subsheet!L:L,(ROW(H3)-1)*4+7)),"0.000") &amp; " ± " &amp; TEXT(_xlfn.STDEV.S(INDEX(Subsheet!L:L,(ROW(H3)-1)*4+4):INDEX(Subsheet!L:L,(ROW(H3)-1)*4+7)),"0.000")</f>
        <v>0.902 ± 0.006</v>
      </c>
      <c r="L6" s="57" t="str">
        <f>TEXT(AVERAGE(INDEX(Subsheet!M:M,(ROW(I3)-1)*4+4):INDEX(Subsheet!M:M,(ROW(I3)-1)*4+7)),"0.000") &amp; " ± " &amp; TEXT(_xlfn.STDEV.S(INDEX(Subsheet!M:M,(ROW(I3)-1)*4+4):INDEX(Subsheet!M:M,(ROW(I3)-1)*4+7)),"0.000")</f>
        <v>0.396 ± 0.031</v>
      </c>
      <c r="M6" s="57" t="str">
        <f>TEXT(AVERAGE(INDEX(Subsheet!N:N,(ROW(J3)-1)*4+4):INDEX(Subsheet!N:N,(ROW(J3)-1)*4+7)),"0.000") &amp; " ± " &amp; TEXT(_xlfn.STDEV.S(INDEX(Subsheet!N:N,(ROW(J3)-1)*4+4):INDEX(Subsheet!N:N,(ROW(J3)-1)*4+7)),"0.000")</f>
        <v>0.348 ± 0.118</v>
      </c>
      <c r="N6" s="57" t="str">
        <f>TEXT(AVERAGE(INDEX(Subsheet!O:O,(ROW(K3)-1)*4+4):INDEX(Subsheet!O:O,(ROW(K3)-1)*4+7)),"0.000") &amp; " ± " &amp; TEXT(_xlfn.STDEV.S(INDEX(Subsheet!O:O,(ROW(K3)-1)*4+4):INDEX(Subsheet!O:O,(ROW(K3)-1)*4+7)),"0.000")</f>
        <v>0.364 ± 0.079</v>
      </c>
      <c r="O6" s="57" t="str">
        <f>TEXT(AVERAGE(INDEX(Subsheet!P:P,(ROW(L3)-1)*4+4):INDEX(Subsheet!P:P,(ROW(L3)-1)*4+7)),"0.000") &amp; " ± " &amp; TEXT(_xlfn.STDEV.S(INDEX(Subsheet!P:P,(ROW(L3)-1)*4+4):INDEX(Subsheet!P:P,(ROW(L3)-1)*4+7)),"0.000")</f>
        <v>0.852 ± 0.003</v>
      </c>
      <c r="P6" s="58" t="str">
        <f>TEXT(AVERAGE(INDEX(Subsheet!Q:Q,(ROW(M3)-1)*4+4):INDEX(Subsheet!Q:Q,(ROW(M3)-1)*4+7)),"0.000") &amp; " ± " &amp; TEXT(_xlfn.STDEV.S(INDEX(Subsheet!Q:Q,(ROW(M3)-1)*4+4):INDEX(Subsheet!Q:Q,(ROW(M3)-1)*4+7)),"0.000")</f>
        <v>0.359 ± 0.039</v>
      </c>
      <c r="Q6" s="63" t="str">
        <f>TEXT(AVERAGE(INDEX(Subsheet!R:R,(ROW(H3)-1)*4+4):INDEX(Subsheet!R:R,(ROW(H3)-1)*4+7)),"0.000") &amp; " ± " &amp; TEXT(_xlfn.STDEV.S(INDEX(Subsheet!R:R,(ROW(H3)-1)*4+4):INDEX(Subsheet!R:R,(ROW(H3)-1)*4+7)),"0.000")</f>
        <v>0.600 ± 0.034</v>
      </c>
      <c r="R6" s="64" t="str">
        <f>TEXT(AVERAGE(INDEX(Subsheet!S:S,(ROW(I3)-1)*4+4):INDEX(Subsheet!S:S,(ROW(I3)-1)*4+7)),"0.000") &amp; " ± " &amp; TEXT(_xlfn.STDEV.S(INDEX(Subsheet!S:S,(ROW(I3)-1)*4+4):INDEX(Subsheet!S:S,(ROW(I3)-1)*4+7)),"0.000")</f>
        <v>0.942 ± 0.035</v>
      </c>
      <c r="S6" s="64" t="str">
        <f>TEXT(AVERAGE(INDEX(Subsheet!T:T,(ROW(J3)-1)*4+4):INDEX(Subsheet!T:T,(ROW(J3)-1)*4+7)),"0.000") &amp; " ± " &amp; TEXT(_xlfn.STDEV.S(INDEX(Subsheet!T:T,(ROW(J3)-1)*4+4):INDEX(Subsheet!T:T,(ROW(J3)-1)*4+7)),"0.000")</f>
        <v>0.183 ± 0.071</v>
      </c>
      <c r="T6" s="64" t="str">
        <f>TEXT(AVERAGE(INDEX(Subsheet!U:U,(ROW(K3)-1)*4+4):INDEX(Subsheet!U:U,(ROW(K3)-1)*4+7)),"0.000") &amp; " ± " &amp; TEXT(_xlfn.STDEV.S(INDEX(Subsheet!U:U,(ROW(K3)-1)*4+4):INDEX(Subsheet!U:U,(ROW(K3)-1)*4+7)),"0.000")</f>
        <v>0.302 ± 0.098</v>
      </c>
      <c r="U6" s="64" t="str">
        <f>TEXT(AVERAGE(INDEX(Subsheet!V:V,(ROW(L3)-1)*4+4):INDEX(Subsheet!V:V,(ROW(L3)-1)*4+7)),"0.000") &amp; " ± " &amp; TEXT(_xlfn.STDEV.S(INDEX(Subsheet!V:V,(ROW(L3)-1)*4+4):INDEX(Subsheet!V:V,(ROW(L3)-1)*4+7)),"0.000")</f>
        <v>0.784 ± 0.006</v>
      </c>
      <c r="V6" s="65" t="str">
        <f>TEXT(AVERAGE(INDEX(Subsheet!W:W,(ROW(M3)-1)*4+4):INDEX(Subsheet!W:W,(ROW(M3)-1)*4+7)),"0.000") &amp; " ± " &amp; TEXT(_xlfn.STDEV.S(INDEX(Subsheet!W:W,(ROW(M3)-1)*4+4):INDEX(Subsheet!W:W,(ROW(M3)-1)*4+7)),"0.000")</f>
        <v>0.795 ± 0.017</v>
      </c>
    </row>
    <row r="7" spans="1:22" x14ac:dyDescent="0.25">
      <c r="A7" s="103" t="s">
        <v>20</v>
      </c>
      <c r="B7" s="103" t="s">
        <v>101</v>
      </c>
      <c r="C7" s="10">
        <v>18</v>
      </c>
      <c r="D7" s="30" t="str">
        <f>TEXT(AVERAGE(INDEX(Subsheet!E:E,(ROW(A4)-1)*4+4):INDEX(Subsheet!E:E,(ROW(A4)-1)*4+7)),"0.000") &amp; " ± " &amp; TEXT(_xlfn.STDEV.S(INDEX(Subsheet!E:E,(ROW(A4)-1)*4+4):INDEX(Subsheet!E:E,(ROW(A4)-1)*4+7)),"0.000")</f>
        <v>36.000 ± 6.976</v>
      </c>
      <c r="E7" s="51" t="str">
        <f>TEXT(AVERAGE(INDEX(Subsheet!F:F,(ROW(B4)-1)*4+4):INDEX(Subsheet!F:F,(ROW(B4)-1)*4+7)),"0.000") &amp; " ± " &amp; TEXT(_xlfn.STDEV.S(INDEX(Subsheet!F:F,(ROW(B4)-1)*4+4):INDEX(Subsheet!F:F,(ROW(B4)-1)*4+7)),"0.000")</f>
        <v>0.897 ± 0.024</v>
      </c>
      <c r="F7" s="51" t="str">
        <f>TEXT(AVERAGE(INDEX(Subsheet!G:G,(ROW(C4)-1)*4+4):INDEX(Subsheet!G:G,(ROW(C4)-1)*4+7)),"0.000") &amp; " ± " &amp; TEXT(_xlfn.STDEV.S(INDEX(Subsheet!G:G,(ROW(C4)-1)*4+4):INDEX(Subsheet!G:G,(ROW(C4)-1)*4+7)),"0.000")</f>
        <v>0.474 ± 0.106</v>
      </c>
      <c r="G7" s="51" t="str">
        <f>TEXT(AVERAGE(INDEX(Subsheet!H:H,(ROW(D4)-1)*4+4):INDEX(Subsheet!H:H,(ROW(D4)-1)*4+7)),"0.000") &amp; " ± " &amp; TEXT(_xlfn.STDEV.S(INDEX(Subsheet!H:H,(ROW(D4)-1)*4+4):INDEX(Subsheet!H:H,(ROW(D4)-1)*4+7)),"0.000")</f>
        <v>0.492 ± 0.082</v>
      </c>
      <c r="H7" s="51" t="str">
        <f>TEXT(AVERAGE(INDEX(Subsheet!I:I,(ROW(E4)-1)*4+4):INDEX(Subsheet!I:I,(ROW(E4)-1)*4+7)),"0.000") &amp; " ± " &amp; TEXT(_xlfn.STDEV.S(INDEX(Subsheet!I:I,(ROW(E4)-1)*4+4):INDEX(Subsheet!I:I,(ROW(E4)-1)*4+7)),"0.000")</f>
        <v>0.470 ± 0.020</v>
      </c>
      <c r="I7" s="51" t="str">
        <f>TEXT(AVERAGE(INDEX(Subsheet!J:J,(ROW(F4)-1)*4+4):INDEX(Subsheet!J:J,(ROW(F4)-1)*4+7)),"0.000") &amp; " ± " &amp; TEXT(_xlfn.STDEV.S(INDEX(Subsheet!J:J,(ROW(F4)-1)*4+4):INDEX(Subsheet!J:J,(ROW(F4)-1)*4+7)),"0.000")</f>
        <v>0.864 ± 0.025</v>
      </c>
      <c r="J7" s="52" t="str">
        <f>TEXT(AVERAGE(INDEX(Subsheet!K:K,(ROW(G4)-1)*4+4):INDEX(Subsheet!K:K,(ROW(G4)-1)*4+7)),"0.000") &amp; " ± " &amp; TEXT(_xlfn.STDEV.S(INDEX(Subsheet!K:K,(ROW(G4)-1)*4+4):INDEX(Subsheet!K:K,(ROW(G4)-1)*4+7)),"0.000")</f>
        <v>0.473 ± 0.080</v>
      </c>
      <c r="K7" s="59" t="str">
        <f>TEXT(AVERAGE(INDEX(Subsheet!L:L,(ROW(H4)-1)*4+4):INDEX(Subsheet!L:L,(ROW(H4)-1)*4+7)),"0.000") &amp; " ± " &amp; TEXT(_xlfn.STDEV.S(INDEX(Subsheet!L:L,(ROW(H4)-1)*4+4):INDEX(Subsheet!L:L,(ROW(H4)-1)*4+7)),"0.000")</f>
        <v>0.884 ± 0.020</v>
      </c>
      <c r="L7" s="59" t="str">
        <f>TEXT(AVERAGE(INDEX(Subsheet!M:M,(ROW(I4)-1)*4+4):INDEX(Subsheet!M:M,(ROW(I4)-1)*4+7)),"0.000") &amp; " ± " &amp; TEXT(_xlfn.STDEV.S(INDEX(Subsheet!M:M,(ROW(I4)-1)*4+4):INDEX(Subsheet!M:M,(ROW(I4)-1)*4+7)),"0.000")</f>
        <v>0.353 ± 0.053</v>
      </c>
      <c r="M7" s="59" t="str">
        <f>TEXT(AVERAGE(INDEX(Subsheet!N:N,(ROW(J4)-1)*4+4):INDEX(Subsheet!N:N,(ROW(J4)-1)*4+7)),"0.000") &amp; " ± " &amp; TEXT(_xlfn.STDEV.S(INDEX(Subsheet!N:N,(ROW(J4)-1)*4+4):INDEX(Subsheet!N:N,(ROW(J4)-1)*4+7)),"0.000")</f>
        <v>0.400 ± 0.143</v>
      </c>
      <c r="N7" s="59" t="str">
        <f>TEXT(AVERAGE(INDEX(Subsheet!O:O,(ROW(K4)-1)*4+4):INDEX(Subsheet!O:O,(ROW(K4)-1)*4+7)),"0.000") &amp; " ± " &amp; TEXT(_xlfn.STDEV.S(INDEX(Subsheet!O:O,(ROW(K4)-1)*4+4):INDEX(Subsheet!O:O,(ROW(K4)-1)*4+7)),"0.000")</f>
        <v>0.355 ± 0.056</v>
      </c>
      <c r="O7" s="59" t="str">
        <f>TEXT(AVERAGE(INDEX(Subsheet!P:P,(ROW(L4)-1)*4+4):INDEX(Subsheet!P:P,(ROW(L4)-1)*4+7)),"0.000") &amp; " ± " &amp; TEXT(_xlfn.STDEV.S(INDEX(Subsheet!P:P,(ROW(L4)-1)*4+4):INDEX(Subsheet!P:P,(ROW(L4)-1)*4+7)),"0.000")</f>
        <v>0.830 ± 0.016</v>
      </c>
      <c r="P7" s="56" t="str">
        <f>TEXT(AVERAGE(INDEX(Subsheet!Q:Q,(ROW(M4)-1)*4+4):INDEX(Subsheet!Q:Q,(ROW(M4)-1)*4+7)),"0.000") &amp; " ± " &amp; TEXT(_xlfn.STDEV.S(INDEX(Subsheet!Q:Q,(ROW(M4)-1)*4+4):INDEX(Subsheet!Q:Q,(ROW(M4)-1)*4+7)),"0.000")</f>
        <v>0.342 ± 0.025</v>
      </c>
      <c r="Q7" s="60" t="str">
        <f>TEXT(AVERAGE(INDEX(Subsheet!R:R,(ROW(H4)-1)*4+4):INDEX(Subsheet!R:R,(ROW(H4)-1)*4+7)),"0.000") &amp; " ± " &amp; TEXT(_xlfn.STDEV.S(INDEX(Subsheet!R:R,(ROW(H4)-1)*4+4):INDEX(Subsheet!R:R,(ROW(H4)-1)*4+7)),"0.000")</f>
        <v>0.618 ± 0.046</v>
      </c>
      <c r="R7" s="61" t="str">
        <f>TEXT(AVERAGE(INDEX(Subsheet!S:S,(ROW(I4)-1)*4+4):INDEX(Subsheet!S:S,(ROW(I4)-1)*4+7)),"0.000") &amp; " ± " &amp; TEXT(_xlfn.STDEV.S(INDEX(Subsheet!S:S,(ROW(I4)-1)*4+4):INDEX(Subsheet!S:S,(ROW(I4)-1)*4+7)),"0.000")</f>
        <v>0.921 ± 0.043</v>
      </c>
      <c r="S7" s="61" t="str">
        <f>TEXT(AVERAGE(INDEX(Subsheet!T:T,(ROW(J4)-1)*4+4):INDEX(Subsheet!T:T,(ROW(J4)-1)*4+7)),"0.000") &amp; " ± " &amp; TEXT(_xlfn.STDEV.S(INDEX(Subsheet!T:T,(ROW(J4)-1)*4+4):INDEX(Subsheet!T:T,(ROW(J4)-1)*4+7)),"0.000")</f>
        <v>0.232 ± 0.110</v>
      </c>
      <c r="T7" s="61" t="str">
        <f>TEXT(AVERAGE(INDEX(Subsheet!U:U,(ROW(K4)-1)*4+4):INDEX(Subsheet!U:U,(ROW(K4)-1)*4+7)),"0.000") &amp; " ± " &amp; TEXT(_xlfn.STDEV.S(INDEX(Subsheet!U:U,(ROW(K4)-1)*4+4):INDEX(Subsheet!U:U,(ROW(K4)-1)*4+7)),"0.000")</f>
        <v>0.358 ± 0.154</v>
      </c>
      <c r="U7" s="61" t="str">
        <f>TEXT(AVERAGE(INDEX(Subsheet!V:V,(ROW(L4)-1)*4+4):INDEX(Subsheet!V:V,(ROW(L4)-1)*4+7)),"0.000") &amp; " ± " &amp; TEXT(_xlfn.STDEV.S(INDEX(Subsheet!V:V,(ROW(L4)-1)*4+4):INDEX(Subsheet!V:V,(ROW(L4)-1)*4+7)),"0.000")</f>
        <v>0.776 ± 0.015</v>
      </c>
      <c r="V7" s="62" t="str">
        <f>TEXT(AVERAGE(INDEX(Subsheet!W:W,(ROW(M4)-1)*4+4):INDEX(Subsheet!W:W,(ROW(M4)-1)*4+7)),"0.000") &amp; " ± " &amp; TEXT(_xlfn.STDEV.S(INDEX(Subsheet!W:W,(ROW(M4)-1)*4+4):INDEX(Subsheet!W:W,(ROW(M4)-1)*4+7)),"0.000")</f>
        <v>0.781 ± 0.024</v>
      </c>
    </row>
    <row r="8" spans="1:22" x14ac:dyDescent="0.25">
      <c r="A8" s="105"/>
      <c r="B8" s="105"/>
      <c r="C8" s="3">
        <v>34</v>
      </c>
      <c r="D8" s="28" t="str">
        <f>TEXT(AVERAGE(INDEX(Subsheet!E:E,(ROW(A5)-1)*4+4):INDEX(Subsheet!E:E,(ROW(A5)-1)*4+7)),"0.000") &amp; " ± " &amp; TEXT(_xlfn.STDEV.S(INDEX(Subsheet!E:E,(ROW(A5)-1)*4+4):INDEX(Subsheet!E:E,(ROW(A5)-1)*4+7)),"0.000")</f>
        <v>33.500 ± 8.062</v>
      </c>
      <c r="E8" s="47" t="str">
        <f>TEXT(AVERAGE(INDEX(Subsheet!F:F,(ROW(B5)-1)*4+4):INDEX(Subsheet!F:F,(ROW(B5)-1)*4+7)),"0.000") &amp; " ± " &amp; TEXT(_xlfn.STDEV.S(INDEX(Subsheet!F:F,(ROW(B5)-1)*4+4):INDEX(Subsheet!F:F,(ROW(B5)-1)*4+7)),"0.000")</f>
        <v>0.901 ± 0.023</v>
      </c>
      <c r="F8" s="47" t="str">
        <f>TEXT(AVERAGE(INDEX(Subsheet!G:G,(ROW(C5)-1)*4+4):INDEX(Subsheet!G:G,(ROW(C5)-1)*4+7)),"0.000") &amp; " ± " &amp; TEXT(_xlfn.STDEV.S(INDEX(Subsheet!G:G,(ROW(C5)-1)*4+4):INDEX(Subsheet!G:G,(ROW(C5)-1)*4+7)),"0.000")</f>
        <v>0.500 ± 0.133</v>
      </c>
      <c r="G8" s="47" t="str">
        <f>TEXT(AVERAGE(INDEX(Subsheet!H:H,(ROW(D5)-1)*4+4):INDEX(Subsheet!H:H,(ROW(D5)-1)*4+7)),"0.000") &amp; " ± " &amp; TEXT(_xlfn.STDEV.S(INDEX(Subsheet!H:H,(ROW(D5)-1)*4+4):INDEX(Subsheet!H:H,(ROW(D5)-1)*4+7)),"0.000")</f>
        <v>0.313 ± 0.104</v>
      </c>
      <c r="H8" s="47" t="str">
        <f>TEXT(AVERAGE(INDEX(Subsheet!I:I,(ROW(E5)-1)*4+4):INDEX(Subsheet!I:I,(ROW(E5)-1)*4+7)),"0.000") &amp; " ± " &amp; TEXT(_xlfn.STDEV.S(INDEX(Subsheet!I:I,(ROW(E5)-1)*4+4):INDEX(Subsheet!I:I,(ROW(E5)-1)*4+7)),"0.000")</f>
        <v>0.365 ± 0.035</v>
      </c>
      <c r="I8" s="47" t="str">
        <f>TEXT(AVERAGE(INDEX(Subsheet!J:J,(ROW(F5)-1)*4+4):INDEX(Subsheet!J:J,(ROW(F5)-1)*4+7)),"0.000") &amp; " ± " &amp; TEXT(_xlfn.STDEV.S(INDEX(Subsheet!J:J,(ROW(F5)-1)*4+4):INDEX(Subsheet!J:J,(ROW(F5)-1)*4+7)),"0.000")</f>
        <v>0.864 ± 0.022</v>
      </c>
      <c r="J8" s="48" t="str">
        <f>TEXT(AVERAGE(INDEX(Subsheet!K:K,(ROW(G5)-1)*4+4):INDEX(Subsheet!K:K,(ROW(G5)-1)*4+7)),"0.000") &amp; " ± " &amp; TEXT(_xlfn.STDEV.S(INDEX(Subsheet!K:K,(ROW(G5)-1)*4+4):INDEX(Subsheet!K:K,(ROW(G5)-1)*4+7)),"0.000")</f>
        <v>0.447 ± 0.074</v>
      </c>
      <c r="K8" s="53" t="str">
        <f>TEXT(AVERAGE(INDEX(Subsheet!L:L,(ROW(H5)-1)*4+4):INDEX(Subsheet!L:L,(ROW(H5)-1)*4+7)),"0.000") &amp; " ± " &amp; TEXT(_xlfn.STDEV.S(INDEX(Subsheet!L:L,(ROW(H5)-1)*4+4):INDEX(Subsheet!L:L,(ROW(H5)-1)*4+7)),"0.000")</f>
        <v>0.905 ± 0.017</v>
      </c>
      <c r="L8" s="53" t="str">
        <f>TEXT(AVERAGE(INDEX(Subsheet!M:M,(ROW(I5)-1)*4+4):INDEX(Subsheet!M:M,(ROW(I5)-1)*4+7)),"0.000") &amp; " ± " &amp; TEXT(_xlfn.STDEV.S(INDEX(Subsheet!M:M,(ROW(I5)-1)*4+4):INDEX(Subsheet!M:M,(ROW(I5)-1)*4+7)),"0.000")</f>
        <v>0.435 ± 0.090</v>
      </c>
      <c r="M8" s="53" t="str">
        <f>TEXT(AVERAGE(INDEX(Subsheet!N:N,(ROW(J5)-1)*4+4):INDEX(Subsheet!N:N,(ROW(J5)-1)*4+7)),"0.000") &amp; " ± " &amp; TEXT(_xlfn.STDEV.S(INDEX(Subsheet!N:N,(ROW(J5)-1)*4+4):INDEX(Subsheet!N:N,(ROW(J5)-1)*4+7)),"0.000")</f>
        <v>0.280 ± 0.198</v>
      </c>
      <c r="N8" s="53" t="str">
        <f>TEXT(AVERAGE(INDEX(Subsheet!O:O,(ROW(K5)-1)*4+4):INDEX(Subsheet!O:O,(ROW(K5)-1)*4+7)),"0.000") &amp; " ± " &amp; TEXT(_xlfn.STDEV.S(INDEX(Subsheet!O:O,(ROW(K5)-1)*4+4):INDEX(Subsheet!O:O,(ROW(K5)-1)*4+7)),"0.000")</f>
        <v>0.302 ± 0.117</v>
      </c>
      <c r="O8" s="53" t="str">
        <f>TEXT(AVERAGE(INDEX(Subsheet!P:P,(ROW(L5)-1)*4+4):INDEX(Subsheet!P:P,(ROW(L5)-1)*4+7)),"0.000") &amp; " ± " &amp; TEXT(_xlfn.STDEV.S(INDEX(Subsheet!P:P,(ROW(L5)-1)*4+4):INDEX(Subsheet!P:P,(ROW(L5)-1)*4+7)),"0.000")</f>
        <v>0.847 ± 0.020</v>
      </c>
      <c r="P8" s="56" t="str">
        <f>TEXT(AVERAGE(INDEX(Subsheet!Q:Q,(ROW(M5)-1)*4+4):INDEX(Subsheet!Q:Q,(ROW(M5)-1)*4+7)),"0.000") &amp; " ± " &amp; TEXT(_xlfn.STDEV.S(INDEX(Subsheet!Q:Q,(ROW(M5)-1)*4+4):INDEX(Subsheet!Q:Q,(ROW(M5)-1)*4+7)),"0.000")</f>
        <v>0.351 ± 0.059</v>
      </c>
      <c r="Q8" s="60" t="str">
        <f>TEXT(AVERAGE(INDEX(Subsheet!R:R,(ROW(H5)-1)*4+4):INDEX(Subsheet!R:R,(ROW(H5)-1)*4+7)),"0.000") &amp; " ± " &amp; TEXT(_xlfn.STDEV.S(INDEX(Subsheet!R:R,(ROW(H5)-1)*4+4):INDEX(Subsheet!R:R,(ROW(H5)-1)*4+7)),"0.000")</f>
        <v>0.589 ± 0.048</v>
      </c>
      <c r="R8" s="61" t="str">
        <f>TEXT(AVERAGE(INDEX(Subsheet!S:S,(ROW(I5)-1)*4+4):INDEX(Subsheet!S:S,(ROW(I5)-1)*4+7)),"0.000") &amp; " ± " &amp; TEXT(_xlfn.STDEV.S(INDEX(Subsheet!S:S,(ROW(I5)-1)*4+4):INDEX(Subsheet!S:S,(ROW(I5)-1)*4+7)),"0.000")</f>
        <v>0.956 ± 0.064</v>
      </c>
      <c r="S8" s="61" t="str">
        <f>TEXT(AVERAGE(INDEX(Subsheet!T:T,(ROW(J5)-1)*4+4):INDEX(Subsheet!T:T,(ROW(J5)-1)*4+7)),"0.000") &amp; " ± " &amp; TEXT(_xlfn.STDEV.S(INDEX(Subsheet!T:T,(ROW(J5)-1)*4+4):INDEX(Subsheet!T:T,(ROW(J5)-1)*4+7)),"0.000")</f>
        <v>0.162 ± 0.122</v>
      </c>
      <c r="T8" s="61" t="str">
        <f>TEXT(AVERAGE(INDEX(Subsheet!U:U,(ROW(K5)-1)*4+4):INDEX(Subsheet!U:U,(ROW(K5)-1)*4+7)),"0.000") &amp; " ± " &amp; TEXT(_xlfn.STDEV.S(INDEX(Subsheet!U:U,(ROW(K5)-1)*4+4):INDEX(Subsheet!U:U,(ROW(K5)-1)*4+7)),"0.000")</f>
        <v>0.261 ± 0.162</v>
      </c>
      <c r="U8" s="61" t="str">
        <f>TEXT(AVERAGE(INDEX(Subsheet!V:V,(ROW(L5)-1)*4+4):INDEX(Subsheet!V:V,(ROW(L5)-1)*4+7)),"0.000") &amp; " ± " &amp; TEXT(_xlfn.STDEV.S(INDEX(Subsheet!V:V,(ROW(L5)-1)*4+4):INDEX(Subsheet!V:V,(ROW(L5)-1)*4+7)),"0.000")</f>
        <v>0.797 ± 0.028</v>
      </c>
      <c r="V8" s="62" t="str">
        <f>TEXT(AVERAGE(INDEX(Subsheet!W:W,(ROW(M5)-1)*4+4):INDEX(Subsheet!W:W,(ROW(M5)-1)*4+7)),"0.000") &amp; " ± " &amp; TEXT(_xlfn.STDEV.S(INDEX(Subsheet!W:W,(ROW(M5)-1)*4+4):INDEX(Subsheet!W:W,(ROW(M5)-1)*4+7)),"0.000")</f>
        <v>0.794 ± 0.047</v>
      </c>
    </row>
    <row r="9" spans="1:22" x14ac:dyDescent="0.25">
      <c r="A9" s="107"/>
      <c r="B9" s="107"/>
      <c r="C9" s="8">
        <v>50</v>
      </c>
      <c r="D9" s="29" t="str">
        <f>TEXT(AVERAGE(INDEX(Subsheet!E:E,(ROW(A6)-1)*4+4):INDEX(Subsheet!E:E,(ROW(A6)-1)*4+7)),"0.000") &amp; " ± " &amp; TEXT(_xlfn.STDEV.S(INDEX(Subsheet!E:E,(ROW(A6)-1)*4+4):INDEX(Subsheet!E:E,(ROW(A6)-1)*4+7)),"0.000")</f>
        <v>18.250 ± 6.652</v>
      </c>
      <c r="E9" s="49" t="str">
        <f>TEXT(AVERAGE(INDEX(Subsheet!F:F,(ROW(B6)-1)*4+4):INDEX(Subsheet!F:F,(ROW(B6)-1)*4+7)),"0.000") &amp; " ± " &amp; TEXT(_xlfn.STDEV.S(INDEX(Subsheet!F:F,(ROW(B6)-1)*4+4):INDEX(Subsheet!F:F,(ROW(B6)-1)*4+7)),"0.000")</f>
        <v>0.886 ± 0.033</v>
      </c>
      <c r="F9" s="49" t="str">
        <f>TEXT(AVERAGE(INDEX(Subsheet!G:G,(ROW(C6)-1)*4+4):INDEX(Subsheet!G:G,(ROW(C6)-1)*4+7)),"0.000") &amp; " ± " &amp; TEXT(_xlfn.STDEV.S(INDEX(Subsheet!G:G,(ROW(C6)-1)*4+4):INDEX(Subsheet!G:G,(ROW(C6)-1)*4+7)),"0.000")</f>
        <v>0.432 ± 0.110</v>
      </c>
      <c r="G9" s="49" t="str">
        <f>TEXT(AVERAGE(INDEX(Subsheet!H:H,(ROW(D6)-1)*4+4):INDEX(Subsheet!H:H,(ROW(D6)-1)*4+7)),"0.000") &amp; " ± " &amp; TEXT(_xlfn.STDEV.S(INDEX(Subsheet!H:H,(ROW(D6)-1)*4+4):INDEX(Subsheet!H:H,(ROW(D6)-1)*4+7)),"0.000")</f>
        <v>0.481 ± 0.124</v>
      </c>
      <c r="H9" s="49" t="str">
        <f>TEXT(AVERAGE(INDEX(Subsheet!I:I,(ROW(E6)-1)*4+4):INDEX(Subsheet!I:I,(ROW(E6)-1)*4+7)),"0.000") &amp; " ± " &amp; TEXT(_xlfn.STDEV.S(INDEX(Subsheet!I:I,(ROW(E6)-1)*4+4):INDEX(Subsheet!I:I,(ROW(E6)-1)*4+7)),"0.000")</f>
        <v>0.436 ± 0.063</v>
      </c>
      <c r="I9" s="49" t="str">
        <f>TEXT(AVERAGE(INDEX(Subsheet!J:J,(ROW(F6)-1)*4+4):INDEX(Subsheet!J:J,(ROW(F6)-1)*4+7)),"0.000") &amp; " ± " &amp; TEXT(_xlfn.STDEV.S(INDEX(Subsheet!J:J,(ROW(F6)-1)*4+4):INDEX(Subsheet!J:J,(ROW(F6)-1)*4+7)),"0.000")</f>
        <v>0.852 ± 0.030</v>
      </c>
      <c r="J9" s="50" t="str">
        <f>TEXT(AVERAGE(INDEX(Subsheet!K:K,(ROW(G6)-1)*4+4):INDEX(Subsheet!K:K,(ROW(G6)-1)*4+7)),"0.000") &amp; " ± " &amp; TEXT(_xlfn.STDEV.S(INDEX(Subsheet!K:K,(ROW(G6)-1)*4+4):INDEX(Subsheet!K:K,(ROW(G6)-1)*4+7)),"0.000")</f>
        <v>0.420 ± 0.065</v>
      </c>
      <c r="K9" s="57" t="str">
        <f>TEXT(AVERAGE(INDEX(Subsheet!L:L,(ROW(H6)-1)*4+4):INDEX(Subsheet!L:L,(ROW(H6)-1)*4+7)),"0.000") &amp; " ± " &amp; TEXT(_xlfn.STDEV.S(INDEX(Subsheet!L:L,(ROW(H6)-1)*4+4):INDEX(Subsheet!L:L,(ROW(H6)-1)*4+7)),"0.000")</f>
        <v>0.864 ± 0.028</v>
      </c>
      <c r="L9" s="57" t="str">
        <f>TEXT(AVERAGE(INDEX(Subsheet!M:M,(ROW(I6)-1)*4+4):INDEX(Subsheet!M:M,(ROW(I6)-1)*4+7)),"0.000") &amp; " ± " &amp; TEXT(_xlfn.STDEV.S(INDEX(Subsheet!M:M,(ROW(I6)-1)*4+4):INDEX(Subsheet!M:M,(ROW(I6)-1)*4+7)),"0.000")</f>
        <v>0.284 ± 0.044</v>
      </c>
      <c r="M9" s="57" t="str">
        <f>TEXT(AVERAGE(INDEX(Subsheet!N:N,(ROW(J6)-1)*4+4):INDEX(Subsheet!N:N,(ROW(J6)-1)*4+7)),"0.000") &amp; " ± " &amp; TEXT(_xlfn.STDEV.S(INDEX(Subsheet!N:N,(ROW(J6)-1)*4+4):INDEX(Subsheet!N:N,(ROW(J6)-1)*4+7)),"0.000")</f>
        <v>0.373 ± 0.149</v>
      </c>
      <c r="N9" s="57" t="str">
        <f>TEXT(AVERAGE(INDEX(Subsheet!O:O,(ROW(K6)-1)*4+4):INDEX(Subsheet!O:O,(ROW(K6)-1)*4+7)),"0.000") &amp; " ± " &amp; TEXT(_xlfn.STDEV.S(INDEX(Subsheet!O:O,(ROW(K6)-1)*4+4):INDEX(Subsheet!O:O,(ROW(K6)-1)*4+7)),"0.000")</f>
        <v>0.305 ± 0.050</v>
      </c>
      <c r="O9" s="57" t="str">
        <f>TEXT(AVERAGE(INDEX(Subsheet!P:P,(ROW(L6)-1)*4+4):INDEX(Subsheet!P:P,(ROW(L6)-1)*4+7)),"0.000") &amp; " ± " &amp; TEXT(_xlfn.STDEV.S(INDEX(Subsheet!P:P,(ROW(L6)-1)*4+4):INDEX(Subsheet!P:P,(ROW(L6)-1)*4+7)),"0.000")</f>
        <v>0.811 ± 0.019</v>
      </c>
      <c r="P9" s="58" t="str">
        <f>TEXT(AVERAGE(INDEX(Subsheet!Q:Q,(ROW(M6)-1)*4+4):INDEX(Subsheet!Q:Q,(ROW(M6)-1)*4+7)),"0.000") &amp; " ± " &amp; TEXT(_xlfn.STDEV.S(INDEX(Subsheet!Q:Q,(ROW(M6)-1)*4+4):INDEX(Subsheet!Q:Q,(ROW(M6)-1)*4+7)),"0.000")</f>
        <v>0.279 ± 0.049</v>
      </c>
      <c r="Q9" s="63" t="str">
        <f>TEXT(AVERAGE(INDEX(Subsheet!R:R,(ROW(H6)-1)*4+4):INDEX(Subsheet!R:R,(ROW(H6)-1)*4+7)),"0.000") &amp; " ± " &amp; TEXT(_xlfn.STDEV.S(INDEX(Subsheet!R:R,(ROW(H6)-1)*4+4):INDEX(Subsheet!R:R,(ROW(H6)-1)*4+7)),"0.000")</f>
        <v>0.628 ± 0.059</v>
      </c>
      <c r="R9" s="64" t="str">
        <f>TEXT(AVERAGE(INDEX(Subsheet!S:S,(ROW(I6)-1)*4+4):INDEX(Subsheet!S:S,(ROW(I6)-1)*4+7)),"0.000") &amp; " ± " &amp; TEXT(_xlfn.STDEV.S(INDEX(Subsheet!S:S,(ROW(I6)-1)*4+4):INDEX(Subsheet!S:S,(ROW(I6)-1)*4+7)),"0.000")</f>
        <v>0.863 ± 0.048</v>
      </c>
      <c r="S9" s="64" t="str">
        <f>TEXT(AVERAGE(INDEX(Subsheet!T:T,(ROW(J6)-1)*4+4):INDEX(Subsheet!T:T,(ROW(J6)-1)*4+7)),"0.000") &amp; " ± " &amp; TEXT(_xlfn.STDEV.S(INDEX(Subsheet!T:T,(ROW(J6)-1)*4+4):INDEX(Subsheet!T:T,(ROW(J6)-1)*4+7)),"0.000")</f>
        <v>0.273 ± 0.135</v>
      </c>
      <c r="T9" s="64" t="str">
        <f>TEXT(AVERAGE(INDEX(Subsheet!U:U,(ROW(K6)-1)*4+4):INDEX(Subsheet!U:U,(ROW(K6)-1)*4+7)),"0.000") &amp; " ± " &amp; TEXT(_xlfn.STDEV.S(INDEX(Subsheet!U:U,(ROW(K6)-1)*4+4):INDEX(Subsheet!U:U,(ROW(K6)-1)*4+7)),"0.000")</f>
        <v>0.400 ± 0.161</v>
      </c>
      <c r="U9" s="64" t="str">
        <f>TEXT(AVERAGE(INDEX(Subsheet!V:V,(ROW(L6)-1)*4+4):INDEX(Subsheet!V:V,(ROW(L6)-1)*4+7)),"0.000") &amp; " ± " &amp; TEXT(_xlfn.STDEV.S(INDEX(Subsheet!V:V,(ROW(L6)-1)*4+4):INDEX(Subsheet!V:V,(ROW(L6)-1)*4+7)),"0.000")</f>
        <v>0.769 ± 0.018</v>
      </c>
      <c r="V9" s="65" t="str">
        <f>TEXT(AVERAGE(INDEX(Subsheet!W:W,(ROW(M6)-1)*4+4):INDEX(Subsheet!W:W,(ROW(M6)-1)*4+7)),"0.000") &amp; " ± " &amp; TEXT(_xlfn.STDEV.S(INDEX(Subsheet!W:W,(ROW(M6)-1)*4+4):INDEX(Subsheet!W:W,(ROW(M6)-1)*4+7)),"0.000")</f>
        <v>0.766 ± 0.029</v>
      </c>
    </row>
    <row r="10" spans="1:22" x14ac:dyDescent="0.25">
      <c r="A10" s="103" t="s">
        <v>19</v>
      </c>
      <c r="B10" s="103" t="s">
        <v>102</v>
      </c>
      <c r="C10" s="10">
        <v>18</v>
      </c>
      <c r="D10" s="30" t="str">
        <f>TEXT(AVERAGE(INDEX(Subsheet!E:E,(ROW(A7)-1)*4+4):INDEX(Subsheet!E:E,(ROW(A7)-1)*4+7)),"0.000") &amp; " ± " &amp; TEXT(_xlfn.STDEV.S(INDEX(Subsheet!E:E,(ROW(A7)-1)*4+4):INDEX(Subsheet!E:E,(ROW(A7)-1)*4+7)),"0.000")</f>
        <v>18.750 ± 10.813</v>
      </c>
      <c r="E10" s="51" t="str">
        <f>TEXT(AVERAGE(INDEX(Subsheet!F:F,(ROW(B7)-1)*4+4):INDEX(Subsheet!F:F,(ROW(B7)-1)*4+7)),"0.000") &amp; " ± " &amp; TEXT(_xlfn.STDEV.S(INDEX(Subsheet!F:F,(ROW(B7)-1)*4+4):INDEX(Subsheet!F:F,(ROW(B7)-1)*4+7)),"0.000")</f>
        <v>0.883 ± 0.021</v>
      </c>
      <c r="F10" s="51" t="str">
        <f>TEXT(AVERAGE(INDEX(Subsheet!G:G,(ROW(C7)-1)*4+4):INDEX(Subsheet!G:G,(ROW(C7)-1)*4+7)),"0.000") &amp; " ± " &amp; TEXT(_xlfn.STDEV.S(INDEX(Subsheet!G:G,(ROW(C7)-1)*4+4):INDEX(Subsheet!G:G,(ROW(C7)-1)*4+7)),"0.000")</f>
        <v>0.388 ± 0.034</v>
      </c>
      <c r="G10" s="51" t="str">
        <f>TEXT(AVERAGE(INDEX(Subsheet!H:H,(ROW(D7)-1)*4+4):INDEX(Subsheet!H:H,(ROW(D7)-1)*4+7)),"0.000") &amp; " ± " &amp; TEXT(_xlfn.STDEV.S(INDEX(Subsheet!H:H,(ROW(D7)-1)*4+4):INDEX(Subsheet!H:H,(ROW(D7)-1)*4+7)),"0.000")</f>
        <v>0.443 ± 0.059</v>
      </c>
      <c r="H10" s="51" t="str">
        <f>TEXT(AVERAGE(INDEX(Subsheet!I:I,(ROW(E7)-1)*4+4):INDEX(Subsheet!I:I,(ROW(E7)-1)*4+7)),"0.000") &amp; " ± " &amp; TEXT(_xlfn.STDEV.S(INDEX(Subsheet!I:I,(ROW(E7)-1)*4+4):INDEX(Subsheet!I:I,(ROW(E7)-1)*4+7)),"0.000")</f>
        <v>0.411 ± 0.033</v>
      </c>
      <c r="I10" s="51" t="str">
        <f>TEXT(AVERAGE(INDEX(Subsheet!J:J,(ROW(F7)-1)*4+4):INDEX(Subsheet!J:J,(ROW(F7)-1)*4+7)),"0.000") &amp; " ± " &amp; TEXT(_xlfn.STDEV.S(INDEX(Subsheet!J:J,(ROW(F7)-1)*4+4):INDEX(Subsheet!J:J,(ROW(F7)-1)*4+7)),"0.000")</f>
        <v>0.849 ± 0.017</v>
      </c>
      <c r="J10" s="52" t="str">
        <f>TEXT(AVERAGE(INDEX(Subsheet!K:K,(ROW(G7)-1)*4+4):INDEX(Subsheet!K:K,(ROW(G7)-1)*4+7)),"0.000") &amp; " ± " &amp; TEXT(_xlfn.STDEV.S(INDEX(Subsheet!K:K,(ROW(G7)-1)*4+4):INDEX(Subsheet!K:K,(ROW(G7)-1)*4+7)),"0.000")</f>
        <v>0.391 ± 0.071</v>
      </c>
      <c r="K10" s="59" t="str">
        <f>TEXT(AVERAGE(INDEX(Subsheet!L:L,(ROW(H7)-1)*4+4):INDEX(Subsheet!L:L,(ROW(H7)-1)*4+7)),"0.000") &amp; " ± " &amp; TEXT(_xlfn.STDEV.S(INDEX(Subsheet!L:L,(ROW(H7)-1)*4+4):INDEX(Subsheet!L:L,(ROW(H7)-1)*4+7)),"0.000")</f>
        <v>0.882 ± 0.002</v>
      </c>
      <c r="L10" s="59" t="str">
        <f>TEXT(AVERAGE(INDEX(Subsheet!M:M,(ROW(I7)-1)*4+4):INDEX(Subsheet!M:M,(ROW(I7)-1)*4+7)),"0.000") &amp; " ± " &amp; TEXT(_xlfn.STDEV.S(INDEX(Subsheet!M:M,(ROW(I7)-1)*4+4):INDEX(Subsheet!M:M,(ROW(I7)-1)*4+7)),"0.000")</f>
        <v>0.333 ± 0.010</v>
      </c>
      <c r="M10" s="59" t="str">
        <f>TEXT(AVERAGE(INDEX(Subsheet!N:N,(ROW(J7)-1)*4+4):INDEX(Subsheet!N:N,(ROW(J7)-1)*4+7)),"0.000") &amp; " ± " &amp; TEXT(_xlfn.STDEV.S(INDEX(Subsheet!N:N,(ROW(J7)-1)*4+4):INDEX(Subsheet!N:N,(ROW(J7)-1)*4+7)),"0.000")</f>
        <v>0.416 ± 0.060</v>
      </c>
      <c r="N10" s="59" t="str">
        <f>TEXT(AVERAGE(INDEX(Subsheet!O:O,(ROW(K7)-1)*4+4):INDEX(Subsheet!O:O,(ROW(K7)-1)*4+7)),"0.000") &amp; " ± " &amp; TEXT(_xlfn.STDEV.S(INDEX(Subsheet!O:O,(ROW(K7)-1)*4+4):INDEX(Subsheet!O:O,(ROW(K7)-1)*4+7)),"0.000")</f>
        <v>0.369 ± 0.030</v>
      </c>
      <c r="O10" s="59" t="str">
        <f>TEXT(AVERAGE(INDEX(Subsheet!P:P,(ROW(L7)-1)*4+4):INDEX(Subsheet!P:P,(ROW(L7)-1)*4+7)),"0.000") &amp; " ± " &amp; TEXT(_xlfn.STDEV.S(INDEX(Subsheet!P:P,(ROW(L7)-1)*4+4):INDEX(Subsheet!P:P,(ROW(L7)-1)*4+7)),"0.000")</f>
        <v>0.821 ± 0.009</v>
      </c>
      <c r="P10" s="56" t="str">
        <f>TEXT(AVERAGE(INDEX(Subsheet!Q:Q,(ROW(M7)-1)*4+4):INDEX(Subsheet!Q:Q,(ROW(M7)-1)*4+7)),"0.000") &amp; " ± " &amp; TEXT(_xlfn.STDEV.S(INDEX(Subsheet!Q:Q,(ROW(M7)-1)*4+4):INDEX(Subsheet!Q:Q,(ROW(M7)-1)*4+7)),"0.000")</f>
        <v>0.336 ± 0.047</v>
      </c>
      <c r="Q10" s="60" t="str">
        <f>TEXT(AVERAGE(INDEX(Subsheet!R:R,(ROW(H7)-1)*4+4):INDEX(Subsheet!R:R,(ROW(H7)-1)*4+7)),"0.000") &amp; " ± " &amp; TEXT(_xlfn.STDEV.S(INDEX(Subsheet!R:R,(ROW(H7)-1)*4+4):INDEX(Subsheet!R:R,(ROW(H7)-1)*4+7)),"0.000")</f>
        <v>0.678 ± 0.020</v>
      </c>
      <c r="R10" s="61" t="str">
        <f>TEXT(AVERAGE(INDEX(Subsheet!S:S,(ROW(I7)-1)*4+4):INDEX(Subsheet!S:S,(ROW(I7)-1)*4+7)),"0.000") &amp; " ± " &amp; TEXT(_xlfn.STDEV.S(INDEX(Subsheet!S:S,(ROW(I7)-1)*4+4):INDEX(Subsheet!S:S,(ROW(I7)-1)*4+7)),"0.000")</f>
        <v>0.938 ± 0.018</v>
      </c>
      <c r="S10" s="61" t="str">
        <f>TEXT(AVERAGE(INDEX(Subsheet!T:T,(ROW(J7)-1)*4+4):INDEX(Subsheet!T:T,(ROW(J7)-1)*4+7)),"0.000") &amp; " ± " &amp; TEXT(_xlfn.STDEV.S(INDEX(Subsheet!T:T,(ROW(J7)-1)*4+4):INDEX(Subsheet!T:T,(ROW(J7)-1)*4+7)),"0.000")</f>
        <v>0.356 ± 0.038</v>
      </c>
      <c r="T10" s="61" t="str">
        <f>TEXT(AVERAGE(INDEX(Subsheet!U:U,(ROW(K7)-1)*4+4):INDEX(Subsheet!U:U,(ROW(K7)-1)*4+7)),"0.000") &amp; " ± " &amp; TEXT(_xlfn.STDEV.S(INDEX(Subsheet!U:U,(ROW(K7)-1)*4+4):INDEX(Subsheet!U:U,(ROW(K7)-1)*4+7)),"0.000")</f>
        <v>0.516 ± 0.041</v>
      </c>
      <c r="U10" s="61" t="str">
        <f>TEXT(AVERAGE(INDEX(Subsheet!V:V,(ROW(L7)-1)*4+4):INDEX(Subsheet!V:V,(ROW(L7)-1)*4+7)),"0.000") &amp; " ± " &amp; TEXT(_xlfn.STDEV.S(INDEX(Subsheet!V:V,(ROW(L7)-1)*4+4):INDEX(Subsheet!V:V,(ROW(L7)-1)*4+7)),"0.000")</f>
        <v>0.828 ± 0.009</v>
      </c>
      <c r="V10" s="62" t="str">
        <f>TEXT(AVERAGE(INDEX(Subsheet!W:W,(ROW(M7)-1)*4+4):INDEX(Subsheet!W:W,(ROW(M7)-1)*4+7)),"0.000") &amp; " ± " &amp; TEXT(_xlfn.STDEV.S(INDEX(Subsheet!W:W,(ROW(M7)-1)*4+4):INDEX(Subsheet!W:W,(ROW(M7)-1)*4+7)),"0.000")</f>
        <v>0.836 ± 0.024</v>
      </c>
    </row>
    <row r="11" spans="1:22" x14ac:dyDescent="0.25">
      <c r="A11" s="105"/>
      <c r="B11" s="105"/>
      <c r="C11" s="3">
        <v>34</v>
      </c>
      <c r="D11" s="28" t="str">
        <f>TEXT(AVERAGE(INDEX(Subsheet!E:E,(ROW(A8)-1)*4+4):INDEX(Subsheet!E:E,(ROW(A8)-1)*4+7)),"0.000") &amp; " ± " &amp; TEXT(_xlfn.STDEV.S(INDEX(Subsheet!E:E,(ROW(A8)-1)*4+4):INDEX(Subsheet!E:E,(ROW(A8)-1)*4+7)),"0.000")</f>
        <v>30.000 ± 10.985</v>
      </c>
      <c r="E11" s="47" t="str">
        <f>TEXT(AVERAGE(INDEX(Subsheet!F:F,(ROW(B8)-1)*4+4):INDEX(Subsheet!F:F,(ROW(B8)-1)*4+7)),"0.000") &amp; " ± " &amp; TEXT(_xlfn.STDEV.S(INDEX(Subsheet!F:F,(ROW(B8)-1)*4+4):INDEX(Subsheet!F:F,(ROW(B8)-1)*4+7)),"0.000")</f>
        <v>0.891 ± 0.026</v>
      </c>
      <c r="F11" s="47" t="str">
        <f>TEXT(AVERAGE(INDEX(Subsheet!G:G,(ROW(C8)-1)*4+4):INDEX(Subsheet!G:G,(ROW(C8)-1)*4+7)),"0.000") &amp; " ± " &amp; TEXT(_xlfn.STDEV.S(INDEX(Subsheet!G:G,(ROW(C8)-1)*4+4):INDEX(Subsheet!G:G,(ROW(C8)-1)*4+7)),"0.000")</f>
        <v>0.432 ± 0.058</v>
      </c>
      <c r="G11" s="47" t="str">
        <f>TEXT(AVERAGE(INDEX(Subsheet!H:H,(ROW(D8)-1)*4+4):INDEX(Subsheet!H:H,(ROW(D8)-1)*4+7)),"0.000") &amp; " ± " &amp; TEXT(_xlfn.STDEV.S(INDEX(Subsheet!H:H,(ROW(D8)-1)*4+4):INDEX(Subsheet!H:H,(ROW(D8)-1)*4+7)),"0.000")</f>
        <v>0.495 ± 0.036</v>
      </c>
      <c r="H11" s="47" t="str">
        <f>TEXT(AVERAGE(INDEX(Subsheet!I:I,(ROW(E8)-1)*4+4):INDEX(Subsheet!I:I,(ROW(E8)-1)*4+7)),"0.000") &amp; " ± " &amp; TEXT(_xlfn.STDEV.S(INDEX(Subsheet!I:I,(ROW(E8)-1)*4+4):INDEX(Subsheet!I:I,(ROW(E8)-1)*4+7)),"0.000")</f>
        <v>0.457 ± 0.020</v>
      </c>
      <c r="I11" s="47" t="str">
        <f>TEXT(AVERAGE(INDEX(Subsheet!J:J,(ROW(F8)-1)*4+4):INDEX(Subsheet!J:J,(ROW(F8)-1)*4+7)),"0.000") &amp; " ± " &amp; TEXT(_xlfn.STDEV.S(INDEX(Subsheet!J:J,(ROW(F8)-1)*4+4):INDEX(Subsheet!J:J,(ROW(F8)-1)*4+7)),"0.000")</f>
        <v>0.857 ± 0.013</v>
      </c>
      <c r="J11" s="48" t="str">
        <f>TEXT(AVERAGE(INDEX(Subsheet!K:K,(ROW(G8)-1)*4+4):INDEX(Subsheet!K:K,(ROW(G8)-1)*4+7)),"0.000") &amp; " ± " &amp; TEXT(_xlfn.STDEV.S(INDEX(Subsheet!K:K,(ROW(G8)-1)*4+4):INDEX(Subsheet!K:K,(ROW(G8)-1)*4+7)),"0.000")</f>
        <v>0.445 ± 0.058</v>
      </c>
      <c r="K11" s="53" t="str">
        <f>TEXT(AVERAGE(INDEX(Subsheet!L:L,(ROW(H8)-1)*4+4):INDEX(Subsheet!L:L,(ROW(H8)-1)*4+7)),"0.000") &amp; " ± " &amp; TEXT(_xlfn.STDEV.S(INDEX(Subsheet!L:L,(ROW(H8)-1)*4+4):INDEX(Subsheet!L:L,(ROW(H8)-1)*4+7)),"0.000")</f>
        <v>0.885 ± 0.018</v>
      </c>
      <c r="L11" s="53" t="str">
        <f>TEXT(AVERAGE(INDEX(Subsheet!M:M,(ROW(I8)-1)*4+4):INDEX(Subsheet!M:M,(ROW(I8)-1)*4+7)),"0.000") &amp; " ± " &amp; TEXT(_xlfn.STDEV.S(INDEX(Subsheet!M:M,(ROW(I8)-1)*4+4):INDEX(Subsheet!M:M,(ROW(I8)-1)*4+7)),"0.000")</f>
        <v>0.357 ± 0.052</v>
      </c>
      <c r="M11" s="53" t="str">
        <f>TEXT(AVERAGE(INDEX(Subsheet!N:N,(ROW(J8)-1)*4+4):INDEX(Subsheet!N:N,(ROW(J8)-1)*4+7)),"0.000") &amp; " ± " &amp; TEXT(_xlfn.STDEV.S(INDEX(Subsheet!N:N,(ROW(J8)-1)*4+4):INDEX(Subsheet!N:N,(ROW(J8)-1)*4+7)),"0.000")</f>
        <v>0.436 ± 0.118</v>
      </c>
      <c r="N11" s="53" t="str">
        <f>TEXT(AVERAGE(INDEX(Subsheet!O:O,(ROW(K8)-1)*4+4):INDEX(Subsheet!O:O,(ROW(K8)-1)*4+7)),"0.000") &amp; " ± " &amp; TEXT(_xlfn.STDEV.S(INDEX(Subsheet!O:O,(ROW(K8)-1)*4+4):INDEX(Subsheet!O:O,(ROW(K8)-1)*4+7)),"0.000")</f>
        <v>0.385 ± 0.045</v>
      </c>
      <c r="O11" s="53" t="str">
        <f>TEXT(AVERAGE(INDEX(Subsheet!P:P,(ROW(L8)-1)*4+4):INDEX(Subsheet!P:P,(ROW(L8)-1)*4+7)),"0.000") &amp; " ± " &amp; TEXT(_xlfn.STDEV.S(INDEX(Subsheet!P:P,(ROW(L8)-1)*4+4):INDEX(Subsheet!P:P,(ROW(L8)-1)*4+7)),"0.000")</f>
        <v>0.827 ± 0.014</v>
      </c>
      <c r="P11" s="56" t="str">
        <f>TEXT(AVERAGE(INDEX(Subsheet!Q:Q,(ROW(M8)-1)*4+4):INDEX(Subsheet!Q:Q,(ROW(M8)-1)*4+7)),"0.000") &amp; " ± " &amp; TEXT(_xlfn.STDEV.S(INDEX(Subsheet!Q:Q,(ROW(M8)-1)*4+4):INDEX(Subsheet!Q:Q,(ROW(M8)-1)*4+7)),"0.000")</f>
        <v>0.350 ± 0.034</v>
      </c>
      <c r="Q11" s="60" t="str">
        <f>TEXT(AVERAGE(INDEX(Subsheet!R:R,(ROW(H8)-1)*4+4):INDEX(Subsheet!R:R,(ROW(H8)-1)*4+7)),"0.000") &amp; " ± " &amp; TEXT(_xlfn.STDEV.S(INDEX(Subsheet!R:R,(ROW(H8)-1)*4+4):INDEX(Subsheet!R:R,(ROW(H8)-1)*4+7)),"0.000")</f>
        <v>0.681 ± 0.055</v>
      </c>
      <c r="R11" s="61" t="str">
        <f>TEXT(AVERAGE(INDEX(Subsheet!S:S,(ROW(I8)-1)*4+4):INDEX(Subsheet!S:S,(ROW(I8)-1)*4+7)),"0.000") &amp; " ± " &amp; TEXT(_xlfn.STDEV.S(INDEX(Subsheet!S:S,(ROW(I8)-1)*4+4):INDEX(Subsheet!S:S,(ROW(I8)-1)*4+7)),"0.000")</f>
        <v>0.939 ± 0.013</v>
      </c>
      <c r="S11" s="61" t="str">
        <f>TEXT(AVERAGE(INDEX(Subsheet!T:T,(ROW(J8)-1)*4+4):INDEX(Subsheet!T:T,(ROW(J8)-1)*4+7)),"0.000") &amp; " ± " &amp; TEXT(_xlfn.STDEV.S(INDEX(Subsheet!T:T,(ROW(J8)-1)*4+4):INDEX(Subsheet!T:T,(ROW(J8)-1)*4+7)),"0.000")</f>
        <v>0.362 ± 0.121</v>
      </c>
      <c r="T11" s="61" t="str">
        <f>TEXT(AVERAGE(INDEX(Subsheet!U:U,(ROW(K8)-1)*4+4):INDEX(Subsheet!U:U,(ROW(K8)-1)*4+7)),"0.000") &amp; " ± " &amp; TEXT(_xlfn.STDEV.S(INDEX(Subsheet!U:U,(ROW(K8)-1)*4+4):INDEX(Subsheet!U:U,(ROW(K8)-1)*4+7)),"0.000")</f>
        <v>0.513 ± 0.135</v>
      </c>
      <c r="U11" s="61" t="str">
        <f>TEXT(AVERAGE(INDEX(Subsheet!V:V,(ROW(L8)-1)*4+4):INDEX(Subsheet!V:V,(ROW(L8)-1)*4+7)),"0.000") &amp; " ± " &amp; TEXT(_xlfn.STDEV.S(INDEX(Subsheet!V:V,(ROW(L8)-1)*4+4):INDEX(Subsheet!V:V,(ROW(L8)-1)*4+7)),"0.000")</f>
        <v>0.827 ± 0.022</v>
      </c>
      <c r="V11" s="62" t="str">
        <f>TEXT(AVERAGE(INDEX(Subsheet!W:W,(ROW(M8)-1)*4+4):INDEX(Subsheet!W:W,(ROW(M8)-1)*4+7)),"0.000") &amp; " ± " &amp; TEXT(_xlfn.STDEV.S(INDEX(Subsheet!W:W,(ROW(M8)-1)*4+4):INDEX(Subsheet!W:W,(ROW(M8)-1)*4+7)),"0.000")</f>
        <v>0.844 ± 0.027</v>
      </c>
    </row>
    <row r="12" spans="1:22" x14ac:dyDescent="0.25">
      <c r="A12" s="107"/>
      <c r="B12" s="107"/>
      <c r="C12" s="8">
        <v>50</v>
      </c>
      <c r="D12" s="29" t="str">
        <f>TEXT(AVERAGE(INDEX(Subsheet!E:E,(ROW(A9)-1)*4+4):INDEX(Subsheet!E:E,(ROW(A9)-1)*4+7)),"0.000") &amp; " ± " &amp; TEXT(_xlfn.STDEV.S(INDEX(Subsheet!E:E,(ROW(A9)-1)*4+4):INDEX(Subsheet!E:E,(ROW(A9)-1)*4+7)),"0.000")</f>
        <v>20.750 ± 7.500</v>
      </c>
      <c r="E12" s="49" t="str">
        <f>TEXT(AVERAGE(INDEX(Subsheet!F:F,(ROW(B9)-1)*4+4):INDEX(Subsheet!F:F,(ROW(B9)-1)*4+7)),"0.000") &amp; " ± " &amp; TEXT(_xlfn.STDEV.S(INDEX(Subsheet!F:F,(ROW(B9)-1)*4+4):INDEX(Subsheet!F:F,(ROW(B9)-1)*4+7)),"0.000")</f>
        <v>0.895 ± 0.022</v>
      </c>
      <c r="F12" s="49" t="str">
        <f>TEXT(AVERAGE(INDEX(Subsheet!G:G,(ROW(C9)-1)*4+4):INDEX(Subsheet!G:G,(ROW(C9)-1)*4+7)),"0.000") &amp; " ± " &amp; TEXT(_xlfn.STDEV.S(INDEX(Subsheet!G:G,(ROW(C9)-1)*4+4):INDEX(Subsheet!G:G,(ROW(C9)-1)*4+7)),"0.000")</f>
        <v>0.432 ± 0.057</v>
      </c>
      <c r="G12" s="49" t="str">
        <f>TEXT(AVERAGE(INDEX(Subsheet!H:H,(ROW(D9)-1)*4+4):INDEX(Subsheet!H:H,(ROW(D9)-1)*4+7)),"0.000") &amp; " ± " &amp; TEXT(_xlfn.STDEV.S(INDEX(Subsheet!H:H,(ROW(D9)-1)*4+4):INDEX(Subsheet!H:H,(ROW(D9)-1)*4+7)),"0.000")</f>
        <v>0.375 ± 0.086</v>
      </c>
      <c r="H12" s="49" t="str">
        <f>TEXT(AVERAGE(INDEX(Subsheet!I:I,(ROW(E9)-1)*4+4):INDEX(Subsheet!I:I,(ROW(E9)-1)*4+7)),"0.000") &amp; " ± " &amp; TEXT(_xlfn.STDEV.S(INDEX(Subsheet!I:I,(ROW(E9)-1)*4+4):INDEX(Subsheet!I:I,(ROW(E9)-1)*4+7)),"0.000")</f>
        <v>0.396 ± 0.055</v>
      </c>
      <c r="I12" s="49" t="str">
        <f>TEXT(AVERAGE(INDEX(Subsheet!J:J,(ROW(F9)-1)*4+4):INDEX(Subsheet!J:J,(ROW(F9)-1)*4+7)),"0.000") &amp; " ± " &amp; TEXT(_xlfn.STDEV.S(INDEX(Subsheet!J:J,(ROW(F9)-1)*4+4):INDEX(Subsheet!J:J,(ROW(F9)-1)*4+7)),"0.000")</f>
        <v>0.850 ± 0.024</v>
      </c>
      <c r="J12" s="50" t="str">
        <f>TEXT(AVERAGE(INDEX(Subsheet!K:K,(ROW(G9)-1)*4+4):INDEX(Subsheet!K:K,(ROW(G9)-1)*4+7)),"0.000") &amp; " ± " &amp; TEXT(_xlfn.STDEV.S(INDEX(Subsheet!K:K,(ROW(G9)-1)*4+4):INDEX(Subsheet!K:K,(ROW(G9)-1)*4+7)),"0.000")</f>
        <v>0.436 ± 0.042</v>
      </c>
      <c r="K12" s="57" t="str">
        <f>TEXT(AVERAGE(INDEX(Subsheet!L:L,(ROW(H9)-1)*4+4):INDEX(Subsheet!L:L,(ROW(H9)-1)*4+7)),"0.000") &amp; " ± " &amp; TEXT(_xlfn.STDEV.S(INDEX(Subsheet!L:L,(ROW(H9)-1)*4+4):INDEX(Subsheet!L:L,(ROW(H9)-1)*4+7)),"0.000")</f>
        <v>0.889 ± 0.012</v>
      </c>
      <c r="L12" s="57" t="str">
        <f>TEXT(AVERAGE(INDEX(Subsheet!M:M,(ROW(I9)-1)*4+4):INDEX(Subsheet!M:M,(ROW(I9)-1)*4+7)),"0.000") &amp; " ± " &amp; TEXT(_xlfn.STDEV.S(INDEX(Subsheet!M:M,(ROW(I9)-1)*4+4):INDEX(Subsheet!M:M,(ROW(I9)-1)*4+7)),"0.000")</f>
        <v>0.349 ± 0.020</v>
      </c>
      <c r="M12" s="57" t="str">
        <f>TEXT(AVERAGE(INDEX(Subsheet!N:N,(ROW(J9)-1)*4+4):INDEX(Subsheet!N:N,(ROW(J9)-1)*4+7)),"0.000") &amp; " ± " &amp; TEXT(_xlfn.STDEV.S(INDEX(Subsheet!N:N,(ROW(J9)-1)*4+4):INDEX(Subsheet!N:N,(ROW(J9)-1)*4+7)),"0.000")</f>
        <v>0.364 ± 0.110</v>
      </c>
      <c r="N12" s="57" t="str">
        <f>TEXT(AVERAGE(INDEX(Subsheet!O:O,(ROW(K9)-1)*4+4):INDEX(Subsheet!O:O,(ROW(K9)-1)*4+7)),"0.000") &amp; " ± " &amp; TEXT(_xlfn.STDEV.S(INDEX(Subsheet!O:O,(ROW(K9)-1)*4+4):INDEX(Subsheet!O:O,(ROW(K9)-1)*4+7)),"0.000")</f>
        <v>0.350 ± 0.041</v>
      </c>
      <c r="O12" s="57" t="str">
        <f>TEXT(AVERAGE(INDEX(Subsheet!P:P,(ROW(L9)-1)*4+4):INDEX(Subsheet!P:P,(ROW(L9)-1)*4+7)),"0.000") &amp; " ± " &amp; TEXT(_xlfn.STDEV.S(INDEX(Subsheet!P:P,(ROW(L9)-1)*4+4):INDEX(Subsheet!P:P,(ROW(L9)-1)*4+7)),"0.000")</f>
        <v>0.827 ± 0.027</v>
      </c>
      <c r="P12" s="58" t="str">
        <f>TEXT(AVERAGE(INDEX(Subsheet!Q:Q,(ROW(M9)-1)*4+4):INDEX(Subsheet!Q:Q,(ROW(M9)-1)*4+7)),"0.000") &amp; " ± " &amp; TEXT(_xlfn.STDEV.S(INDEX(Subsheet!Q:Q,(ROW(M9)-1)*4+4):INDEX(Subsheet!Q:Q,(ROW(M9)-1)*4+7)),"0.000")</f>
        <v>0.327 ± 0.039</v>
      </c>
      <c r="Q12" s="63" t="str">
        <f>TEXT(AVERAGE(INDEX(Subsheet!R:R,(ROW(H9)-1)*4+4):INDEX(Subsheet!R:R,(ROW(H9)-1)*4+7)),"0.000") &amp; " ± " &amp; TEXT(_xlfn.STDEV.S(INDEX(Subsheet!R:R,(ROW(H9)-1)*4+4):INDEX(Subsheet!R:R,(ROW(H9)-1)*4+7)),"0.000")</f>
        <v>0.668 ± 0.030</v>
      </c>
      <c r="R12" s="64" t="str">
        <f>TEXT(AVERAGE(INDEX(Subsheet!S:S,(ROW(I9)-1)*4+4):INDEX(Subsheet!S:S,(ROW(I9)-1)*4+7)),"0.000") &amp; " ± " &amp; TEXT(_xlfn.STDEV.S(INDEX(Subsheet!S:S,(ROW(I9)-1)*4+4):INDEX(Subsheet!S:S,(ROW(I9)-1)*4+7)),"0.000")</f>
        <v>0.916 ± 0.049</v>
      </c>
      <c r="S12" s="64" t="str">
        <f>TEXT(AVERAGE(INDEX(Subsheet!T:T,(ROW(J9)-1)*4+4):INDEX(Subsheet!T:T,(ROW(J9)-1)*4+7)),"0.000") &amp; " ± " &amp; TEXT(_xlfn.STDEV.S(INDEX(Subsheet!T:T,(ROW(J9)-1)*4+4):INDEX(Subsheet!T:T,(ROW(J9)-1)*4+7)),"0.000")</f>
        <v>0.348 ± 0.082</v>
      </c>
      <c r="T12" s="64" t="str">
        <f>TEXT(AVERAGE(INDEX(Subsheet!U:U,(ROW(K9)-1)*4+4):INDEX(Subsheet!U:U,(ROW(K9)-1)*4+7)),"0.000") &amp; " ± " &amp; TEXT(_xlfn.STDEV.S(INDEX(Subsheet!U:U,(ROW(K9)-1)*4+4):INDEX(Subsheet!U:U,(ROW(K9)-1)*4+7)),"0.000")</f>
        <v>0.499 ± 0.080</v>
      </c>
      <c r="U12" s="64" t="str">
        <f>TEXT(AVERAGE(INDEX(Subsheet!V:V,(ROW(L9)-1)*4+4):INDEX(Subsheet!V:V,(ROW(L9)-1)*4+7)),"0.000") &amp; " ± " &amp; TEXT(_xlfn.STDEV.S(INDEX(Subsheet!V:V,(ROW(L9)-1)*4+4):INDEX(Subsheet!V:V,(ROW(L9)-1)*4+7)),"0.000")</f>
        <v>0.802 ± 0.032</v>
      </c>
      <c r="V12" s="65" t="str">
        <f>TEXT(AVERAGE(INDEX(Subsheet!W:W,(ROW(M9)-1)*4+4):INDEX(Subsheet!W:W,(ROW(M9)-1)*4+7)),"0.000") &amp; " ± " &amp; TEXT(_xlfn.STDEV.S(INDEX(Subsheet!W:W,(ROW(M9)-1)*4+4):INDEX(Subsheet!W:W,(ROW(M9)-1)*4+7)),"0.000")</f>
        <v>0.818 ± 0.032</v>
      </c>
    </row>
    <row r="13" spans="1:22" x14ac:dyDescent="0.25">
      <c r="A13" s="103" t="s">
        <v>19</v>
      </c>
      <c r="B13" s="103" t="s">
        <v>103</v>
      </c>
      <c r="C13" s="10">
        <v>18</v>
      </c>
      <c r="D13" s="30" t="str">
        <f>TEXT(AVERAGE(INDEX(Subsheet!E:E,(ROW(A10)-1)*4+4):INDEX(Subsheet!E:E,(ROW(A10)-1)*4+7)),"0.000") &amp; " ± " &amp; TEXT(_xlfn.STDEV.S(INDEX(Subsheet!E:E,(ROW(A10)-1)*4+4):INDEX(Subsheet!E:E,(ROW(A10)-1)*4+7)),"0.000")</f>
        <v>15.500 ± 8.062</v>
      </c>
      <c r="E13" s="51" t="str">
        <f>TEXT(AVERAGE(INDEX(Subsheet!F:F,(ROW(B10)-1)*4+4):INDEX(Subsheet!F:F,(ROW(B10)-1)*4+7)),"0.000") &amp; " ± " &amp; TEXT(_xlfn.STDEV.S(INDEX(Subsheet!F:F,(ROW(B10)-1)*4+4):INDEX(Subsheet!F:F,(ROW(B10)-1)*4+7)),"0.000")</f>
        <v>0.883 ± 0.015</v>
      </c>
      <c r="F13" s="51" t="str">
        <f>TEXT(AVERAGE(INDEX(Subsheet!G:G,(ROW(C10)-1)*4+4):INDEX(Subsheet!G:G,(ROW(C10)-1)*4+7)),"0.000") &amp; " ± " &amp; TEXT(_xlfn.STDEV.S(INDEX(Subsheet!G:G,(ROW(C10)-1)*4+4):INDEX(Subsheet!G:G,(ROW(C10)-1)*4+7)),"0.000")</f>
        <v>0.392 ± 0.028</v>
      </c>
      <c r="G13" s="51" t="str">
        <f>TEXT(AVERAGE(INDEX(Subsheet!H:H,(ROW(D10)-1)*4+4):INDEX(Subsheet!H:H,(ROW(D10)-1)*4+7)),"0.000") &amp; " ± " &amp; TEXT(_xlfn.STDEV.S(INDEX(Subsheet!H:H,(ROW(D10)-1)*4+4):INDEX(Subsheet!H:H,(ROW(D10)-1)*4+7)),"0.000")</f>
        <v>0.466 ± 0.156</v>
      </c>
      <c r="H13" s="51" t="str">
        <f>TEXT(AVERAGE(INDEX(Subsheet!I:I,(ROW(E10)-1)*4+4):INDEX(Subsheet!I:I,(ROW(E10)-1)*4+7)),"0.000") &amp; " ± " &amp; TEXT(_xlfn.STDEV.S(INDEX(Subsheet!I:I,(ROW(E10)-1)*4+4):INDEX(Subsheet!I:I,(ROW(E10)-1)*4+7)),"0.000")</f>
        <v>0.414 ± 0.043</v>
      </c>
      <c r="I13" s="51" t="str">
        <f>TEXT(AVERAGE(INDEX(Subsheet!J:J,(ROW(F10)-1)*4+4):INDEX(Subsheet!J:J,(ROW(F10)-1)*4+7)),"0.000") &amp; " ± " &amp; TEXT(_xlfn.STDEV.S(INDEX(Subsheet!J:J,(ROW(F10)-1)*4+4):INDEX(Subsheet!J:J,(ROW(F10)-1)*4+7)),"0.000")</f>
        <v>0.856 ± 0.016</v>
      </c>
      <c r="J13" s="52" t="str">
        <f>TEXT(AVERAGE(INDEX(Subsheet!K:K,(ROW(G10)-1)*4+4):INDEX(Subsheet!K:K,(ROW(G10)-1)*4+7)),"0.000") &amp; " ± " &amp; TEXT(_xlfn.STDEV.S(INDEX(Subsheet!K:K,(ROW(G10)-1)*4+4):INDEX(Subsheet!K:K,(ROW(G10)-1)*4+7)),"0.000")</f>
        <v>0.407 ± 0.055</v>
      </c>
      <c r="K13" s="59" t="str">
        <f>TEXT(AVERAGE(INDEX(Subsheet!L:L,(ROW(H10)-1)*4+4):INDEX(Subsheet!L:L,(ROW(H10)-1)*4+7)),"0.000") &amp; " ± " &amp; TEXT(_xlfn.STDEV.S(INDEX(Subsheet!L:L,(ROW(H10)-1)*4+4):INDEX(Subsheet!L:L,(ROW(H10)-1)*4+7)),"0.000")</f>
        <v>0.874 ± 0.028</v>
      </c>
      <c r="L13" s="59" t="str">
        <f>TEXT(AVERAGE(INDEX(Subsheet!M:M,(ROW(I10)-1)*4+4):INDEX(Subsheet!M:M,(ROW(I10)-1)*4+7)),"0.000") &amp; " ± " &amp; TEXT(_xlfn.STDEV.S(INDEX(Subsheet!M:M,(ROW(I10)-1)*4+4):INDEX(Subsheet!M:M,(ROW(I10)-1)*4+7)),"0.000")</f>
        <v>0.329 ± 0.055</v>
      </c>
      <c r="M13" s="59" t="str">
        <f>TEXT(AVERAGE(INDEX(Subsheet!N:N,(ROW(J10)-1)*4+4):INDEX(Subsheet!N:N,(ROW(J10)-1)*4+7)),"0.000") &amp; " ± " &amp; TEXT(_xlfn.STDEV.S(INDEX(Subsheet!N:N,(ROW(J10)-1)*4+4):INDEX(Subsheet!N:N,(ROW(J10)-1)*4+7)),"0.000")</f>
        <v>0.420 ± 0.126</v>
      </c>
      <c r="N13" s="59" t="str">
        <f>TEXT(AVERAGE(INDEX(Subsheet!O:O,(ROW(K10)-1)*4+4):INDEX(Subsheet!O:O,(ROW(K10)-1)*4+7)),"0.000") &amp; " ± " &amp; TEXT(_xlfn.STDEV.S(INDEX(Subsheet!O:O,(ROW(K10)-1)*4+4):INDEX(Subsheet!O:O,(ROW(K10)-1)*4+7)),"0.000")</f>
        <v>0.356 ± 0.017</v>
      </c>
      <c r="O13" s="59" t="str">
        <f>TEXT(AVERAGE(INDEX(Subsheet!P:P,(ROW(L10)-1)*4+4):INDEX(Subsheet!P:P,(ROW(L10)-1)*4+7)),"0.000") &amp; " ± " &amp; TEXT(_xlfn.STDEV.S(INDEX(Subsheet!P:P,(ROW(L10)-1)*4+4):INDEX(Subsheet!P:P,(ROW(L10)-1)*4+7)),"0.000")</f>
        <v>0.833 ± 0.018</v>
      </c>
      <c r="P13" s="56" t="str">
        <f>TEXT(AVERAGE(INDEX(Subsheet!Q:Q,(ROW(M10)-1)*4+4):INDEX(Subsheet!Q:Q,(ROW(M10)-1)*4+7)),"0.000") &amp; " ± " &amp; TEXT(_xlfn.STDEV.S(INDEX(Subsheet!Q:Q,(ROW(M10)-1)*4+4):INDEX(Subsheet!Q:Q,(ROW(M10)-1)*4+7)),"0.000")</f>
        <v>0.331 ± 0.044</v>
      </c>
      <c r="Q13" s="60" t="str">
        <f>TEXT(AVERAGE(INDEX(Subsheet!R:R,(ROW(H10)-1)*4+4):INDEX(Subsheet!R:R,(ROW(H10)-1)*4+7)),"0.000") &amp; " ± " &amp; TEXT(_xlfn.STDEV.S(INDEX(Subsheet!R:R,(ROW(H10)-1)*4+4):INDEX(Subsheet!R:R,(ROW(H10)-1)*4+7)),"0.000")</f>
        <v>0.674 ± 0.033</v>
      </c>
      <c r="R13" s="61" t="str">
        <f>TEXT(AVERAGE(INDEX(Subsheet!S:S,(ROW(I10)-1)*4+4):INDEX(Subsheet!S:S,(ROW(I10)-1)*4+7)),"0.000") &amp; " ± " &amp; TEXT(_xlfn.STDEV.S(INDEX(Subsheet!S:S,(ROW(I10)-1)*4+4):INDEX(Subsheet!S:S,(ROW(I10)-1)*4+7)),"0.000")</f>
        <v>0.905 ± 0.032</v>
      </c>
      <c r="S13" s="61" t="str">
        <f>TEXT(AVERAGE(INDEX(Subsheet!T:T,(ROW(J10)-1)*4+4):INDEX(Subsheet!T:T,(ROW(J10)-1)*4+7)),"0.000") &amp; " ± " &amp; TEXT(_xlfn.STDEV.S(INDEX(Subsheet!T:T,(ROW(J10)-1)*4+4):INDEX(Subsheet!T:T,(ROW(J10)-1)*4+7)),"0.000")</f>
        <v>0.360 ± 0.064</v>
      </c>
      <c r="T13" s="61" t="str">
        <f>TEXT(AVERAGE(INDEX(Subsheet!U:U,(ROW(K10)-1)*4+4):INDEX(Subsheet!U:U,(ROW(K10)-1)*4+7)),"0.000") &amp; " ± " &amp; TEXT(_xlfn.STDEV.S(INDEX(Subsheet!U:U,(ROW(K10)-1)*4+4):INDEX(Subsheet!U:U,(ROW(K10)-1)*4+7)),"0.000")</f>
        <v>0.514 ± 0.070</v>
      </c>
      <c r="U13" s="61" t="str">
        <f>TEXT(AVERAGE(INDEX(Subsheet!V:V,(ROW(L10)-1)*4+4):INDEX(Subsheet!V:V,(ROW(L10)-1)*4+7)),"0.000") &amp; " ± " &amp; TEXT(_xlfn.STDEV.S(INDEX(Subsheet!V:V,(ROW(L10)-1)*4+4):INDEX(Subsheet!V:V,(ROW(L10)-1)*4+7)),"0.000")</f>
        <v>0.811 ± 0.036</v>
      </c>
      <c r="V13" s="62" t="str">
        <f>TEXT(AVERAGE(INDEX(Subsheet!W:W,(ROW(M10)-1)*4+4):INDEX(Subsheet!W:W,(ROW(M10)-1)*4+7)),"0.000") &amp; " ± " &amp; TEXT(_xlfn.STDEV.S(INDEX(Subsheet!W:W,(ROW(M10)-1)*4+4):INDEX(Subsheet!W:W,(ROW(M10)-1)*4+7)),"0.000")</f>
        <v>0.819 ± 0.037</v>
      </c>
    </row>
    <row r="14" spans="1:22" x14ac:dyDescent="0.25">
      <c r="A14" s="105"/>
      <c r="B14" s="105"/>
      <c r="C14" s="3">
        <v>34</v>
      </c>
      <c r="D14" s="28" t="str">
        <f>TEXT(AVERAGE(INDEX(Subsheet!E:E,(ROW(A11)-1)*4+4):INDEX(Subsheet!E:E,(ROW(A11)-1)*4+7)),"0.000") &amp; " ± " &amp; TEXT(_xlfn.STDEV.S(INDEX(Subsheet!E:E,(ROW(A11)-1)*4+4):INDEX(Subsheet!E:E,(ROW(A11)-1)*4+7)),"0.000")</f>
        <v>31.500 ± 12.124</v>
      </c>
      <c r="E14" s="47" t="str">
        <f>TEXT(AVERAGE(INDEX(Subsheet!F:F,(ROW(B11)-1)*4+4):INDEX(Subsheet!F:F,(ROW(B11)-1)*4+7)),"0.000") &amp; " ± " &amp; TEXT(_xlfn.STDEV.S(INDEX(Subsheet!F:F,(ROW(B11)-1)*4+4):INDEX(Subsheet!F:F,(ROW(B11)-1)*4+7)),"0.000")</f>
        <v>0.888 ± 0.026</v>
      </c>
      <c r="F14" s="47" t="str">
        <f>TEXT(AVERAGE(INDEX(Subsheet!G:G,(ROW(C11)-1)*4+4):INDEX(Subsheet!G:G,(ROW(C11)-1)*4+7)),"0.000") &amp; " ± " &amp; TEXT(_xlfn.STDEV.S(INDEX(Subsheet!G:G,(ROW(C11)-1)*4+4):INDEX(Subsheet!G:G,(ROW(C11)-1)*4+7)),"0.000")</f>
        <v>0.424 ± 0.049</v>
      </c>
      <c r="G14" s="47" t="str">
        <f>TEXT(AVERAGE(INDEX(Subsheet!H:H,(ROW(D11)-1)*4+4):INDEX(Subsheet!H:H,(ROW(D11)-1)*4+7)),"0.000") &amp; " ± " &amp; TEXT(_xlfn.STDEV.S(INDEX(Subsheet!H:H,(ROW(D11)-1)*4+4):INDEX(Subsheet!H:H,(ROW(D11)-1)*4+7)),"0.000")</f>
        <v>0.502 ± 0.095</v>
      </c>
      <c r="H14" s="47" t="str">
        <f>TEXT(AVERAGE(INDEX(Subsheet!I:I,(ROW(E11)-1)*4+4):INDEX(Subsheet!I:I,(ROW(E11)-1)*4+7)),"0.000") &amp; " ± " &amp; TEXT(_xlfn.STDEV.S(INDEX(Subsheet!I:I,(ROW(E11)-1)*4+4):INDEX(Subsheet!I:I,(ROW(E11)-1)*4+7)),"0.000")</f>
        <v>0.452 ± 0.029</v>
      </c>
      <c r="I14" s="47" t="str">
        <f>TEXT(AVERAGE(INDEX(Subsheet!J:J,(ROW(F11)-1)*4+4):INDEX(Subsheet!J:J,(ROW(F11)-1)*4+7)),"0.000") &amp; " ± " &amp; TEXT(_xlfn.STDEV.S(INDEX(Subsheet!J:J,(ROW(F11)-1)*4+4):INDEX(Subsheet!J:J,(ROW(F11)-1)*4+7)),"0.000")</f>
        <v>0.860 ± 0.012</v>
      </c>
      <c r="J14" s="48" t="str">
        <f>TEXT(AVERAGE(INDEX(Subsheet!K:K,(ROW(G11)-1)*4+4):INDEX(Subsheet!K:K,(ROW(G11)-1)*4+7)),"0.000") &amp; " ± " &amp; TEXT(_xlfn.STDEV.S(INDEX(Subsheet!K:K,(ROW(G11)-1)*4+4):INDEX(Subsheet!K:K,(ROW(G11)-1)*4+7)),"0.000")</f>
        <v>0.433 ± 0.055</v>
      </c>
      <c r="K14" s="53" t="str">
        <f>TEXT(AVERAGE(INDEX(Subsheet!L:L,(ROW(H11)-1)*4+4):INDEX(Subsheet!L:L,(ROW(H11)-1)*4+7)),"0.000") &amp; " ± " &amp; TEXT(_xlfn.STDEV.S(INDEX(Subsheet!L:L,(ROW(H11)-1)*4+4):INDEX(Subsheet!L:L,(ROW(H11)-1)*4+7)),"0.000")</f>
        <v>0.878 ± 0.015</v>
      </c>
      <c r="L14" s="53" t="str">
        <f>TEXT(AVERAGE(INDEX(Subsheet!M:M,(ROW(I11)-1)*4+4):INDEX(Subsheet!M:M,(ROW(I11)-1)*4+7)),"0.000") &amp; " ± " &amp; TEXT(_xlfn.STDEV.S(INDEX(Subsheet!M:M,(ROW(I11)-1)*4+4):INDEX(Subsheet!M:M,(ROW(I11)-1)*4+7)),"0.000")</f>
        <v>0.335 ± 0.021</v>
      </c>
      <c r="M14" s="53" t="str">
        <f>TEXT(AVERAGE(INDEX(Subsheet!N:N,(ROW(J11)-1)*4+4):INDEX(Subsheet!N:N,(ROW(J11)-1)*4+7)),"0.000") &amp; " ± " &amp; TEXT(_xlfn.STDEV.S(INDEX(Subsheet!N:N,(ROW(J11)-1)*4+4):INDEX(Subsheet!N:N,(ROW(J11)-1)*4+7)),"0.000")</f>
        <v>0.445 ± 0.128</v>
      </c>
      <c r="N14" s="53" t="str">
        <f>TEXT(AVERAGE(INDEX(Subsheet!O:O,(ROW(K11)-1)*4+4):INDEX(Subsheet!O:O,(ROW(K11)-1)*4+7)),"0.000") &amp; " ± " &amp; TEXT(_xlfn.STDEV.S(INDEX(Subsheet!O:O,(ROW(K11)-1)*4+4):INDEX(Subsheet!O:O,(ROW(K11)-1)*4+7)),"0.000")</f>
        <v>0.375 ± 0.039</v>
      </c>
      <c r="O14" s="53" t="str">
        <f>TEXT(AVERAGE(INDEX(Subsheet!P:P,(ROW(L11)-1)*4+4):INDEX(Subsheet!P:P,(ROW(L11)-1)*4+7)),"0.000") &amp; " ± " &amp; TEXT(_xlfn.STDEV.S(INDEX(Subsheet!P:P,(ROW(L11)-1)*4+4):INDEX(Subsheet!P:P,(ROW(L11)-1)*4+7)),"0.000")</f>
        <v>0.828 ± 0.022</v>
      </c>
      <c r="P14" s="56" t="str">
        <f>TEXT(AVERAGE(INDEX(Subsheet!Q:Q,(ROW(M11)-1)*4+4):INDEX(Subsheet!Q:Q,(ROW(M11)-1)*4+7)),"0.000") &amp; " ± " &amp; TEXT(_xlfn.STDEV.S(INDEX(Subsheet!Q:Q,(ROW(M11)-1)*4+4):INDEX(Subsheet!Q:Q,(ROW(M11)-1)*4+7)),"0.000")</f>
        <v>0.343 ± 0.026</v>
      </c>
      <c r="Q14" s="60" t="str">
        <f>TEXT(AVERAGE(INDEX(Subsheet!R:R,(ROW(H11)-1)*4+4):INDEX(Subsheet!R:R,(ROW(H11)-1)*4+7)),"0.000") &amp; " ± " &amp; TEXT(_xlfn.STDEV.S(INDEX(Subsheet!R:R,(ROW(H11)-1)*4+4):INDEX(Subsheet!R:R,(ROW(H11)-1)*4+7)),"0.000")</f>
        <v>0.634 ± 0.030</v>
      </c>
      <c r="R14" s="61" t="str">
        <f>TEXT(AVERAGE(INDEX(Subsheet!S:S,(ROW(I11)-1)*4+4):INDEX(Subsheet!S:S,(ROW(I11)-1)*4+7)),"0.000") &amp; " ± " &amp; TEXT(_xlfn.STDEV.S(INDEX(Subsheet!S:S,(ROW(I11)-1)*4+4):INDEX(Subsheet!S:S,(ROW(I11)-1)*4+7)),"0.000")</f>
        <v>0.931 ± 0.016</v>
      </c>
      <c r="S14" s="61" t="str">
        <f>TEXT(AVERAGE(INDEX(Subsheet!T:T,(ROW(J11)-1)*4+4):INDEX(Subsheet!T:T,(ROW(J11)-1)*4+7)),"0.000") &amp; " ± " &amp; TEXT(_xlfn.STDEV.S(INDEX(Subsheet!T:T,(ROW(J11)-1)*4+4):INDEX(Subsheet!T:T,(ROW(J11)-1)*4+7)),"0.000")</f>
        <v>0.262 ± 0.067</v>
      </c>
      <c r="T14" s="61" t="str">
        <f>TEXT(AVERAGE(INDEX(Subsheet!U:U,(ROW(K11)-1)*4+4):INDEX(Subsheet!U:U,(ROW(K11)-1)*4+7)),"0.000") &amp; " ± " &amp; TEXT(_xlfn.STDEV.S(INDEX(Subsheet!U:U,(ROW(K11)-1)*4+4):INDEX(Subsheet!U:U,(ROW(K11)-1)*4+7)),"0.000")</f>
        <v>0.405 ± 0.078</v>
      </c>
      <c r="U14" s="61" t="str">
        <f>TEXT(AVERAGE(INDEX(Subsheet!V:V,(ROW(L11)-1)*4+4):INDEX(Subsheet!V:V,(ROW(L11)-1)*4+7)),"0.000") &amp; " ± " &amp; TEXT(_xlfn.STDEV.S(INDEX(Subsheet!V:V,(ROW(L11)-1)*4+4):INDEX(Subsheet!V:V,(ROW(L11)-1)*4+7)),"0.000")</f>
        <v>0.785 ± 0.017</v>
      </c>
      <c r="V14" s="62" t="str">
        <f>TEXT(AVERAGE(INDEX(Subsheet!W:W,(ROW(M11)-1)*4+4):INDEX(Subsheet!W:W,(ROW(M11)-1)*4+7)),"0.000") &amp; " ± " &amp; TEXT(_xlfn.STDEV.S(INDEX(Subsheet!W:W,(ROW(M11)-1)*4+4):INDEX(Subsheet!W:W,(ROW(M11)-1)*4+7)),"0.000")</f>
        <v>0.798 ± 0.025</v>
      </c>
    </row>
    <row r="15" spans="1:22" x14ac:dyDescent="0.25">
      <c r="A15" s="107"/>
      <c r="B15" s="107"/>
      <c r="C15" s="8">
        <v>50</v>
      </c>
      <c r="D15" s="29" t="str">
        <f>TEXT(AVERAGE(INDEX(Subsheet!E:E,(ROW(A12)-1)*4+4):INDEX(Subsheet!E:E,(ROW(A12)-1)*4+7)),"0.000") &amp; " ± " &amp; TEXT(_xlfn.STDEV.S(INDEX(Subsheet!E:E,(ROW(A12)-1)*4+4):INDEX(Subsheet!E:E,(ROW(A12)-1)*4+7)),"0.000")</f>
        <v>13.500 ± 3.873</v>
      </c>
      <c r="E15" s="49" t="str">
        <f>TEXT(AVERAGE(INDEX(Subsheet!F:F,(ROW(B12)-1)*4+4):INDEX(Subsheet!F:F,(ROW(B12)-1)*4+7)),"0.000") &amp; " ± " &amp; TEXT(_xlfn.STDEV.S(INDEX(Subsheet!F:F,(ROW(B12)-1)*4+4):INDEX(Subsheet!F:F,(ROW(B12)-1)*4+7)),"0.000")</f>
        <v>0.897 ± 0.030</v>
      </c>
      <c r="F15" s="49" t="str">
        <f>TEXT(AVERAGE(INDEX(Subsheet!G:G,(ROW(C12)-1)*4+4):INDEX(Subsheet!G:G,(ROW(C12)-1)*4+7)),"0.000") &amp; " ± " &amp; TEXT(_xlfn.STDEV.S(INDEX(Subsheet!G:G,(ROW(C12)-1)*4+4):INDEX(Subsheet!G:G,(ROW(C12)-1)*4+7)),"0.000")</f>
        <v>0.536 ± 0.164</v>
      </c>
      <c r="G15" s="49" t="str">
        <f>TEXT(AVERAGE(INDEX(Subsheet!H:H,(ROW(D12)-1)*4+4):INDEX(Subsheet!H:H,(ROW(D12)-1)*4+7)),"0.000") &amp; " ± " &amp; TEXT(_xlfn.STDEV.S(INDEX(Subsheet!H:H,(ROW(D12)-1)*4+4):INDEX(Subsheet!H:H,(ROW(D12)-1)*4+7)),"0.000")</f>
        <v>0.279 ± 0.211</v>
      </c>
      <c r="H15" s="49" t="str">
        <f>TEXT(AVERAGE(INDEX(Subsheet!I:I,(ROW(E12)-1)*4+4):INDEX(Subsheet!I:I,(ROW(E12)-1)*4+7)),"0.000") &amp; " ± " &amp; TEXT(_xlfn.STDEV.S(INDEX(Subsheet!I:I,(ROW(E12)-1)*4+4):INDEX(Subsheet!I:I,(ROW(E12)-1)*4+7)),"0.000")</f>
        <v>0.304 ± 0.085</v>
      </c>
      <c r="I15" s="49" t="str">
        <f>TEXT(AVERAGE(INDEX(Subsheet!J:J,(ROW(F12)-1)*4+4):INDEX(Subsheet!J:J,(ROW(F12)-1)*4+7)),"0.000") &amp; " ± " &amp; TEXT(_xlfn.STDEV.S(INDEX(Subsheet!J:J,(ROW(F12)-1)*4+4):INDEX(Subsheet!J:J,(ROW(F12)-1)*4+7)),"0.000")</f>
        <v>0.847 ± 0.026</v>
      </c>
      <c r="J15" s="50" t="str">
        <f>TEXT(AVERAGE(INDEX(Subsheet!K:K,(ROW(G12)-1)*4+4):INDEX(Subsheet!K:K,(ROW(G12)-1)*4+7)),"0.000") &amp; " ± " &amp; TEXT(_xlfn.STDEV.S(INDEX(Subsheet!K:K,(ROW(G12)-1)*4+4):INDEX(Subsheet!K:K,(ROW(G12)-1)*4+7)),"0.000")</f>
        <v>0.429 ± 0.040</v>
      </c>
      <c r="K15" s="57" t="str">
        <f>TEXT(AVERAGE(INDEX(Subsheet!L:L,(ROW(H12)-1)*4+4):INDEX(Subsheet!L:L,(ROW(H12)-1)*4+7)),"0.000") &amp; " ± " &amp; TEXT(_xlfn.STDEV.S(INDEX(Subsheet!L:L,(ROW(H12)-1)*4+4):INDEX(Subsheet!L:L,(ROW(H12)-1)*4+7)),"0.000")</f>
        <v>0.896 ± 0.040</v>
      </c>
      <c r="L15" s="57" t="str">
        <f>TEXT(AVERAGE(INDEX(Subsheet!M:M,(ROW(I12)-1)*4+4):INDEX(Subsheet!M:M,(ROW(I12)-1)*4+7)),"0.000") &amp; " ± " &amp; TEXT(_xlfn.STDEV.S(INDEX(Subsheet!M:M,(ROW(I12)-1)*4+4):INDEX(Subsheet!M:M,(ROW(I12)-1)*4+7)),"0.000")</f>
        <v>0.444 ± 0.127</v>
      </c>
      <c r="M15" s="57" t="str">
        <f>TEXT(AVERAGE(INDEX(Subsheet!N:N,(ROW(J12)-1)*4+4):INDEX(Subsheet!N:N,(ROW(J12)-1)*4+7)),"0.000") &amp; " ± " &amp; TEXT(_xlfn.STDEV.S(INDEX(Subsheet!N:N,(ROW(J12)-1)*4+4):INDEX(Subsheet!N:N,(ROW(J12)-1)*4+7)),"0.000")</f>
        <v>0.257 ± 0.220</v>
      </c>
      <c r="N15" s="57" t="str">
        <f>TEXT(AVERAGE(INDEX(Subsheet!O:O,(ROW(K12)-1)*4+4):INDEX(Subsheet!O:O,(ROW(K12)-1)*4+7)),"0.000") &amp; " ± " &amp; TEXT(_xlfn.STDEV.S(INDEX(Subsheet!O:O,(ROW(K12)-1)*4+4):INDEX(Subsheet!O:O,(ROW(K12)-1)*4+7)),"0.000")</f>
        <v>0.261 ± 0.085</v>
      </c>
      <c r="O15" s="57" t="str">
        <f>TEXT(AVERAGE(INDEX(Subsheet!P:P,(ROW(L12)-1)*4+4):INDEX(Subsheet!P:P,(ROW(L12)-1)*4+7)),"0.000") &amp; " ± " &amp; TEXT(_xlfn.STDEV.S(INDEX(Subsheet!P:P,(ROW(L12)-1)*4+4):INDEX(Subsheet!P:P,(ROW(L12)-1)*4+7)),"0.000")</f>
        <v>0.828 ± 0.021</v>
      </c>
      <c r="P15" s="58" t="str">
        <f>TEXT(AVERAGE(INDEX(Subsheet!Q:Q,(ROW(M12)-1)*4+4):INDEX(Subsheet!Q:Q,(ROW(M12)-1)*4+7)),"0.000") &amp; " ± " &amp; TEXT(_xlfn.STDEV.S(INDEX(Subsheet!Q:Q,(ROW(M12)-1)*4+4):INDEX(Subsheet!Q:Q,(ROW(M12)-1)*4+7)),"0.000")</f>
        <v>0.324 ± 0.024</v>
      </c>
      <c r="Q15" s="63" t="str">
        <f>TEXT(AVERAGE(INDEX(Subsheet!R:R,(ROW(H12)-1)*4+4):INDEX(Subsheet!R:R,(ROW(H12)-1)*4+7)),"0.000") &amp; " ± " &amp; TEXT(_xlfn.STDEV.S(INDEX(Subsheet!R:R,(ROW(H12)-1)*4+4):INDEX(Subsheet!R:R,(ROW(H12)-1)*4+7)),"0.000")</f>
        <v>0.596 ± 0.072</v>
      </c>
      <c r="R15" s="64" t="str">
        <f>TEXT(AVERAGE(INDEX(Subsheet!S:S,(ROW(I12)-1)*4+4):INDEX(Subsheet!S:S,(ROW(I12)-1)*4+7)),"0.000") &amp; " ± " &amp; TEXT(_xlfn.STDEV.S(INDEX(Subsheet!S:S,(ROW(I12)-1)*4+4):INDEX(Subsheet!S:S,(ROW(I12)-1)*4+7)),"0.000")</f>
        <v>0.956 ± 0.087</v>
      </c>
      <c r="S15" s="64" t="str">
        <f>TEXT(AVERAGE(INDEX(Subsheet!T:T,(ROW(J12)-1)*4+4):INDEX(Subsheet!T:T,(ROW(J12)-1)*4+7)),"0.000") &amp; " ± " &amp; TEXT(_xlfn.STDEV.S(INDEX(Subsheet!T:T,(ROW(J12)-1)*4+4):INDEX(Subsheet!T:T,(ROW(J12)-1)*4+7)),"0.000")</f>
        <v>0.188 ± 0.200</v>
      </c>
      <c r="T15" s="64" t="str">
        <f>TEXT(AVERAGE(INDEX(Subsheet!U:U,(ROW(K12)-1)*4+4):INDEX(Subsheet!U:U,(ROW(K12)-1)*4+7)),"0.000") &amp; " ± " &amp; TEXT(_xlfn.STDEV.S(INDEX(Subsheet!U:U,(ROW(K12)-1)*4+4):INDEX(Subsheet!U:U,(ROW(K12)-1)*4+7)),"0.000")</f>
        <v>0.274 ± 0.230</v>
      </c>
      <c r="U15" s="64" t="str">
        <f>TEXT(AVERAGE(INDEX(Subsheet!V:V,(ROW(L12)-1)*4+4):INDEX(Subsheet!V:V,(ROW(L12)-1)*4+7)),"0.000") &amp; " ± " &amp; TEXT(_xlfn.STDEV.S(INDEX(Subsheet!V:V,(ROW(L12)-1)*4+4):INDEX(Subsheet!V:V,(ROW(L12)-1)*4+7)),"0.000")</f>
        <v>0.807 ± 0.024</v>
      </c>
      <c r="V15" s="65" t="str">
        <f>TEXT(AVERAGE(INDEX(Subsheet!W:W,(ROW(M12)-1)*4+4):INDEX(Subsheet!W:W,(ROW(M12)-1)*4+7)),"0.000") &amp; " ± " &amp; TEXT(_xlfn.STDEV.S(INDEX(Subsheet!W:W,(ROW(M12)-1)*4+4):INDEX(Subsheet!W:W,(ROW(M12)-1)*4+7)),"0.000")</f>
        <v>0.815 ± 0.032</v>
      </c>
    </row>
    <row r="16" spans="1:22" x14ac:dyDescent="0.25">
      <c r="A16" s="103" t="s">
        <v>24</v>
      </c>
      <c r="B16" s="103" t="s">
        <v>104</v>
      </c>
      <c r="C16" s="10">
        <v>18</v>
      </c>
      <c r="D16" s="30" t="str">
        <f>TEXT(AVERAGE(INDEX(Subsheet!E:E,(ROW(A13)-1)*4+4):INDEX(Subsheet!E:E,(ROW(A13)-1)*4+7)),"0.000") &amp; " ± " &amp; TEXT(_xlfn.STDEV.S(INDEX(Subsheet!E:E,(ROW(A13)-1)*4+4):INDEX(Subsheet!E:E,(ROW(A13)-1)*4+7)),"0.000")</f>
        <v>7.000 ± 1.155</v>
      </c>
      <c r="E16" s="51" t="str">
        <f>TEXT(AVERAGE(INDEX(Subsheet!F:F,(ROW(B13)-1)*4+4):INDEX(Subsheet!F:F,(ROW(B13)-1)*4+7)),"0.000") &amp; " ± " &amp; TEXT(_xlfn.STDEV.S(INDEX(Subsheet!F:F,(ROW(B13)-1)*4+4):INDEX(Subsheet!F:F,(ROW(B13)-1)*4+7)),"0.000")</f>
        <v>0.880 ± 0.029</v>
      </c>
      <c r="F16" s="51" t="str">
        <f>TEXT(AVERAGE(INDEX(Subsheet!G:G,(ROW(C13)-1)*4+4):INDEX(Subsheet!G:G,(ROW(C13)-1)*4+7)),"0.000") &amp; " ± " &amp; TEXT(_xlfn.STDEV.S(INDEX(Subsheet!G:G,(ROW(C13)-1)*4+4):INDEX(Subsheet!G:G,(ROW(C13)-1)*4+7)),"0.000")</f>
        <v>0.439 ± 0.121</v>
      </c>
      <c r="G16" s="51" t="str">
        <f>TEXT(AVERAGE(INDEX(Subsheet!H:H,(ROW(D13)-1)*4+4):INDEX(Subsheet!H:H,(ROW(D13)-1)*4+7)),"0.000") &amp; " ± " &amp; TEXT(_xlfn.STDEV.S(INDEX(Subsheet!H:H,(ROW(D13)-1)*4+4):INDEX(Subsheet!H:H,(ROW(D13)-1)*4+7)),"0.000")</f>
        <v>0.593 ± 0.201</v>
      </c>
      <c r="H16" s="51" t="str">
        <f>TEXT(AVERAGE(INDEX(Subsheet!I:I,(ROW(E13)-1)*4+4):INDEX(Subsheet!I:I,(ROW(E13)-1)*4+7)),"0.000") &amp; " ± " &amp; TEXT(_xlfn.STDEV.S(INDEX(Subsheet!I:I,(ROW(E13)-1)*4+4):INDEX(Subsheet!I:I,(ROW(E13)-1)*4+7)),"0.000")</f>
        <v>0.468 ± 0.044</v>
      </c>
      <c r="I16" s="51" t="str">
        <f>TEXT(AVERAGE(INDEX(Subsheet!J:J,(ROW(F13)-1)*4+4):INDEX(Subsheet!J:J,(ROW(F13)-1)*4+7)),"0.000") &amp; " ± " &amp; TEXT(_xlfn.STDEV.S(INDEX(Subsheet!J:J,(ROW(F13)-1)*4+4):INDEX(Subsheet!J:J,(ROW(F13)-1)*4+7)),"0.000")</f>
        <v>0.869 ± 0.024</v>
      </c>
      <c r="J16" s="52" t="str">
        <f>TEXT(AVERAGE(INDEX(Subsheet!K:K,(ROW(G13)-1)*4+4):INDEX(Subsheet!K:K,(ROW(G13)-1)*4+7)),"0.000") &amp; " ± " &amp; TEXT(_xlfn.STDEV.S(INDEX(Subsheet!K:K,(ROW(G13)-1)*4+4):INDEX(Subsheet!K:K,(ROW(G13)-1)*4+7)),"0.000")</f>
        <v>0.492 ± 0.049</v>
      </c>
      <c r="K16" s="59" t="str">
        <f>TEXT(AVERAGE(INDEX(Subsheet!L:L,(ROW(H13)-1)*4+4):INDEX(Subsheet!L:L,(ROW(H13)-1)*4+7)),"0.000") &amp; " ± " &amp; TEXT(_xlfn.STDEV.S(INDEX(Subsheet!L:L,(ROW(H13)-1)*4+4):INDEX(Subsheet!L:L,(ROW(H13)-1)*4+7)),"0.000")</f>
        <v>0.861 ± 0.043</v>
      </c>
      <c r="L16" s="59" t="str">
        <f>TEXT(AVERAGE(INDEX(Subsheet!M:M,(ROW(I13)-1)*4+4):INDEX(Subsheet!M:M,(ROW(I13)-1)*4+7)),"0.000") &amp; " ± " &amp; TEXT(_xlfn.STDEV.S(INDEX(Subsheet!M:M,(ROW(I13)-1)*4+4):INDEX(Subsheet!M:M,(ROW(I13)-1)*4+7)),"0.000")</f>
        <v>0.356 ± 0.106</v>
      </c>
      <c r="M16" s="59" t="str">
        <f>TEXT(AVERAGE(INDEX(Subsheet!N:N,(ROW(J13)-1)*4+4):INDEX(Subsheet!N:N,(ROW(J13)-1)*4+7)),"0.000") &amp; " ± " &amp; TEXT(_xlfn.STDEV.S(INDEX(Subsheet!N:N,(ROW(J13)-1)*4+4):INDEX(Subsheet!N:N,(ROW(J13)-1)*4+7)),"0.000")</f>
        <v>0.577 ± 0.174</v>
      </c>
      <c r="N16" s="59" t="str">
        <f>TEXT(AVERAGE(INDEX(Subsheet!O:O,(ROW(K13)-1)*4+4):INDEX(Subsheet!O:O,(ROW(K13)-1)*4+7)),"0.000") &amp; " ± " &amp; TEXT(_xlfn.STDEV.S(INDEX(Subsheet!O:O,(ROW(K13)-1)*4+4):INDEX(Subsheet!O:O,(ROW(K13)-1)*4+7)),"0.000")</f>
        <v>0.411 ± 0.022</v>
      </c>
      <c r="O16" s="59" t="str">
        <f>TEXT(AVERAGE(INDEX(Subsheet!P:P,(ROW(L13)-1)*4+4):INDEX(Subsheet!P:P,(ROW(L13)-1)*4+7)),"0.000") &amp; " ± " &amp; TEXT(_xlfn.STDEV.S(INDEX(Subsheet!P:P,(ROW(L13)-1)*4+4):INDEX(Subsheet!P:P,(ROW(L13)-1)*4+7)),"0.000")</f>
        <v>0.865 ± 0.004</v>
      </c>
      <c r="P16" s="56" t="str">
        <f>TEXT(AVERAGE(INDEX(Subsheet!Q:Q,(ROW(M13)-1)*4+4):INDEX(Subsheet!Q:Q,(ROW(M13)-1)*4+7)),"0.000") &amp; " ± " &amp; TEXT(_xlfn.STDEV.S(INDEX(Subsheet!Q:Q,(ROW(M13)-1)*4+4):INDEX(Subsheet!Q:Q,(ROW(M13)-1)*4+7)),"0.000")</f>
        <v>0.414 ± 0.025</v>
      </c>
      <c r="Q16" s="60" t="str">
        <f>TEXT(AVERAGE(INDEX(Subsheet!R:R,(ROW(H13)-1)*4+4):INDEX(Subsheet!R:R,(ROW(H13)-1)*4+7)),"0.000") &amp; " ± " &amp; TEXT(_xlfn.STDEV.S(INDEX(Subsheet!R:R,(ROW(H13)-1)*4+4):INDEX(Subsheet!R:R,(ROW(H13)-1)*4+7)),"0.000")</f>
        <v>0.692 ± 0.068</v>
      </c>
      <c r="R16" s="61" t="str">
        <f>TEXT(AVERAGE(INDEX(Subsheet!S:S,(ROW(I13)-1)*4+4):INDEX(Subsheet!S:S,(ROW(I13)-1)*4+7)),"0.000") &amp; " ± " &amp; TEXT(_xlfn.STDEV.S(INDEX(Subsheet!S:S,(ROW(I13)-1)*4+4):INDEX(Subsheet!S:S,(ROW(I13)-1)*4+7)),"0.000")</f>
        <v>0.909 ± 0.042</v>
      </c>
      <c r="S16" s="61" t="str">
        <f>TEXT(AVERAGE(INDEX(Subsheet!T:T,(ROW(J13)-1)*4+4):INDEX(Subsheet!T:T,(ROW(J13)-1)*4+7)),"0.000") &amp; " ± " &amp; TEXT(_xlfn.STDEV.S(INDEX(Subsheet!T:T,(ROW(J13)-1)*4+4):INDEX(Subsheet!T:T,(ROW(J13)-1)*4+7)),"0.000")</f>
        <v>0.410 ± 0.172</v>
      </c>
      <c r="T16" s="61" t="str">
        <f>TEXT(AVERAGE(INDEX(Subsheet!U:U,(ROW(K13)-1)*4+4):INDEX(Subsheet!U:U,(ROW(K13)-1)*4+7)),"0.000") &amp; " ± " &amp; TEXT(_xlfn.STDEV.S(INDEX(Subsheet!U:U,(ROW(K13)-1)*4+4):INDEX(Subsheet!U:U,(ROW(K13)-1)*4+7)),"0.000")</f>
        <v>0.544 ± 0.181</v>
      </c>
      <c r="U16" s="61" t="str">
        <f>TEXT(AVERAGE(INDEX(Subsheet!V:V,(ROW(L13)-1)*4+4):INDEX(Subsheet!V:V,(ROW(L13)-1)*4+7)),"0.000") &amp; " ± " &amp; TEXT(_xlfn.STDEV.S(INDEX(Subsheet!V:V,(ROW(L13)-1)*4+4):INDEX(Subsheet!V:V,(ROW(L13)-1)*4+7)),"0.000")</f>
        <v>0.807 ± 0.008</v>
      </c>
      <c r="V16" s="62" t="str">
        <f>TEXT(AVERAGE(INDEX(Subsheet!W:W,(ROW(M13)-1)*4+4):INDEX(Subsheet!W:W,(ROW(M13)-1)*4+7)),"0.000") &amp; " ± " &amp; TEXT(_xlfn.STDEV.S(INDEX(Subsheet!W:W,(ROW(M13)-1)*4+4):INDEX(Subsheet!W:W,(ROW(M13)-1)*4+7)),"0.000")</f>
        <v>0.826 ± 0.011</v>
      </c>
    </row>
    <row r="17" spans="1:22" x14ac:dyDescent="0.25">
      <c r="A17" s="105"/>
      <c r="B17" s="105"/>
      <c r="C17" s="3">
        <v>34</v>
      </c>
      <c r="D17" s="28" t="str">
        <f>TEXT(AVERAGE(INDEX(Subsheet!E:E,(ROW(A14)-1)*4+4):INDEX(Subsheet!E:E,(ROW(A14)-1)*4+7)),"0.000") &amp; " ± " &amp; TEXT(_xlfn.STDEV.S(INDEX(Subsheet!E:E,(ROW(A14)-1)*4+4):INDEX(Subsheet!E:E,(ROW(A14)-1)*4+7)),"0.000")</f>
        <v>16.000 ± 12.193</v>
      </c>
      <c r="E17" s="47" t="str">
        <f>TEXT(AVERAGE(INDEX(Subsheet!F:F,(ROW(B14)-1)*4+4):INDEX(Subsheet!F:F,(ROW(B14)-1)*4+7)),"0.000") &amp; " ± " &amp; TEXT(_xlfn.STDEV.S(INDEX(Subsheet!F:F,(ROW(B14)-1)*4+4):INDEX(Subsheet!F:F,(ROW(B14)-1)*4+7)),"0.000")</f>
        <v>0.900 ± 0.021</v>
      </c>
      <c r="F17" s="47" t="str">
        <f>TEXT(AVERAGE(INDEX(Subsheet!G:G,(ROW(C14)-1)*4+4):INDEX(Subsheet!G:G,(ROW(C14)-1)*4+7)),"0.000") &amp; " ± " &amp; TEXT(_xlfn.STDEV.S(INDEX(Subsheet!G:G,(ROW(C14)-1)*4+4):INDEX(Subsheet!G:G,(ROW(C14)-1)*4+7)),"0.000")</f>
        <v>0.485 ± 0.080</v>
      </c>
      <c r="G17" s="47" t="str">
        <f>TEXT(AVERAGE(INDEX(Subsheet!H:H,(ROW(D14)-1)*4+4):INDEX(Subsheet!H:H,(ROW(D14)-1)*4+7)),"0.000") &amp; " ± " &amp; TEXT(_xlfn.STDEV.S(INDEX(Subsheet!H:H,(ROW(D14)-1)*4+4):INDEX(Subsheet!H:H,(ROW(D14)-1)*4+7)),"0.000")</f>
        <v>0.484 ± 0.154</v>
      </c>
      <c r="H17" s="47" t="str">
        <f>TEXT(AVERAGE(INDEX(Subsheet!I:I,(ROW(E14)-1)*4+4):INDEX(Subsheet!I:I,(ROW(E14)-1)*4+7)),"0.000") &amp; " ± " &amp; TEXT(_xlfn.STDEV.S(INDEX(Subsheet!I:I,(ROW(E14)-1)*4+4):INDEX(Subsheet!I:I,(ROW(E14)-1)*4+7)),"0.000")</f>
        <v>0.462 ± 0.062</v>
      </c>
      <c r="I17" s="47" t="str">
        <f>TEXT(AVERAGE(INDEX(Subsheet!J:J,(ROW(F14)-1)*4+4):INDEX(Subsheet!J:J,(ROW(F14)-1)*4+7)),"0.000") &amp; " ± " &amp; TEXT(_xlfn.STDEV.S(INDEX(Subsheet!J:J,(ROW(F14)-1)*4+4):INDEX(Subsheet!J:J,(ROW(F14)-1)*4+7)),"0.000")</f>
        <v>0.876 ± 0.021</v>
      </c>
      <c r="J17" s="48" t="str">
        <f>TEXT(AVERAGE(INDEX(Subsheet!K:K,(ROW(G14)-1)*4+4):INDEX(Subsheet!K:K,(ROW(G14)-1)*4+7)),"0.000") &amp; " ± " &amp; TEXT(_xlfn.STDEV.S(INDEX(Subsheet!K:K,(ROW(G14)-1)*4+4):INDEX(Subsheet!K:K,(ROW(G14)-1)*4+7)),"0.000")</f>
        <v>0.459 ± 0.065</v>
      </c>
      <c r="K17" s="53" t="str">
        <f>TEXT(AVERAGE(INDEX(Subsheet!L:L,(ROW(H14)-1)*4+4):INDEX(Subsheet!L:L,(ROW(H14)-1)*4+7)),"0.000") &amp; " ± " &amp; TEXT(_xlfn.STDEV.S(INDEX(Subsheet!L:L,(ROW(H14)-1)*4+4):INDEX(Subsheet!L:L,(ROW(H14)-1)*4+7)),"0.000")</f>
        <v>0.892 ± 0.018</v>
      </c>
      <c r="L17" s="53" t="str">
        <f>TEXT(AVERAGE(INDEX(Subsheet!M:M,(ROW(I14)-1)*4+4):INDEX(Subsheet!M:M,(ROW(I14)-1)*4+7)),"0.000") &amp; " ± " &amp; TEXT(_xlfn.STDEV.S(INDEX(Subsheet!M:M,(ROW(I14)-1)*4+4):INDEX(Subsheet!M:M,(ROW(I14)-1)*4+7)),"0.000")</f>
        <v>0.401 ± 0.059</v>
      </c>
      <c r="M17" s="53" t="str">
        <f>TEXT(AVERAGE(INDEX(Subsheet!N:N,(ROW(J14)-1)*4+4):INDEX(Subsheet!N:N,(ROW(J14)-1)*4+7)),"0.000") &amp; " ± " &amp; TEXT(_xlfn.STDEV.S(INDEX(Subsheet!N:N,(ROW(J14)-1)*4+4):INDEX(Subsheet!N:N,(ROW(J14)-1)*4+7)),"0.000")</f>
        <v>0.475 ± 0.161</v>
      </c>
      <c r="N17" s="53" t="str">
        <f>TEXT(AVERAGE(INDEX(Subsheet!O:O,(ROW(K14)-1)*4+4):INDEX(Subsheet!O:O,(ROW(K14)-1)*4+7)),"0.000") &amp; " ± " &amp; TEXT(_xlfn.STDEV.S(INDEX(Subsheet!O:O,(ROW(K14)-1)*4+4):INDEX(Subsheet!O:O,(ROW(K14)-1)*4+7)),"0.000")</f>
        <v>0.413 ± 0.065</v>
      </c>
      <c r="O17" s="53" t="str">
        <f>TEXT(AVERAGE(INDEX(Subsheet!P:P,(ROW(L14)-1)*4+4):INDEX(Subsheet!P:P,(ROW(L14)-1)*4+7)),"0.000") &amp; " ± " &amp; TEXT(_xlfn.STDEV.S(INDEX(Subsheet!P:P,(ROW(L14)-1)*4+4):INDEX(Subsheet!P:P,(ROW(L14)-1)*4+7)),"0.000")</f>
        <v>0.852 ± 0.009</v>
      </c>
      <c r="P17" s="56" t="str">
        <f>TEXT(AVERAGE(INDEX(Subsheet!Q:Q,(ROW(M14)-1)*4+4):INDEX(Subsheet!Q:Q,(ROW(M14)-1)*4+7)),"0.000") &amp; " ± " &amp; TEXT(_xlfn.STDEV.S(INDEX(Subsheet!Q:Q,(ROW(M14)-1)*4+4):INDEX(Subsheet!Q:Q,(ROW(M14)-1)*4+7)),"0.000")</f>
        <v>0.387 ± 0.026</v>
      </c>
      <c r="Q17" s="60" t="str">
        <f>TEXT(AVERAGE(INDEX(Subsheet!R:R,(ROW(H14)-1)*4+4):INDEX(Subsheet!R:R,(ROW(H14)-1)*4+7)),"0.000") &amp; " ± " &amp; TEXT(_xlfn.STDEV.S(INDEX(Subsheet!R:R,(ROW(H14)-1)*4+4):INDEX(Subsheet!R:R,(ROW(H14)-1)*4+7)),"0.000")</f>
        <v>0.663 ± 0.045</v>
      </c>
      <c r="R17" s="61" t="str">
        <f>TEXT(AVERAGE(INDEX(Subsheet!S:S,(ROW(I14)-1)*4+4):INDEX(Subsheet!S:S,(ROW(I14)-1)*4+7)),"0.000") &amp; " ± " &amp; TEXT(_xlfn.STDEV.S(INDEX(Subsheet!S:S,(ROW(I14)-1)*4+4):INDEX(Subsheet!S:S,(ROW(I14)-1)*4+7)),"0.000")</f>
        <v>0.918 ± 0.042</v>
      </c>
      <c r="S17" s="61" t="str">
        <f>TEXT(AVERAGE(INDEX(Subsheet!T:T,(ROW(J14)-1)*4+4):INDEX(Subsheet!T:T,(ROW(J14)-1)*4+7)),"0.000") &amp; " ± " &amp; TEXT(_xlfn.STDEV.S(INDEX(Subsheet!T:T,(ROW(J14)-1)*4+4):INDEX(Subsheet!T:T,(ROW(J14)-1)*4+7)),"0.000")</f>
        <v>0.338 ± 0.119</v>
      </c>
      <c r="T17" s="61" t="str">
        <f>TEXT(AVERAGE(INDEX(Subsheet!U:U,(ROW(K14)-1)*4+4):INDEX(Subsheet!U:U,(ROW(K14)-1)*4+7)),"0.000") &amp; " ± " &amp; TEXT(_xlfn.STDEV.S(INDEX(Subsheet!U:U,(ROW(K14)-1)*4+4):INDEX(Subsheet!U:U,(ROW(K14)-1)*4+7)),"0.000")</f>
        <v>0.482 ± 0.130</v>
      </c>
      <c r="U17" s="61" t="str">
        <f>TEXT(AVERAGE(INDEX(Subsheet!V:V,(ROW(L14)-1)*4+4):INDEX(Subsheet!V:V,(ROW(L14)-1)*4+7)),"0.000") &amp; " ± " &amp; TEXT(_xlfn.STDEV.S(INDEX(Subsheet!V:V,(ROW(L14)-1)*4+4):INDEX(Subsheet!V:V,(ROW(L14)-1)*4+7)),"0.000")</f>
        <v>0.812 ± 0.008</v>
      </c>
      <c r="V17" s="62" t="str">
        <f>TEXT(AVERAGE(INDEX(Subsheet!W:W,(ROW(M14)-1)*4+4):INDEX(Subsheet!W:W,(ROW(M14)-1)*4+7)),"0.000") &amp; " ± " &amp; TEXT(_xlfn.STDEV.S(INDEX(Subsheet!W:W,(ROW(M14)-1)*4+4):INDEX(Subsheet!W:W,(ROW(M14)-1)*4+7)),"0.000")</f>
        <v>0.822 ± 0.011</v>
      </c>
    </row>
    <row r="18" spans="1:22" x14ac:dyDescent="0.25">
      <c r="A18" s="107"/>
      <c r="B18" s="107"/>
      <c r="C18" s="8">
        <v>50</v>
      </c>
      <c r="D18" s="29" t="str">
        <f>TEXT(AVERAGE(INDEX(Subsheet!E:E,(ROW(A15)-1)*4+4):INDEX(Subsheet!E:E,(ROW(A15)-1)*4+7)),"0.000") &amp; " ± " &amp; TEXT(_xlfn.STDEV.S(INDEX(Subsheet!E:E,(ROW(A15)-1)*4+4):INDEX(Subsheet!E:E,(ROW(A15)-1)*4+7)),"0.000")</f>
        <v>10.250 ± 6.850</v>
      </c>
      <c r="E18" s="49" t="str">
        <f>TEXT(AVERAGE(INDEX(Subsheet!F:F,(ROW(B15)-1)*4+4):INDEX(Subsheet!F:F,(ROW(B15)-1)*4+7)),"0.000") &amp; " ± " &amp; TEXT(_xlfn.STDEV.S(INDEX(Subsheet!F:F,(ROW(B15)-1)*4+4):INDEX(Subsheet!F:F,(ROW(B15)-1)*4+7)),"0.000")</f>
        <v>0.886 ± 0.019</v>
      </c>
      <c r="F18" s="49" t="str">
        <f>TEXT(AVERAGE(INDEX(Subsheet!G:G,(ROW(C15)-1)*4+4):INDEX(Subsheet!G:G,(ROW(C15)-1)*4+7)),"0.000") &amp; " ± " &amp; TEXT(_xlfn.STDEV.S(INDEX(Subsheet!G:G,(ROW(C15)-1)*4+4):INDEX(Subsheet!G:G,(ROW(C15)-1)*4+7)),"0.000")</f>
        <v>0.422 ± 0.053</v>
      </c>
      <c r="G18" s="49" t="str">
        <f>TEXT(AVERAGE(INDEX(Subsheet!H:H,(ROW(D15)-1)*4+4):INDEX(Subsheet!H:H,(ROW(D15)-1)*4+7)),"0.000") &amp; " ± " &amp; TEXT(_xlfn.STDEV.S(INDEX(Subsheet!H:H,(ROW(D15)-1)*4+4):INDEX(Subsheet!H:H,(ROW(D15)-1)*4+7)),"0.000")</f>
        <v>0.553 ± 0.135</v>
      </c>
      <c r="H18" s="49" t="str">
        <f>TEXT(AVERAGE(INDEX(Subsheet!I:I,(ROW(E15)-1)*4+4):INDEX(Subsheet!I:I,(ROW(E15)-1)*4+7)),"0.000") &amp; " ± " &amp; TEXT(_xlfn.STDEV.S(INDEX(Subsheet!I:I,(ROW(E15)-1)*4+4):INDEX(Subsheet!I:I,(ROW(E15)-1)*4+7)),"0.000")</f>
        <v>0.468 ± 0.026</v>
      </c>
      <c r="I18" s="49" t="str">
        <f>TEXT(AVERAGE(INDEX(Subsheet!J:J,(ROW(F15)-1)*4+4):INDEX(Subsheet!J:J,(ROW(F15)-1)*4+7)),"0.000") &amp; " ± " &amp; TEXT(_xlfn.STDEV.S(INDEX(Subsheet!J:J,(ROW(F15)-1)*4+4):INDEX(Subsheet!J:J,(ROW(F15)-1)*4+7)),"0.000")</f>
        <v>0.879 ± 0.026</v>
      </c>
      <c r="J18" s="50" t="str">
        <f>TEXT(AVERAGE(INDEX(Subsheet!K:K,(ROW(G15)-1)*4+4):INDEX(Subsheet!K:K,(ROW(G15)-1)*4+7)),"0.000") &amp; " ± " &amp; TEXT(_xlfn.STDEV.S(INDEX(Subsheet!K:K,(ROW(G15)-1)*4+4):INDEX(Subsheet!K:K,(ROW(G15)-1)*4+7)),"0.000")</f>
        <v>0.462 ± 0.053</v>
      </c>
      <c r="K18" s="57" t="str">
        <f>TEXT(AVERAGE(INDEX(Subsheet!L:L,(ROW(H15)-1)*4+4):INDEX(Subsheet!L:L,(ROW(H15)-1)*4+7)),"0.000") &amp; " ± " &amp; TEXT(_xlfn.STDEV.S(INDEX(Subsheet!L:L,(ROW(H15)-1)*4+4):INDEX(Subsheet!L:L,(ROW(H15)-1)*4+7)),"0.000")</f>
        <v>0.873 ± 0.028</v>
      </c>
      <c r="L18" s="57" t="str">
        <f>TEXT(AVERAGE(INDEX(Subsheet!M:M,(ROW(I15)-1)*4+4):INDEX(Subsheet!M:M,(ROW(I15)-1)*4+7)),"0.000") &amp; " ± " &amp; TEXT(_xlfn.STDEV.S(INDEX(Subsheet!M:M,(ROW(I15)-1)*4+4):INDEX(Subsheet!M:M,(ROW(I15)-1)*4+7)),"0.000")</f>
        <v>0.360 ± 0.042</v>
      </c>
      <c r="M18" s="57" t="str">
        <f>TEXT(AVERAGE(INDEX(Subsheet!N:N,(ROW(J15)-1)*4+4):INDEX(Subsheet!N:N,(ROW(J15)-1)*4+7)),"0.000") &amp; " ± " &amp; TEXT(_xlfn.STDEV.S(INDEX(Subsheet!N:N,(ROW(J15)-1)*4+4):INDEX(Subsheet!N:N,(ROW(J15)-1)*4+7)),"0.000")</f>
        <v>0.600 ± 0.123</v>
      </c>
      <c r="N18" s="57" t="str">
        <f>TEXT(AVERAGE(INDEX(Subsheet!O:O,(ROW(K15)-1)*4+4):INDEX(Subsheet!O:O,(ROW(K15)-1)*4+7)),"0.000") &amp; " ± " &amp; TEXT(_xlfn.STDEV.S(INDEX(Subsheet!O:O,(ROW(K15)-1)*4+4):INDEX(Subsheet!O:O,(ROW(K15)-1)*4+7)),"0.000")</f>
        <v>0.443 ± 0.025</v>
      </c>
      <c r="O18" s="57" t="str">
        <f>TEXT(AVERAGE(INDEX(Subsheet!P:P,(ROW(L15)-1)*4+4):INDEX(Subsheet!P:P,(ROW(L15)-1)*4+7)),"0.000") &amp; " ± " &amp; TEXT(_xlfn.STDEV.S(INDEX(Subsheet!P:P,(ROW(L15)-1)*4+4):INDEX(Subsheet!P:P,(ROW(L15)-1)*4+7)),"0.000")</f>
        <v>0.863 ± 0.010</v>
      </c>
      <c r="P18" s="58" t="str">
        <f>TEXT(AVERAGE(INDEX(Subsheet!Q:Q,(ROW(M15)-1)*4+4):INDEX(Subsheet!Q:Q,(ROW(M15)-1)*4+7)),"0.000") &amp; " ± " &amp; TEXT(_xlfn.STDEV.S(INDEX(Subsheet!Q:Q,(ROW(M15)-1)*4+4):INDEX(Subsheet!Q:Q,(ROW(M15)-1)*4+7)),"0.000")</f>
        <v>0.434 ± 0.058</v>
      </c>
      <c r="Q18" s="63" t="str">
        <f>TEXT(AVERAGE(INDEX(Subsheet!R:R,(ROW(H15)-1)*4+4):INDEX(Subsheet!R:R,(ROW(H15)-1)*4+7)),"0.000") &amp; " ± " &amp; TEXT(_xlfn.STDEV.S(INDEX(Subsheet!R:R,(ROW(H15)-1)*4+4):INDEX(Subsheet!R:R,(ROW(H15)-1)*4+7)),"0.000")</f>
        <v>0.713 ± 0.045</v>
      </c>
      <c r="R18" s="64" t="str">
        <f>TEXT(AVERAGE(INDEX(Subsheet!S:S,(ROW(I15)-1)*4+4):INDEX(Subsheet!S:S,(ROW(I15)-1)*4+7)),"0.000") &amp; " ± " &amp; TEXT(_xlfn.STDEV.S(INDEX(Subsheet!S:S,(ROW(I15)-1)*4+4):INDEX(Subsheet!S:S,(ROW(I15)-1)*4+7)),"0.000")</f>
        <v>0.938 ± 0.035</v>
      </c>
      <c r="S18" s="64" t="str">
        <f>TEXT(AVERAGE(INDEX(Subsheet!T:T,(ROW(J15)-1)*4+4):INDEX(Subsheet!T:T,(ROW(J15)-1)*4+7)),"0.000") &amp; " ± " &amp; TEXT(_xlfn.STDEV.S(INDEX(Subsheet!T:T,(ROW(J15)-1)*4+4):INDEX(Subsheet!T:T,(ROW(J15)-1)*4+7)),"0.000")</f>
        <v>0.438 ± 0.122</v>
      </c>
      <c r="T18" s="64" t="str">
        <f>TEXT(AVERAGE(INDEX(Subsheet!U:U,(ROW(K15)-1)*4+4):INDEX(Subsheet!U:U,(ROW(K15)-1)*4+7)),"0.000") &amp; " ± " &amp; TEXT(_xlfn.STDEV.S(INDEX(Subsheet!U:U,(ROW(K15)-1)*4+4):INDEX(Subsheet!U:U,(ROW(K15)-1)*4+7)),"0.000")</f>
        <v>0.588 ± 0.097</v>
      </c>
      <c r="U18" s="64" t="str">
        <f>TEXT(AVERAGE(INDEX(Subsheet!V:V,(ROW(L15)-1)*4+4):INDEX(Subsheet!V:V,(ROW(L15)-1)*4+7)),"0.000") &amp; " ± " &amp; TEXT(_xlfn.STDEV.S(INDEX(Subsheet!V:V,(ROW(L15)-1)*4+4):INDEX(Subsheet!V:V,(ROW(L15)-1)*4+7)),"0.000")</f>
        <v>0.853 ± 0.015</v>
      </c>
      <c r="V18" s="65" t="str">
        <f>TEXT(AVERAGE(INDEX(Subsheet!W:W,(ROW(M15)-1)*4+4):INDEX(Subsheet!W:W,(ROW(M15)-1)*4+7)),"0.000") &amp; " ± " &amp; TEXT(_xlfn.STDEV.S(INDEX(Subsheet!W:W,(ROW(M15)-1)*4+4):INDEX(Subsheet!W:W,(ROW(M15)-1)*4+7)),"0.000")</f>
        <v>0.866 ± 0.014</v>
      </c>
    </row>
    <row r="19" spans="1:22" x14ac:dyDescent="0.25">
      <c r="A19" s="25" t="s">
        <v>19</v>
      </c>
      <c r="B19" s="103" t="s">
        <v>25</v>
      </c>
      <c r="C19" s="104"/>
      <c r="D19" s="30" t="str">
        <f>TEXT(AVERAGE(INDEX(Subsheet!E:E,(ROW(A16)-1)*4+4):INDEX(Subsheet!E:E,(ROW(A16)-1)*4+7)),"0.000") &amp; " ± " &amp; TEXT(_xlfn.STDEV.S(INDEX(Subsheet!E:E,(ROW(A16)-1)*4+4):INDEX(Subsheet!E:E,(ROW(A16)-1)*4+7)),"0.000")</f>
        <v>45.500 ± 5.260</v>
      </c>
      <c r="E19" s="51" t="str">
        <f>TEXT(AVERAGE(INDEX(Subsheet!F:F,(ROW(B16)-1)*4+4):INDEX(Subsheet!F:F,(ROW(B16)-1)*4+7)),"0.000") &amp; " ± " &amp; TEXT(_xlfn.STDEV.S(INDEX(Subsheet!F:F,(ROW(B16)-1)*4+4):INDEX(Subsheet!F:F,(ROW(B16)-1)*4+7)),"0.000")</f>
        <v>0.908 ± 0.008</v>
      </c>
      <c r="F19" s="51" t="str">
        <f>TEXT(AVERAGE(INDEX(Subsheet!G:G,(ROW(C16)-1)*4+4):INDEX(Subsheet!G:G,(ROW(C16)-1)*4+7)),"0.000") &amp; " ± " &amp; TEXT(_xlfn.STDEV.S(INDEX(Subsheet!G:G,(ROW(C16)-1)*4+4):INDEX(Subsheet!G:G,(ROW(C16)-1)*4+7)),"0.000")</f>
        <v>0.000 ± 0.000</v>
      </c>
      <c r="G19" s="51" t="str">
        <f>TEXT(AVERAGE(INDEX(Subsheet!H:H,(ROW(D16)-1)*4+4):INDEX(Subsheet!H:H,(ROW(D16)-1)*4+7)),"0.000") &amp; " ± " &amp; TEXT(_xlfn.STDEV.S(INDEX(Subsheet!H:H,(ROW(D16)-1)*4+4):INDEX(Subsheet!H:H,(ROW(D16)-1)*4+7)),"0.000")</f>
        <v>0.000 ± 0.000</v>
      </c>
      <c r="H19" s="51" t="str">
        <f>TEXT(AVERAGE(INDEX(Subsheet!I:I,(ROW(E16)-1)*4+4):INDEX(Subsheet!I:I,(ROW(E16)-1)*4+7)),"0.000") &amp; " ± " &amp; TEXT(_xlfn.STDEV.S(INDEX(Subsheet!I:I,(ROW(E16)-1)*4+4):INDEX(Subsheet!I:I,(ROW(E16)-1)*4+7)),"0.000")</f>
        <v>0.000 ± 0.000</v>
      </c>
      <c r="I19" s="51" t="str">
        <f>TEXT(AVERAGE(INDEX(Subsheet!J:J,(ROW(F16)-1)*4+4):INDEX(Subsheet!J:J,(ROW(F16)-1)*4+7)),"0.000") &amp; " ± " &amp; TEXT(_xlfn.STDEV.S(INDEX(Subsheet!J:J,(ROW(F16)-1)*4+4):INDEX(Subsheet!J:J,(ROW(F16)-1)*4+7)),"0.000")</f>
        <v>0.714 ± 0.045</v>
      </c>
      <c r="J19" s="52" t="str">
        <f>TEXT(AVERAGE(INDEX(Subsheet!K:K,(ROW(G16)-1)*4+4):INDEX(Subsheet!K:K,(ROW(G16)-1)*4+7)),"0.000") &amp; " ± " &amp; TEXT(_xlfn.STDEV.S(INDEX(Subsheet!K:K,(ROW(G16)-1)*4+4):INDEX(Subsheet!K:K,(ROW(G16)-1)*4+7)),"0.000")</f>
        <v>0.196 ± 0.041</v>
      </c>
      <c r="K19" s="59" t="str">
        <f>TEXT(AVERAGE(INDEX(Subsheet!L:L,(ROW(H16)-1)*4+4):INDEX(Subsheet!L:L,(ROW(H16)-1)*4+7)),"0.000") &amp; " ± " &amp; TEXT(_xlfn.STDEV.S(INDEX(Subsheet!L:L,(ROW(H16)-1)*4+4):INDEX(Subsheet!L:L,(ROW(H16)-1)*4+7)),"0.000")</f>
        <v>0.916 ± 0.000</v>
      </c>
      <c r="L19" s="59" t="str">
        <f>TEXT(AVERAGE(INDEX(Subsheet!M:M,(ROW(I16)-1)*4+4):INDEX(Subsheet!M:M,(ROW(I16)-1)*4+7)),"0.000") &amp; " ± " &amp; TEXT(_xlfn.STDEV.S(INDEX(Subsheet!M:M,(ROW(I16)-1)*4+4):INDEX(Subsheet!M:M,(ROW(I16)-1)*4+7)),"0.000")</f>
        <v>0.000 ± 0.000</v>
      </c>
      <c r="M19" s="59" t="str">
        <f>TEXT(AVERAGE(INDEX(Subsheet!N:N,(ROW(J16)-1)*4+4):INDEX(Subsheet!N:N,(ROW(J16)-1)*4+7)),"0.000") &amp; " ± " &amp; TEXT(_xlfn.STDEV.S(INDEX(Subsheet!N:N,(ROW(J16)-1)*4+4):INDEX(Subsheet!N:N,(ROW(J16)-1)*4+7)),"0.000")</f>
        <v>0.000 ± 0.000</v>
      </c>
      <c r="N19" s="59" t="str">
        <f>TEXT(AVERAGE(INDEX(Subsheet!O:O,(ROW(K16)-1)*4+4):INDEX(Subsheet!O:O,(ROW(K16)-1)*4+7)),"0.000") &amp; " ± " &amp; TEXT(_xlfn.STDEV.S(INDEX(Subsheet!O:O,(ROW(K16)-1)*4+4):INDEX(Subsheet!O:O,(ROW(K16)-1)*4+7)),"0.000")</f>
        <v>0.000 ± 0.000</v>
      </c>
      <c r="O19" s="59" t="str">
        <f>TEXT(AVERAGE(INDEX(Subsheet!P:P,(ROW(L16)-1)*4+4):INDEX(Subsheet!P:P,(ROW(L16)-1)*4+7)),"0.000") &amp; " ± " &amp; TEXT(_xlfn.STDEV.S(INDEX(Subsheet!P:P,(ROW(L16)-1)*4+4):INDEX(Subsheet!P:P,(ROW(L16)-1)*4+7)),"0.000")</f>
        <v>0.683 ± 0.021</v>
      </c>
      <c r="P19" s="56" t="str">
        <f>TEXT(AVERAGE(INDEX(Subsheet!Q:Q,(ROW(M16)-1)*4+4):INDEX(Subsheet!Q:Q,(ROW(M16)-1)*4+7)),"0.000") &amp; " ± " &amp; TEXT(_xlfn.STDEV.S(INDEX(Subsheet!Q:Q,(ROW(M16)-1)*4+4):INDEX(Subsheet!Q:Q,(ROW(M16)-1)*4+7)),"0.000")</f>
        <v>0.154 ± 0.027</v>
      </c>
      <c r="Q19" s="60" t="str">
        <f>TEXT(AVERAGE(INDEX(Subsheet!R:R,(ROW(H16)-1)*4+4):INDEX(Subsheet!R:R,(ROW(H16)-1)*4+7)),"0.000") &amp; " ± " &amp; TEXT(_xlfn.STDEV.S(INDEX(Subsheet!R:R,(ROW(H16)-1)*4+4):INDEX(Subsheet!R:R,(ROW(H16)-1)*4+7)),"0.000")</f>
        <v>0.517 ± 0.000</v>
      </c>
      <c r="R19" s="61" t="str">
        <f>TEXT(AVERAGE(INDEX(Subsheet!S:S,(ROW(I16)-1)*4+4):INDEX(Subsheet!S:S,(ROW(I16)-1)*4+7)),"0.000") &amp; " ± " &amp; TEXT(_xlfn.STDEV.S(INDEX(Subsheet!S:S,(ROW(I16)-1)*4+4):INDEX(Subsheet!S:S,(ROW(I16)-1)*4+7)),"0.000")</f>
        <v>0.000 ± 0.000</v>
      </c>
      <c r="S19" s="61" t="str">
        <f>TEXT(AVERAGE(INDEX(Subsheet!T:T,(ROW(J16)-1)*4+4):INDEX(Subsheet!T:T,(ROW(J16)-1)*4+7)),"0.000") &amp; " ± " &amp; TEXT(_xlfn.STDEV.S(INDEX(Subsheet!T:T,(ROW(J16)-1)*4+4):INDEX(Subsheet!T:T,(ROW(J16)-1)*4+7)),"0.000")</f>
        <v>0.000 ± 0.000</v>
      </c>
      <c r="T19" s="61" t="str">
        <f>TEXT(AVERAGE(INDEX(Subsheet!U:U,(ROW(K16)-1)*4+4):INDEX(Subsheet!U:U,(ROW(K16)-1)*4+7)),"0.000") &amp; " ± " &amp; TEXT(_xlfn.STDEV.S(INDEX(Subsheet!U:U,(ROW(K16)-1)*4+4):INDEX(Subsheet!U:U,(ROW(K16)-1)*4+7)),"0.000")</f>
        <v>0.000 ± 0.000</v>
      </c>
      <c r="U19" s="61" t="str">
        <f>TEXT(AVERAGE(INDEX(Subsheet!V:V,(ROW(L16)-1)*4+4):INDEX(Subsheet!V:V,(ROW(L16)-1)*4+7)),"0.000") &amp; " ± " &amp; TEXT(_xlfn.STDEV.S(INDEX(Subsheet!V:V,(ROW(L16)-1)*4+4):INDEX(Subsheet!V:V,(ROW(L16)-1)*4+7)),"0.000")</f>
        <v>0.593 ± 0.037</v>
      </c>
      <c r="V19" s="62" t="str">
        <f>TEXT(AVERAGE(INDEX(Subsheet!W:W,(ROW(M16)-1)*4+4):INDEX(Subsheet!W:W,(ROW(M16)-1)*4+7)),"0.000") &amp; " ± " &amp; TEXT(_xlfn.STDEV.S(INDEX(Subsheet!W:W,(ROW(M16)-1)*4+4):INDEX(Subsheet!W:W,(ROW(M16)-1)*4+7)),"0.000")</f>
        <v>0.547 ± 0.037</v>
      </c>
    </row>
    <row r="20" spans="1:22" x14ac:dyDescent="0.25">
      <c r="A20" s="26" t="s">
        <v>19</v>
      </c>
      <c r="B20" s="105" t="s">
        <v>26</v>
      </c>
      <c r="C20" s="106"/>
      <c r="D20" s="28" t="str">
        <f>TEXT(AVERAGE(INDEX(Subsheet!E:E,(ROW(A17)-1)*4+4):INDEX(Subsheet!E:E,(ROW(A17)-1)*4+7)),"0.000") &amp; " ± " &amp; TEXT(_xlfn.STDEV.S(INDEX(Subsheet!E:E,(ROW(A17)-1)*4+4):INDEX(Subsheet!E:E,(ROW(A17)-1)*4+7)),"0.000")</f>
        <v>31.500 ± 11.958</v>
      </c>
      <c r="E20" s="47" t="str">
        <f>TEXT(AVERAGE(INDEX(Subsheet!F:F,(ROW(B17)-1)*4+4):INDEX(Subsheet!F:F,(ROW(B17)-1)*4+7)),"0.000") &amp; " ± " &amp; TEXT(_xlfn.STDEV.S(INDEX(Subsheet!F:F,(ROW(B17)-1)*4+4):INDEX(Subsheet!F:F,(ROW(B17)-1)*4+7)),"0.000")</f>
        <v>0.908 ± 0.008</v>
      </c>
      <c r="F20" s="47" t="str">
        <f>TEXT(AVERAGE(INDEX(Subsheet!G:G,(ROW(C17)-1)*4+4):INDEX(Subsheet!G:G,(ROW(C17)-1)*4+7)),"0.000") &amp; " ± " &amp; TEXT(_xlfn.STDEV.S(INDEX(Subsheet!G:G,(ROW(C17)-1)*4+4):INDEX(Subsheet!G:G,(ROW(C17)-1)*4+7)),"0.000")</f>
        <v>0.000 ± 0.000</v>
      </c>
      <c r="G20" s="47" t="str">
        <f>TEXT(AVERAGE(INDEX(Subsheet!H:H,(ROW(D17)-1)*4+4):INDEX(Subsheet!H:H,(ROW(D17)-1)*4+7)),"0.000") &amp; " ± " &amp; TEXT(_xlfn.STDEV.S(INDEX(Subsheet!H:H,(ROW(D17)-1)*4+4):INDEX(Subsheet!H:H,(ROW(D17)-1)*4+7)),"0.000")</f>
        <v>0.000 ± 0.000</v>
      </c>
      <c r="H20" s="47" t="str">
        <f>TEXT(AVERAGE(INDEX(Subsheet!I:I,(ROW(E17)-1)*4+4):INDEX(Subsheet!I:I,(ROW(E17)-1)*4+7)),"0.000") &amp; " ± " &amp; TEXT(_xlfn.STDEV.S(INDEX(Subsheet!I:I,(ROW(E17)-1)*4+4):INDEX(Subsheet!I:I,(ROW(E17)-1)*4+7)),"0.000")</f>
        <v>0.000 ± 0.000</v>
      </c>
      <c r="I20" s="47" t="str">
        <f>TEXT(AVERAGE(INDEX(Subsheet!J:J,(ROW(F17)-1)*4+4):INDEX(Subsheet!J:J,(ROW(F17)-1)*4+7)),"0.000") &amp; " ± " &amp; TEXT(_xlfn.STDEV.S(INDEX(Subsheet!J:J,(ROW(F17)-1)*4+4):INDEX(Subsheet!J:J,(ROW(F17)-1)*4+7)),"0.000")</f>
        <v>0.709 ± 0.029</v>
      </c>
      <c r="J20" s="48" t="str">
        <f>TEXT(AVERAGE(INDEX(Subsheet!K:K,(ROW(G17)-1)*4+4):INDEX(Subsheet!K:K,(ROW(G17)-1)*4+7)),"0.000") &amp; " ± " &amp; TEXT(_xlfn.STDEV.S(INDEX(Subsheet!K:K,(ROW(G17)-1)*4+4):INDEX(Subsheet!K:K,(ROW(G17)-1)*4+7)),"0.000")</f>
        <v>0.193 ± 0.040</v>
      </c>
      <c r="K20" s="53" t="str">
        <f>TEXT(AVERAGE(INDEX(Subsheet!L:L,(ROW(H17)-1)*4+4):INDEX(Subsheet!L:L,(ROW(H17)-1)*4+7)),"0.000") &amp; " ± " &amp; TEXT(_xlfn.STDEV.S(INDEX(Subsheet!L:L,(ROW(H17)-1)*4+4):INDEX(Subsheet!L:L,(ROW(H17)-1)*4+7)),"0.000")</f>
        <v>0.916 ± 0.000</v>
      </c>
      <c r="L20" s="53" t="str">
        <f>TEXT(AVERAGE(INDEX(Subsheet!M:M,(ROW(I17)-1)*4+4):INDEX(Subsheet!M:M,(ROW(I17)-1)*4+7)),"0.000") &amp; " ± " &amp; TEXT(_xlfn.STDEV.S(INDEX(Subsheet!M:M,(ROW(I17)-1)*4+4):INDEX(Subsheet!M:M,(ROW(I17)-1)*4+7)),"0.000")</f>
        <v>0.000 ± 0.000</v>
      </c>
      <c r="M20" s="53" t="str">
        <f>TEXT(AVERAGE(INDEX(Subsheet!N:N,(ROW(J17)-1)*4+4):INDEX(Subsheet!N:N,(ROW(J17)-1)*4+7)),"0.000") &amp; " ± " &amp; TEXT(_xlfn.STDEV.S(INDEX(Subsheet!N:N,(ROW(J17)-1)*4+4):INDEX(Subsheet!N:N,(ROW(J17)-1)*4+7)),"0.000")</f>
        <v>0.000 ± 0.000</v>
      </c>
      <c r="N20" s="53" t="str">
        <f>TEXT(AVERAGE(INDEX(Subsheet!O:O,(ROW(K17)-1)*4+4):INDEX(Subsheet!O:O,(ROW(K17)-1)*4+7)),"0.000") &amp; " ± " &amp; TEXT(_xlfn.STDEV.S(INDEX(Subsheet!O:O,(ROW(K17)-1)*4+4):INDEX(Subsheet!O:O,(ROW(K17)-1)*4+7)),"0.000")</f>
        <v>0.000 ± 0.000</v>
      </c>
      <c r="O20" s="53" t="str">
        <f>TEXT(AVERAGE(INDEX(Subsheet!P:P,(ROW(L17)-1)*4+4):INDEX(Subsheet!P:P,(ROW(L17)-1)*4+7)),"0.000") &amp; " ± " &amp; TEXT(_xlfn.STDEV.S(INDEX(Subsheet!P:P,(ROW(L17)-1)*4+4):INDEX(Subsheet!P:P,(ROW(L17)-1)*4+7)),"0.000")</f>
        <v>0.669 ± 0.022</v>
      </c>
      <c r="P20" s="56" t="str">
        <f>TEXT(AVERAGE(INDEX(Subsheet!Q:Q,(ROW(M17)-1)*4+4):INDEX(Subsheet!Q:Q,(ROW(M17)-1)*4+7)),"0.000") &amp; " ± " &amp; TEXT(_xlfn.STDEV.S(INDEX(Subsheet!Q:Q,(ROW(M17)-1)*4+4):INDEX(Subsheet!Q:Q,(ROW(M17)-1)*4+7)),"0.000")</f>
        <v>0.138 ± 0.010</v>
      </c>
      <c r="Q20" s="60" t="str">
        <f>TEXT(AVERAGE(INDEX(Subsheet!R:R,(ROW(H17)-1)*4+4):INDEX(Subsheet!R:R,(ROW(H17)-1)*4+7)),"0.000") &amp; " ± " &amp; TEXT(_xlfn.STDEV.S(INDEX(Subsheet!R:R,(ROW(H17)-1)*4+4):INDEX(Subsheet!R:R,(ROW(H17)-1)*4+7)),"0.000")</f>
        <v>0.517 ± 0.000</v>
      </c>
      <c r="R20" s="61" t="str">
        <f>TEXT(AVERAGE(INDEX(Subsheet!S:S,(ROW(I17)-1)*4+4):INDEX(Subsheet!S:S,(ROW(I17)-1)*4+7)),"0.000") &amp; " ± " &amp; TEXT(_xlfn.STDEV.S(INDEX(Subsheet!S:S,(ROW(I17)-1)*4+4):INDEX(Subsheet!S:S,(ROW(I17)-1)*4+7)),"0.000")</f>
        <v>0.000 ± 0.000</v>
      </c>
      <c r="S20" s="61" t="str">
        <f>TEXT(AVERAGE(INDEX(Subsheet!T:T,(ROW(J17)-1)*4+4):INDEX(Subsheet!T:T,(ROW(J17)-1)*4+7)),"0.000") &amp; " ± " &amp; TEXT(_xlfn.STDEV.S(INDEX(Subsheet!T:T,(ROW(J17)-1)*4+4):INDEX(Subsheet!T:T,(ROW(J17)-1)*4+7)),"0.000")</f>
        <v>0.000 ± 0.000</v>
      </c>
      <c r="T20" s="61" t="str">
        <f>TEXT(AVERAGE(INDEX(Subsheet!U:U,(ROW(K17)-1)*4+4):INDEX(Subsheet!U:U,(ROW(K17)-1)*4+7)),"0.000") &amp; " ± " &amp; TEXT(_xlfn.STDEV.S(INDEX(Subsheet!U:U,(ROW(K17)-1)*4+4):INDEX(Subsheet!U:U,(ROW(K17)-1)*4+7)),"0.000")</f>
        <v>0.000 ± 0.000</v>
      </c>
      <c r="U20" s="61" t="str">
        <f>TEXT(AVERAGE(INDEX(Subsheet!V:V,(ROW(L17)-1)*4+4):INDEX(Subsheet!V:V,(ROW(L17)-1)*4+7)),"0.000") &amp; " ± " &amp; TEXT(_xlfn.STDEV.S(INDEX(Subsheet!V:V,(ROW(L17)-1)*4+4):INDEX(Subsheet!V:V,(ROW(L17)-1)*4+7)),"0.000")</f>
        <v>0.579 ± 0.031</v>
      </c>
      <c r="V20" s="62" t="str">
        <f>TEXT(AVERAGE(INDEX(Subsheet!W:W,(ROW(M17)-1)*4+4):INDEX(Subsheet!W:W,(ROW(M17)-1)*4+7)),"0.000") &amp; " ± " &amp; TEXT(_xlfn.STDEV.S(INDEX(Subsheet!W:W,(ROW(M17)-1)*4+4):INDEX(Subsheet!W:W,(ROW(M17)-1)*4+7)),"0.000")</f>
        <v>0.530 ± 0.026</v>
      </c>
    </row>
    <row r="21" spans="1:22" x14ac:dyDescent="0.25">
      <c r="A21" s="24" t="s">
        <v>24</v>
      </c>
      <c r="B21" s="107" t="s">
        <v>27</v>
      </c>
      <c r="C21" s="108"/>
      <c r="D21" s="29" t="str">
        <f>TEXT(AVERAGE(INDEX(Subsheet!E:E,(ROW(A18)-1)*4+4):INDEX(Subsheet!E:E,(ROW(A18)-1)*4+7)),"0.000") &amp; " ± " &amp; TEXT(_xlfn.STDEV.S(INDEX(Subsheet!E:E,(ROW(A18)-1)*4+4):INDEX(Subsheet!E:E,(ROW(A18)-1)*4+7)),"0.000")</f>
        <v>18.000 ± 18.886</v>
      </c>
      <c r="E21" s="49" t="str">
        <f>TEXT(AVERAGE(INDEX(Subsheet!F:F,(ROW(B18)-1)*4+4):INDEX(Subsheet!F:F,(ROW(B18)-1)*4+7)),"0.000") &amp; " ± " &amp; TEXT(_xlfn.STDEV.S(INDEX(Subsheet!F:F,(ROW(B18)-1)*4+4):INDEX(Subsheet!F:F,(ROW(B18)-1)*4+7)),"0.000")</f>
        <v>0.870 ± 0.031</v>
      </c>
      <c r="F21" s="49" t="str">
        <f>TEXT(AVERAGE(INDEX(Subsheet!G:G,(ROW(C18)-1)*4+4):INDEX(Subsheet!G:G,(ROW(C18)-1)*4+7)),"0.000") &amp; " ± " &amp; TEXT(_xlfn.STDEV.S(INDEX(Subsheet!G:G,(ROW(C18)-1)*4+4):INDEX(Subsheet!G:G,(ROW(C18)-1)*4+7)),"0.000")</f>
        <v>0.374 ± 0.095</v>
      </c>
      <c r="G21" s="49" t="str">
        <f>TEXT(AVERAGE(INDEX(Subsheet!H:H,(ROW(D18)-1)*4+4):INDEX(Subsheet!H:H,(ROW(D18)-1)*4+7)),"0.000") &amp; " ± " &amp; TEXT(_xlfn.STDEV.S(INDEX(Subsheet!H:H,(ROW(D18)-1)*4+4):INDEX(Subsheet!H:H,(ROW(D18)-1)*4+7)),"0.000")</f>
        <v>0.435 ± 0.201</v>
      </c>
      <c r="H21" s="49" t="str">
        <f>TEXT(AVERAGE(INDEX(Subsheet!I:I,(ROW(E18)-1)*4+4):INDEX(Subsheet!I:I,(ROW(E18)-1)*4+7)),"0.000") &amp; " ± " &amp; TEXT(_xlfn.STDEV.S(INDEX(Subsheet!I:I,(ROW(E18)-1)*4+4):INDEX(Subsheet!I:I,(ROW(E18)-1)*4+7)),"0.000")</f>
        <v>0.366 ± 0.043</v>
      </c>
      <c r="I21" s="49" t="str">
        <f>TEXT(AVERAGE(INDEX(Subsheet!J:J,(ROW(F18)-1)*4+4):INDEX(Subsheet!J:J,(ROW(F18)-1)*4+7)),"0.000") &amp; " ± " &amp; TEXT(_xlfn.STDEV.S(INDEX(Subsheet!J:J,(ROW(F18)-1)*4+4):INDEX(Subsheet!J:J,(ROW(F18)-1)*4+7)),"0.000")</f>
        <v>0.840 ± 0.028</v>
      </c>
      <c r="J21" s="50" t="str">
        <f>TEXT(AVERAGE(INDEX(Subsheet!K:K,(ROW(G18)-1)*4+4):INDEX(Subsheet!K:K,(ROW(G18)-1)*4+7)),"0.000") &amp; " ± " &amp; TEXT(_xlfn.STDEV.S(INDEX(Subsheet!K:K,(ROW(G18)-1)*4+4):INDEX(Subsheet!K:K,(ROW(G18)-1)*4+7)),"0.000")</f>
        <v>0.361 ± 0.029</v>
      </c>
      <c r="K21" s="57" t="str">
        <f>TEXT(AVERAGE(INDEX(Subsheet!L:L,(ROW(H18)-1)*4+4):INDEX(Subsheet!L:L,(ROW(H18)-1)*4+7)),"0.000") &amp; " ± " &amp; TEXT(_xlfn.STDEV.S(INDEX(Subsheet!L:L,(ROW(H18)-1)*4+4):INDEX(Subsheet!L:L,(ROW(H18)-1)*4+7)),"0.000")</f>
        <v>0.864 ± 0.038</v>
      </c>
      <c r="L21" s="57" t="str">
        <f>TEXT(AVERAGE(INDEX(Subsheet!M:M,(ROW(I18)-1)*4+4):INDEX(Subsheet!M:M,(ROW(I18)-1)*4+7)),"0.000") &amp; " ± " &amp; TEXT(_xlfn.STDEV.S(INDEX(Subsheet!M:M,(ROW(I18)-1)*4+4):INDEX(Subsheet!M:M,(ROW(I18)-1)*4+7)),"0.000")</f>
        <v>0.307 ± 0.066</v>
      </c>
      <c r="M21" s="57" t="str">
        <f>TEXT(AVERAGE(INDEX(Subsheet!N:N,(ROW(J18)-1)*4+4):INDEX(Subsheet!N:N,(ROW(J18)-1)*4+7)),"0.000") &amp; " ± " &amp; TEXT(_xlfn.STDEV.S(INDEX(Subsheet!N:N,(ROW(J18)-1)*4+4):INDEX(Subsheet!N:N,(ROW(J18)-1)*4+7)),"0.000")</f>
        <v>0.434 ± 0.193</v>
      </c>
      <c r="N21" s="57" t="str">
        <f>TEXT(AVERAGE(INDEX(Subsheet!O:O,(ROW(K18)-1)*4+4):INDEX(Subsheet!O:O,(ROW(K18)-1)*4+7)),"0.000") &amp; " ± " &amp; TEXT(_xlfn.STDEV.S(INDEX(Subsheet!O:O,(ROW(K18)-1)*4+4):INDEX(Subsheet!O:O,(ROW(K18)-1)*4+7)),"0.000")</f>
        <v>0.338 ± 0.075</v>
      </c>
      <c r="O21" s="57" t="str">
        <f>TEXT(AVERAGE(INDEX(Subsheet!P:P,(ROW(L18)-1)*4+4):INDEX(Subsheet!P:P,(ROW(L18)-1)*4+7)),"0.000") &amp; " ± " &amp; TEXT(_xlfn.STDEV.S(INDEX(Subsheet!P:P,(ROW(L18)-1)*4+4):INDEX(Subsheet!P:P,(ROW(L18)-1)*4+7)),"0.000")</f>
        <v>0.808 ± 0.031</v>
      </c>
      <c r="P21" s="58" t="str">
        <f>TEXT(AVERAGE(INDEX(Subsheet!Q:Q,(ROW(M18)-1)*4+4):INDEX(Subsheet!Q:Q,(ROW(M18)-1)*4+7)),"0.000") &amp; " ± " &amp; TEXT(_xlfn.STDEV.S(INDEX(Subsheet!Q:Q,(ROW(M18)-1)*4+4):INDEX(Subsheet!Q:Q,(ROW(M18)-1)*4+7)),"0.000")</f>
        <v>0.288 ± 0.044</v>
      </c>
      <c r="Q21" s="63" t="str">
        <f>TEXT(AVERAGE(INDEX(Subsheet!R:R,(ROW(H18)-1)*4+4):INDEX(Subsheet!R:R,(ROW(H18)-1)*4+7)),"0.000") &amp; " ± " &amp; TEXT(_xlfn.STDEV.S(INDEX(Subsheet!R:R,(ROW(H18)-1)*4+4):INDEX(Subsheet!R:R,(ROW(H18)-1)*4+7)),"0.000")</f>
        <v>0.678 ± 0.076</v>
      </c>
      <c r="R21" s="64" t="str">
        <f>TEXT(AVERAGE(INDEX(Subsheet!S:S,(ROW(I18)-1)*4+4):INDEX(Subsheet!S:S,(ROW(I18)-1)*4+7)),"0.000") &amp; " ± " &amp; TEXT(_xlfn.STDEV.S(INDEX(Subsheet!S:S,(ROW(I18)-1)*4+4):INDEX(Subsheet!S:S,(ROW(I18)-1)*4+7)),"0.000")</f>
        <v>0.902 ± 0.052</v>
      </c>
      <c r="S21" s="64" t="str">
        <f>TEXT(AVERAGE(INDEX(Subsheet!T:T,(ROW(J18)-1)*4+4):INDEX(Subsheet!T:T,(ROW(J18)-1)*4+7)),"0.000") &amp; " ± " &amp; TEXT(_xlfn.STDEV.S(INDEX(Subsheet!T:T,(ROW(J18)-1)*4+4):INDEX(Subsheet!T:T,(ROW(J18)-1)*4+7)),"0.000")</f>
        <v>0.381 ± 0.193</v>
      </c>
      <c r="T21" s="64" t="str">
        <f>TEXT(AVERAGE(INDEX(Subsheet!U:U,(ROW(K18)-1)*4+4):INDEX(Subsheet!U:U,(ROW(K18)-1)*4+7)),"0.000") &amp; " ± " &amp; TEXT(_xlfn.STDEV.S(INDEX(Subsheet!U:U,(ROW(K18)-1)*4+4):INDEX(Subsheet!U:U,(ROW(K18)-1)*4+7)),"0.000")</f>
        <v>0.512 ± 0.182</v>
      </c>
      <c r="U21" s="64" t="str">
        <f>TEXT(AVERAGE(INDEX(Subsheet!V:V,(ROW(L18)-1)*4+4):INDEX(Subsheet!V:V,(ROW(L18)-1)*4+7)),"0.000") &amp; " ± " &amp; TEXT(_xlfn.STDEV.S(INDEX(Subsheet!V:V,(ROW(L18)-1)*4+4):INDEX(Subsheet!V:V,(ROW(L18)-1)*4+7)),"0.000")</f>
        <v>0.810 ± 0.042</v>
      </c>
      <c r="V21" s="65" t="str">
        <f>TEXT(AVERAGE(INDEX(Subsheet!W:W,(ROW(M18)-1)*4+4):INDEX(Subsheet!W:W,(ROW(M18)-1)*4+7)),"0.000") &amp; " ± " &amp; TEXT(_xlfn.STDEV.S(INDEX(Subsheet!W:W,(ROW(M18)-1)*4+4):INDEX(Subsheet!W:W,(ROW(M18)-1)*4+7)),"0.000")</f>
        <v>0.820 ± 0.043</v>
      </c>
    </row>
  </sheetData>
  <mergeCells count="39">
    <mergeCell ref="Q1:V1"/>
    <mergeCell ref="Q2:Q3"/>
    <mergeCell ref="R2:R3"/>
    <mergeCell ref="S2:S3"/>
    <mergeCell ref="T2:T3"/>
    <mergeCell ref="U2:U3"/>
    <mergeCell ref="V2:V3"/>
    <mergeCell ref="A7:A9"/>
    <mergeCell ref="B7:B9"/>
    <mergeCell ref="K1:P1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1:A3"/>
    <mergeCell ref="B1:C1"/>
    <mergeCell ref="B2:B3"/>
    <mergeCell ref="C2:C3"/>
    <mergeCell ref="N2:N3"/>
    <mergeCell ref="O2:O3"/>
    <mergeCell ref="P2:P3"/>
    <mergeCell ref="A4:A6"/>
    <mergeCell ref="B4:B6"/>
    <mergeCell ref="D1:D3"/>
    <mergeCell ref="E1:J1"/>
    <mergeCell ref="B19:C19"/>
    <mergeCell ref="B20:C20"/>
    <mergeCell ref="B21:C21"/>
    <mergeCell ref="A10:A12"/>
    <mergeCell ref="B10:B12"/>
    <mergeCell ref="A13:A15"/>
    <mergeCell ref="B13:B15"/>
    <mergeCell ref="A16:A18"/>
    <mergeCell ref="B16:B18"/>
  </mergeCells>
  <pageMargins left="0.7" right="0.7" top="0.75" bottom="0.75" header="0.3" footer="0.3"/>
  <pageSetup paperSize="9" scale="4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BA19-E7EA-4937-A675-3AA41DE6D29A}">
  <sheetPr>
    <tabColor rgb="FF00B050"/>
  </sheetPr>
  <dimension ref="A1:O10"/>
  <sheetViews>
    <sheetView workbookViewId="0">
      <selection activeCell="D4" sqref="D4"/>
    </sheetView>
  </sheetViews>
  <sheetFormatPr defaultRowHeight="15" x14ac:dyDescent="0.25"/>
  <cols>
    <col min="1" max="1" width="19.85546875" customWidth="1"/>
    <col min="2" max="2" width="15.140625" customWidth="1"/>
    <col min="4" max="15" width="14.5703125" customWidth="1"/>
  </cols>
  <sheetData>
    <row r="1" spans="1:15" x14ac:dyDescent="0.25">
      <c r="A1" s="126" t="s">
        <v>15</v>
      </c>
      <c r="B1" s="126" t="s">
        <v>0</v>
      </c>
      <c r="C1" s="126"/>
      <c r="D1" s="115" t="s">
        <v>13</v>
      </c>
      <c r="E1" s="115"/>
      <c r="F1" s="115"/>
      <c r="G1" s="115"/>
      <c r="H1" s="115"/>
      <c r="I1" s="116"/>
      <c r="J1" s="117" t="s">
        <v>14</v>
      </c>
      <c r="K1" s="118"/>
      <c r="L1" s="118"/>
      <c r="M1" s="118"/>
      <c r="N1" s="118"/>
      <c r="O1" s="119"/>
    </row>
    <row r="2" spans="1:15" x14ac:dyDescent="0.25">
      <c r="A2" s="126"/>
      <c r="B2" s="126" t="s">
        <v>16</v>
      </c>
      <c r="C2" s="126" t="s">
        <v>17</v>
      </c>
      <c r="D2" s="120" t="s">
        <v>1</v>
      </c>
      <c r="E2" s="122" t="s">
        <v>2</v>
      </c>
      <c r="F2" s="122" t="s">
        <v>3</v>
      </c>
      <c r="G2" s="122" t="s">
        <v>4</v>
      </c>
      <c r="H2" s="122" t="s">
        <v>5</v>
      </c>
      <c r="I2" s="122" t="s">
        <v>70</v>
      </c>
      <c r="J2" s="124" t="s">
        <v>1</v>
      </c>
      <c r="K2" s="109" t="s">
        <v>2</v>
      </c>
      <c r="L2" s="109" t="s">
        <v>3</v>
      </c>
      <c r="M2" s="109" t="s">
        <v>4</v>
      </c>
      <c r="N2" s="109" t="s">
        <v>5</v>
      </c>
      <c r="O2" s="109" t="s">
        <v>70</v>
      </c>
    </row>
    <row r="3" spans="1:15" ht="15.75" thickBot="1" x14ac:dyDescent="0.3">
      <c r="A3" s="127"/>
      <c r="B3" s="127"/>
      <c r="C3" s="127"/>
      <c r="D3" s="121"/>
      <c r="E3" s="123"/>
      <c r="F3" s="123"/>
      <c r="G3" s="123"/>
      <c r="H3" s="123"/>
      <c r="I3" s="123"/>
      <c r="J3" s="125"/>
      <c r="K3" s="110"/>
      <c r="L3" s="110"/>
      <c r="M3" s="110"/>
      <c r="N3" s="110"/>
      <c r="O3" s="110"/>
    </row>
    <row r="4" spans="1:15" x14ac:dyDescent="0.25">
      <c r="A4" s="103" t="s">
        <v>20</v>
      </c>
      <c r="B4" s="103" t="s">
        <v>101</v>
      </c>
      <c r="C4" s="10">
        <v>18</v>
      </c>
      <c r="D4" t="str">
        <f>TEXT(AVERAGE(INDEX('2stage Sheet'!E:E,(ROW(A1)-1)*4+4):INDEX('2stage Sheet'!E:E,(ROW(A1)-1)*4+7)),"0.000") &amp; " ± " &amp; TEXT(_xlfn.STDEV.S(INDEX('2stage Sheet'!E:E,(ROW(A1)-1)*4+4):INDEX('2stage Sheet'!E:E,(ROW(A1)-1)*4+7)),"0.000")</f>
        <v>0.891 ± 0.025</v>
      </c>
      <c r="E4" t="str">
        <f>TEXT(AVERAGE(INDEX('2stage Sheet'!F:F,(ROW(B1)-1)*4+4):INDEX('2stage Sheet'!F:F,(ROW(B1)-1)*4+7)),"0.000") &amp; " ± " &amp; TEXT(_xlfn.STDEV.S(INDEX('2stage Sheet'!F:F,(ROW(B1)-1)*4+4):INDEX('2stage Sheet'!F:F,(ROW(B1)-1)*4+7)),"0.000")</f>
        <v>0.431 ± 0.096</v>
      </c>
      <c r="F4" t="str">
        <f>TEXT(AVERAGE(INDEX('2stage Sheet'!G:G,(ROW(C1)-1)*4+4):INDEX('2stage Sheet'!G:G,(ROW(C1)-1)*4+7)),"0.000") &amp; " ± " &amp; TEXT(_xlfn.STDEV.S(INDEX('2stage Sheet'!G:G,(ROW(C1)-1)*4+4):INDEX('2stage Sheet'!G:G,(ROW(C1)-1)*4+7)),"0.000")</f>
        <v>0.446 ± 0.042</v>
      </c>
      <c r="G4" t="str">
        <f>TEXT(AVERAGE(INDEX('2stage Sheet'!H:H,(ROW(D1)-1)*4+4):INDEX('2stage Sheet'!H:H,(ROW(D1)-1)*4+7)),"0.000") &amp; " ± " &amp; TEXT(_xlfn.STDEV.S(INDEX('2stage Sheet'!H:H,(ROW(D1)-1)*4+4):INDEX('2stage Sheet'!H:H,(ROW(D1)-1)*4+7)),"0.000")</f>
        <v>0.435 ± 0.060</v>
      </c>
      <c r="H4" t="str">
        <f>TEXT(AVERAGE(INDEX('2stage Sheet'!I:I,(ROW(E1)-1)*4+4):INDEX('2stage Sheet'!I:I,(ROW(E1)-1)*4+7)),"0.000") &amp; " ± " &amp; TEXT(_xlfn.STDEV.S(INDEX('2stage Sheet'!I:I,(ROW(E1)-1)*4+4):INDEX('2stage Sheet'!I:I,(ROW(E1)-1)*4+7)),"0.000")</f>
        <v>0.860 ± 0.028</v>
      </c>
      <c r="I4" t="str">
        <f>TEXT(AVERAGE(INDEX('2stage Sheet'!J:J,(ROW(F1)-1)*4+4):INDEX('2stage Sheet'!J:J,(ROW(F1)-1)*4+7)),"0.000") &amp; " ± " &amp; TEXT(_xlfn.STDEV.S(INDEX('2stage Sheet'!J:J,(ROW(F1)-1)*4+4):INDEX('2stage Sheet'!J:J,(ROW(F1)-1)*4+7)),"0.000")</f>
        <v>0.433 ± 0.090</v>
      </c>
      <c r="J4" t="str">
        <f>TEXT(AVERAGE(INDEX('2stage Sheet'!K:K,(ROW(G1)-1)*4+4):INDEX('2stage Sheet'!K:K,(ROW(G1)-1)*4+7)),"0.000") &amp; " ± " &amp; TEXT(_xlfn.STDEV.S(INDEX('2stage Sheet'!K:K,(ROW(G1)-1)*4+4):INDEX('2stage Sheet'!K:K,(ROW(G1)-1)*4+7)),"0.000")</f>
        <v>0.883 ± 0.008</v>
      </c>
      <c r="K4" t="str">
        <f>TEXT(AVERAGE(INDEX('2stage Sheet'!L:L,(ROW(H1)-1)*4+4):INDEX('2stage Sheet'!L:L,(ROW(H1)-1)*4+7)),"0.000") &amp; " ± " &amp; TEXT(_xlfn.STDEV.S(INDEX('2stage Sheet'!L:L,(ROW(H1)-1)*4+4):INDEX('2stage Sheet'!L:L,(ROW(H1)-1)*4+7)),"0.000")</f>
        <v>0.322 ± 0.025</v>
      </c>
      <c r="L4" t="str">
        <f>TEXT(AVERAGE(INDEX('2stage Sheet'!M:M,(ROW(I1)-1)*4+4):INDEX('2stage Sheet'!M:M,(ROW(I1)-1)*4+7)),"0.000") &amp; " ± " &amp; TEXT(_xlfn.STDEV.S(INDEX('2stage Sheet'!M:M,(ROW(I1)-1)*4+4):INDEX('2stage Sheet'!M:M,(ROW(I1)-1)*4+7)),"0.000")</f>
        <v>0.359 ± 0.088</v>
      </c>
      <c r="M4" t="str">
        <f>TEXT(AVERAGE(INDEX('2stage Sheet'!N:N,(ROW(J1)-1)*4+4):INDEX('2stage Sheet'!N:N,(ROW(J1)-1)*4+7)),"0.000") &amp; " ± " &amp; TEXT(_xlfn.STDEV.S(INDEX('2stage Sheet'!N:N,(ROW(J1)-1)*4+4):INDEX('2stage Sheet'!N:N,(ROW(J1)-1)*4+7)),"0.000")</f>
        <v>0.336 ± 0.053</v>
      </c>
      <c r="N4" t="str">
        <f>TEXT(AVERAGE(INDEX('2stage Sheet'!O:O,(ROW(K1)-1)*4+4):INDEX('2stage Sheet'!O:O,(ROW(K1)-1)*4+7)),"0.000") &amp; " ± " &amp; TEXT(_xlfn.STDEV.S(INDEX('2stage Sheet'!O:O,(ROW(K1)-1)*4+4):INDEX('2stage Sheet'!O:O,(ROW(K1)-1)*4+7)),"0.000")</f>
        <v>0.837 ± 0.004</v>
      </c>
      <c r="O4" t="str">
        <f>TEXT(AVERAGE(INDEX('2stage Sheet'!P:P,(ROW(L1)-1)*4+4):INDEX('2stage Sheet'!P:P,(ROW(L1)-1)*4+7)),"0.000") &amp; " ± " &amp; TEXT(_xlfn.STDEV.S(INDEX('2stage Sheet'!P:P,(ROW(L1)-1)*4+4):INDEX('2stage Sheet'!P:P,(ROW(L1)-1)*4+7)),"0.000")</f>
        <v>0.309 ± 0.029</v>
      </c>
    </row>
    <row r="5" spans="1:15" x14ac:dyDescent="0.25">
      <c r="A5" s="105"/>
      <c r="B5" s="105"/>
      <c r="C5" s="3">
        <v>34</v>
      </c>
      <c r="D5" t="str">
        <f>TEXT(AVERAGE(INDEX('2stage Sheet'!E:E,(ROW(A2)-1)*4+4):INDEX('2stage Sheet'!E:E,(ROW(A2)-1)*4+7)),"0.000") &amp; " ± " &amp; TEXT(_xlfn.STDEV.S(INDEX('2stage Sheet'!E:E,(ROW(A2)-1)*4+4):INDEX('2stage Sheet'!E:E,(ROW(A2)-1)*4+7)),"0.000")</f>
        <v>0.899 ± 0.022</v>
      </c>
      <c r="E5" t="str">
        <f>TEXT(AVERAGE(INDEX('2stage Sheet'!F:F,(ROW(B2)-1)*4+4):INDEX('2stage Sheet'!F:F,(ROW(B2)-1)*4+7)),"0.000") &amp; " ± " &amp; TEXT(_xlfn.STDEV.S(INDEX('2stage Sheet'!F:F,(ROW(B2)-1)*4+4):INDEX('2stage Sheet'!F:F,(ROW(B2)-1)*4+7)),"0.000")</f>
        <v>0.457 ± 0.087</v>
      </c>
      <c r="F5" t="str">
        <f>TEXT(AVERAGE(INDEX('2stage Sheet'!G:G,(ROW(C2)-1)*4+4):INDEX('2stage Sheet'!G:G,(ROW(C2)-1)*4+7)),"0.000") &amp; " ± " &amp; TEXT(_xlfn.STDEV.S(INDEX('2stage Sheet'!G:G,(ROW(C2)-1)*4+4):INDEX('2stage Sheet'!G:G,(ROW(C2)-1)*4+7)),"0.000")</f>
        <v>0.409 ± 0.048</v>
      </c>
      <c r="G5" t="str">
        <f>TEXT(AVERAGE(INDEX('2stage Sheet'!H:H,(ROW(D2)-1)*4+4):INDEX('2stage Sheet'!H:H,(ROW(D2)-1)*4+7)),"0.000") &amp; " ± " &amp; TEXT(_xlfn.STDEV.S(INDEX('2stage Sheet'!H:H,(ROW(D2)-1)*4+4):INDEX('2stage Sheet'!H:H,(ROW(D2)-1)*4+7)),"0.000")</f>
        <v>0.429 ± 0.054</v>
      </c>
      <c r="H5" t="str">
        <f>TEXT(AVERAGE(INDEX('2stage Sheet'!I:I,(ROW(E2)-1)*4+4):INDEX('2stage Sheet'!I:I,(ROW(E2)-1)*4+7)),"0.000") &amp; " ± " &amp; TEXT(_xlfn.STDEV.S(INDEX('2stage Sheet'!I:I,(ROW(E2)-1)*4+4):INDEX('2stage Sheet'!I:I,(ROW(E2)-1)*4+7)),"0.000")</f>
        <v>0.859 ± 0.014</v>
      </c>
      <c r="I5" t="str">
        <f>TEXT(AVERAGE(INDEX('2stage Sheet'!J:J,(ROW(F2)-1)*4+4):INDEX('2stage Sheet'!J:J,(ROW(F2)-1)*4+7)),"0.000") &amp; " ± " &amp; TEXT(_xlfn.STDEV.S(INDEX('2stage Sheet'!J:J,(ROW(F2)-1)*4+4):INDEX('2stage Sheet'!J:J,(ROW(F2)-1)*4+7)),"0.000")</f>
        <v>0.440 ± 0.076</v>
      </c>
      <c r="J5" t="str">
        <f>TEXT(AVERAGE(INDEX('2stage Sheet'!K:K,(ROW(G2)-1)*4+4):INDEX('2stage Sheet'!K:K,(ROW(G2)-1)*4+7)),"0.000") &amp; " ± " &amp; TEXT(_xlfn.STDEV.S(INDEX('2stage Sheet'!K:K,(ROW(G2)-1)*4+4):INDEX('2stage Sheet'!K:K,(ROW(G2)-1)*4+7)),"0.000")</f>
        <v>0.895 ± 0.013</v>
      </c>
      <c r="K5" t="str">
        <f>TEXT(AVERAGE(INDEX('2stage Sheet'!L:L,(ROW(H2)-1)*4+4):INDEX('2stage Sheet'!L:L,(ROW(H2)-1)*4+7)),"0.000") &amp; " ± " &amp; TEXT(_xlfn.STDEV.S(INDEX('2stage Sheet'!L:L,(ROW(H2)-1)*4+4):INDEX('2stage Sheet'!L:L,(ROW(H2)-1)*4+7)),"0.000")</f>
        <v>0.369 ± 0.048</v>
      </c>
      <c r="L5" t="str">
        <f>TEXT(AVERAGE(INDEX('2stage Sheet'!M:M,(ROW(I2)-1)*4+4):INDEX('2stage Sheet'!M:M,(ROW(I2)-1)*4+7)),"0.000") &amp; " ± " &amp; TEXT(_xlfn.STDEV.S(INDEX('2stage Sheet'!M:M,(ROW(I2)-1)*4+4):INDEX('2stage Sheet'!M:M,(ROW(I2)-1)*4+7)),"0.000")</f>
        <v>0.345 ± 0.129</v>
      </c>
      <c r="M5" t="str">
        <f>TEXT(AVERAGE(INDEX('2stage Sheet'!N:N,(ROW(J2)-1)*4+4):INDEX('2stage Sheet'!N:N,(ROW(J2)-1)*4+7)),"0.000") &amp; " ± " &amp; TEXT(_xlfn.STDEV.S(INDEX('2stage Sheet'!N:N,(ROW(J2)-1)*4+4):INDEX('2stage Sheet'!N:N,(ROW(J2)-1)*4+7)),"0.000")</f>
        <v>0.346 ± 0.085</v>
      </c>
      <c r="N5" t="str">
        <f>TEXT(AVERAGE(INDEX('2stage Sheet'!O:O,(ROW(K2)-1)*4+4):INDEX('2stage Sheet'!O:O,(ROW(K2)-1)*4+7)),"0.000") &amp; " ± " &amp; TEXT(_xlfn.STDEV.S(INDEX('2stage Sheet'!O:O,(ROW(K2)-1)*4+4):INDEX('2stage Sheet'!O:O,(ROW(K2)-1)*4+7)),"0.000")</f>
        <v>0.827 ± 0.026</v>
      </c>
      <c r="O5" t="str">
        <f>TEXT(AVERAGE(INDEX('2stage Sheet'!P:P,(ROW(L2)-1)*4+4):INDEX('2stage Sheet'!P:P,(ROW(L2)-1)*4+7)),"0.000") &amp; " ± " &amp; TEXT(_xlfn.STDEV.S(INDEX('2stage Sheet'!P:P,(ROW(L2)-1)*4+4):INDEX('2stage Sheet'!P:P,(ROW(L2)-1)*4+7)),"0.000")</f>
        <v>0.344 ± 0.033</v>
      </c>
    </row>
    <row r="6" spans="1:15" x14ac:dyDescent="0.25">
      <c r="A6" s="107"/>
      <c r="B6" s="107"/>
      <c r="C6" s="8">
        <v>50</v>
      </c>
      <c r="D6" t="str">
        <f>TEXT(AVERAGE(INDEX('2stage Sheet'!E:E,(ROW(A3)-1)*4+4):INDEX('2stage Sheet'!E:E,(ROW(A3)-1)*4+7)),"0.000") &amp; " ± " &amp; TEXT(_xlfn.STDEV.S(INDEX('2stage Sheet'!E:E,(ROW(A3)-1)*4+4):INDEX('2stage Sheet'!E:E,(ROW(A3)-1)*4+7)),"0.000")</f>
        <v>0.897 ± 0.012</v>
      </c>
      <c r="E6" t="str">
        <f>TEXT(AVERAGE(INDEX('2stage Sheet'!F:F,(ROW(B3)-1)*4+4):INDEX('2stage Sheet'!F:F,(ROW(B3)-1)*4+7)),"0.000") &amp; " ± " &amp; TEXT(_xlfn.STDEV.S(INDEX('2stage Sheet'!F:F,(ROW(B3)-1)*4+4):INDEX('2stage Sheet'!F:F,(ROW(B3)-1)*4+7)),"0.000")</f>
        <v>0.429 ± 0.043</v>
      </c>
      <c r="F6" t="str">
        <f>TEXT(AVERAGE(INDEX('2stage Sheet'!G:G,(ROW(C3)-1)*4+4):INDEX('2stage Sheet'!G:G,(ROW(C3)-1)*4+7)),"0.000") &amp; " ± " &amp; TEXT(_xlfn.STDEV.S(INDEX('2stage Sheet'!G:G,(ROW(C3)-1)*4+4):INDEX('2stage Sheet'!G:G,(ROW(C3)-1)*4+7)),"0.000")</f>
        <v>0.391 ± 0.125</v>
      </c>
      <c r="G6" t="str">
        <f>TEXT(AVERAGE(INDEX('2stage Sheet'!H:H,(ROW(D3)-1)*4+4):INDEX('2stage Sheet'!H:H,(ROW(D3)-1)*4+7)),"0.000") &amp; " ± " &amp; TEXT(_xlfn.STDEV.S(INDEX('2stage Sheet'!H:H,(ROW(D3)-1)*4+4):INDEX('2stage Sheet'!H:H,(ROW(D3)-1)*4+7)),"0.000")</f>
        <v>0.404 ± 0.078</v>
      </c>
      <c r="H6" t="str">
        <f>TEXT(AVERAGE(INDEX('2stage Sheet'!I:I,(ROW(E3)-1)*4+4):INDEX('2stage Sheet'!I:I,(ROW(E3)-1)*4+7)),"0.000") &amp; " ± " &amp; TEXT(_xlfn.STDEV.S(INDEX('2stage Sheet'!I:I,(ROW(E3)-1)*4+4):INDEX('2stage Sheet'!I:I,(ROW(E3)-1)*4+7)),"0.000")</f>
        <v>0.852 ± 0.029</v>
      </c>
      <c r="I6" t="str">
        <f>TEXT(AVERAGE(INDEX('2stage Sheet'!J:J,(ROW(F3)-1)*4+4):INDEX('2stage Sheet'!J:J,(ROW(F3)-1)*4+7)),"0.000") &amp; " ± " &amp; TEXT(_xlfn.STDEV.S(INDEX('2stage Sheet'!J:J,(ROW(F3)-1)*4+4):INDEX('2stage Sheet'!J:J,(ROW(F3)-1)*4+7)),"0.000")</f>
        <v>0.427 ± 0.105</v>
      </c>
      <c r="J6" t="str">
        <f>TEXT(AVERAGE(INDEX('2stage Sheet'!K:K,(ROW(G3)-1)*4+4):INDEX('2stage Sheet'!K:K,(ROW(G3)-1)*4+7)),"0.000") &amp; " ± " &amp; TEXT(_xlfn.STDEV.S(INDEX('2stage Sheet'!K:K,(ROW(G3)-1)*4+4):INDEX('2stage Sheet'!K:K,(ROW(G3)-1)*4+7)),"0.000")</f>
        <v>0.885 ± 0.014</v>
      </c>
      <c r="K6" t="str">
        <f>TEXT(AVERAGE(INDEX('2stage Sheet'!L:L,(ROW(H3)-1)*4+4):INDEX('2stage Sheet'!L:L,(ROW(H3)-1)*4+7)),"0.000") &amp; " ± " &amp; TEXT(_xlfn.STDEV.S(INDEX('2stage Sheet'!L:L,(ROW(H3)-1)*4+4):INDEX('2stage Sheet'!L:L,(ROW(H3)-1)*4+7)),"0.000")</f>
        <v>0.303 ± 0.043</v>
      </c>
      <c r="L6" t="str">
        <f>TEXT(AVERAGE(INDEX('2stage Sheet'!M:M,(ROW(I3)-1)*4+4):INDEX('2stage Sheet'!M:M,(ROW(I3)-1)*4+7)),"0.000") &amp; " ± " &amp; TEXT(_xlfn.STDEV.S(INDEX('2stage Sheet'!M:M,(ROW(I3)-1)*4+4):INDEX('2stage Sheet'!M:M,(ROW(I3)-1)*4+7)),"0.000")</f>
        <v>0.293 ± 0.143</v>
      </c>
      <c r="M6" t="str">
        <f>TEXT(AVERAGE(INDEX('2stage Sheet'!N:N,(ROW(J3)-1)*4+4):INDEX('2stage Sheet'!N:N,(ROW(J3)-1)*4+7)),"0.000") &amp; " ± " &amp; TEXT(_xlfn.STDEV.S(INDEX('2stage Sheet'!N:N,(ROW(J3)-1)*4+4):INDEX('2stage Sheet'!N:N,(ROW(J3)-1)*4+7)),"0.000")</f>
        <v>0.287 ± 0.086</v>
      </c>
      <c r="N6" t="str">
        <f>TEXT(AVERAGE(INDEX('2stage Sheet'!O:O,(ROW(K3)-1)*4+4):INDEX('2stage Sheet'!O:O,(ROW(K3)-1)*4+7)),"0.000") &amp; " ± " &amp; TEXT(_xlfn.STDEV.S(INDEX('2stage Sheet'!O:O,(ROW(K3)-1)*4+4):INDEX('2stage Sheet'!O:O,(ROW(K3)-1)*4+7)),"0.000")</f>
        <v>0.828 ± 0.009</v>
      </c>
      <c r="O6" t="str">
        <f>TEXT(AVERAGE(INDEX('2stage Sheet'!P:P,(ROW(L3)-1)*4+4):INDEX('2stage Sheet'!P:P,(ROW(L3)-1)*4+7)),"0.000") &amp; " ± " &amp; TEXT(_xlfn.STDEV.S(INDEX('2stage Sheet'!P:P,(ROW(L3)-1)*4+4):INDEX('2stage Sheet'!P:P,(ROW(L3)-1)*4+7)),"0.000")</f>
        <v>0.288 ± 0.045</v>
      </c>
    </row>
    <row r="7" spans="1:15" x14ac:dyDescent="0.25">
      <c r="A7" s="103" t="s">
        <v>24</v>
      </c>
      <c r="B7" s="103" t="s">
        <v>104</v>
      </c>
      <c r="C7" s="10">
        <v>18</v>
      </c>
      <c r="D7" t="str">
        <f>TEXT(AVERAGE(INDEX('2stage Sheet'!E:E,(ROW(A4)-1)*4+4):INDEX('2stage Sheet'!E:E,(ROW(A4)-1)*4+7)),"0.000") &amp; " ± " &amp; TEXT(_xlfn.STDEV.S(INDEX('2stage Sheet'!E:E,(ROW(A4)-1)*4+4):INDEX('2stage Sheet'!E:E,(ROW(A4)-1)*4+7)),"0.000")</f>
        <v>0.896 ± 0.017</v>
      </c>
      <c r="E7" t="str">
        <f>TEXT(AVERAGE(INDEX('2stage Sheet'!F:F,(ROW(B4)-1)*4+4):INDEX('2stage Sheet'!F:F,(ROW(B4)-1)*4+7)),"0.000") &amp; " ± " &amp; TEXT(_xlfn.STDEV.S(INDEX('2stage Sheet'!F:F,(ROW(B4)-1)*4+4):INDEX('2stage Sheet'!F:F,(ROW(B4)-1)*4+7)),"0.000")</f>
        <v>0.450 ± 0.039</v>
      </c>
      <c r="F7" t="str">
        <f>TEXT(AVERAGE(INDEX('2stage Sheet'!G:G,(ROW(C4)-1)*4+4):INDEX('2stage Sheet'!G:G,(ROW(C4)-1)*4+7)),"0.000") &amp; " ± " &amp; TEXT(_xlfn.STDEV.S(INDEX('2stage Sheet'!G:G,(ROW(C4)-1)*4+4):INDEX('2stage Sheet'!G:G,(ROW(C4)-1)*4+7)),"0.000")</f>
        <v>0.570 ± 0.085</v>
      </c>
      <c r="G7" t="str">
        <f>TEXT(AVERAGE(INDEX('2stage Sheet'!H:H,(ROW(D4)-1)*4+4):INDEX('2stage Sheet'!H:H,(ROW(D4)-1)*4+7)),"0.000") &amp; " ± " &amp; TEXT(_xlfn.STDEV.S(INDEX('2stage Sheet'!H:H,(ROW(D4)-1)*4+4):INDEX('2stage Sheet'!H:H,(ROW(D4)-1)*4+7)),"0.000")</f>
        <v>0.500 ± 0.044</v>
      </c>
      <c r="H7" t="str">
        <f>TEXT(AVERAGE(INDEX('2stage Sheet'!I:I,(ROW(E4)-1)*4+4):INDEX('2stage Sheet'!I:I,(ROW(E4)-1)*4+7)),"0.000") &amp; " ± " &amp; TEXT(_xlfn.STDEV.S(INDEX('2stage Sheet'!I:I,(ROW(E4)-1)*4+4):INDEX('2stage Sheet'!I:I,(ROW(E4)-1)*4+7)),"0.000")</f>
        <v>0.880 ± 0.030</v>
      </c>
      <c r="I7" t="str">
        <f>TEXT(AVERAGE(INDEX('2stage Sheet'!J:J,(ROW(F4)-1)*4+4):INDEX('2stage Sheet'!J:J,(ROW(F4)-1)*4+7)),"0.000") &amp; " ± " &amp; TEXT(_xlfn.STDEV.S(INDEX('2stage Sheet'!J:J,(ROW(F4)-1)*4+4):INDEX('2stage Sheet'!J:J,(ROW(F4)-1)*4+7)),"0.000")</f>
        <v>0.501 ± 0.083</v>
      </c>
      <c r="J7" t="str">
        <f>TEXT(AVERAGE(INDEX('2stage Sheet'!K:K,(ROW(G4)-1)*4+4):INDEX('2stage Sheet'!K:K,(ROW(G4)-1)*4+7)),"0.000") &amp; " ± " &amp; TEXT(_xlfn.STDEV.S(INDEX('2stage Sheet'!K:K,(ROW(G4)-1)*4+4):INDEX('2stage Sheet'!K:K,(ROW(G4)-1)*4+7)),"0.000")</f>
        <v>0.881 ± 0.019</v>
      </c>
      <c r="K7" t="str">
        <f>TEXT(AVERAGE(INDEX('2stage Sheet'!L:L,(ROW(H4)-1)*4+4):INDEX('2stage Sheet'!L:L,(ROW(H4)-1)*4+7)),"0.000") &amp; " ± " &amp; TEXT(_xlfn.STDEV.S(INDEX('2stage Sheet'!L:L,(ROW(H4)-1)*4+4):INDEX('2stage Sheet'!L:L,(ROW(H4)-1)*4+7)),"0.000")</f>
        <v>0.377 ± 0.058</v>
      </c>
      <c r="L7" t="str">
        <f>TEXT(AVERAGE(INDEX('2stage Sheet'!M:M,(ROW(I4)-1)*4+4):INDEX('2stage Sheet'!M:M,(ROW(I4)-1)*4+7)),"0.000") &amp; " ± " &amp; TEXT(_xlfn.STDEV.S(INDEX('2stage Sheet'!M:M,(ROW(I4)-1)*4+4):INDEX('2stage Sheet'!M:M,(ROW(I4)-1)*4+7)),"0.000")</f>
        <v>0.582 ± 0.058</v>
      </c>
      <c r="M7" t="str">
        <f>TEXT(AVERAGE(INDEX('2stage Sheet'!N:N,(ROW(J4)-1)*4+4):INDEX('2stage Sheet'!N:N,(ROW(J4)-1)*4+7)),"0.000") &amp; " ± " &amp; TEXT(_xlfn.STDEV.S(INDEX('2stage Sheet'!N:N,(ROW(J4)-1)*4+4):INDEX('2stage Sheet'!N:N,(ROW(J4)-1)*4+7)),"0.000")</f>
        <v>0.453 ± 0.029</v>
      </c>
      <c r="N7" t="str">
        <f>TEXT(AVERAGE(INDEX('2stage Sheet'!O:O,(ROW(K4)-1)*4+4):INDEX('2stage Sheet'!O:O,(ROW(K4)-1)*4+7)),"0.000") &amp; " ± " &amp; TEXT(_xlfn.STDEV.S(INDEX('2stage Sheet'!O:O,(ROW(K4)-1)*4+4):INDEX('2stage Sheet'!O:O,(ROW(K4)-1)*4+7)),"0.000")</f>
        <v>0.860 ± 0.016</v>
      </c>
      <c r="O7" t="str">
        <f>TEXT(AVERAGE(INDEX('2stage Sheet'!P:P,(ROW(L4)-1)*4+4):INDEX('2stage Sheet'!P:P,(ROW(L4)-1)*4+7)),"0.000") &amp; " ± " &amp; TEXT(_xlfn.STDEV.S(INDEX('2stage Sheet'!P:P,(ROW(L4)-1)*4+4):INDEX('2stage Sheet'!P:P,(ROW(L4)-1)*4+7)),"0.000")</f>
        <v>0.447 ± 0.025</v>
      </c>
    </row>
    <row r="8" spans="1:15" x14ac:dyDescent="0.25">
      <c r="A8" s="105"/>
      <c r="B8" s="105"/>
      <c r="C8" s="3">
        <v>34</v>
      </c>
      <c r="D8" t="str">
        <f>TEXT(AVERAGE(INDEX('2stage Sheet'!E:E,(ROW(A5)-1)*4+4):INDEX('2stage Sheet'!E:E,(ROW(A5)-1)*4+7)),"0.000") &amp; " ± " &amp; TEXT(_xlfn.STDEV.S(INDEX('2stage Sheet'!E:E,(ROW(A5)-1)*4+4):INDEX('2stage Sheet'!E:E,(ROW(A5)-1)*4+7)),"0.000")</f>
        <v>0.903 ± 0.011</v>
      </c>
      <c r="E8" t="str">
        <f>TEXT(AVERAGE(INDEX('2stage Sheet'!F:F,(ROW(B5)-1)*4+4):INDEX('2stage Sheet'!F:F,(ROW(B5)-1)*4+7)),"0.000") &amp; " ± " &amp; TEXT(_xlfn.STDEV.S(INDEX('2stage Sheet'!F:F,(ROW(B5)-1)*4+4):INDEX('2stage Sheet'!F:F,(ROW(B5)-1)*4+7)),"0.000")</f>
        <v>0.485 ± 0.053</v>
      </c>
      <c r="F8" t="str">
        <f>TEXT(AVERAGE(INDEX('2stage Sheet'!G:G,(ROW(C5)-1)*4+4):INDEX('2stage Sheet'!G:G,(ROW(C5)-1)*4+7)),"0.000") &amp; " ± " &amp; TEXT(_xlfn.STDEV.S(INDEX('2stage Sheet'!G:G,(ROW(C5)-1)*4+4):INDEX('2stage Sheet'!G:G,(ROW(C5)-1)*4+7)),"0.000")</f>
        <v>0.515 ± 0.079</v>
      </c>
      <c r="G8" t="str">
        <f>TEXT(AVERAGE(INDEX('2stage Sheet'!H:H,(ROW(D5)-1)*4+4):INDEX('2stage Sheet'!H:H,(ROW(D5)-1)*4+7)),"0.000") &amp; " ± " &amp; TEXT(_xlfn.STDEV.S(INDEX('2stage Sheet'!H:H,(ROW(D5)-1)*4+4):INDEX('2stage Sheet'!H:H,(ROW(D5)-1)*4+7)),"0.000")</f>
        <v>0.493 ± 0.015</v>
      </c>
      <c r="H8" t="str">
        <f>TEXT(AVERAGE(INDEX('2stage Sheet'!I:I,(ROW(E5)-1)*4+4):INDEX('2stage Sheet'!I:I,(ROW(E5)-1)*4+7)),"0.000") &amp; " ± " &amp; TEXT(_xlfn.STDEV.S(INDEX('2stage Sheet'!I:I,(ROW(E5)-1)*4+4):INDEX('2stage Sheet'!I:I,(ROW(E5)-1)*4+7)),"0.000")</f>
        <v>0.878 ± 0.016</v>
      </c>
      <c r="I8" t="str">
        <f>TEXT(AVERAGE(INDEX('2stage Sheet'!J:J,(ROW(F5)-1)*4+4):INDEX('2stage Sheet'!J:J,(ROW(F5)-1)*4+7)),"0.000") &amp; " ± " &amp; TEXT(_xlfn.STDEV.S(INDEX('2stage Sheet'!J:J,(ROW(F5)-1)*4+4):INDEX('2stage Sheet'!J:J,(ROW(F5)-1)*4+7)),"0.000")</f>
        <v>0.493 ± 0.035</v>
      </c>
      <c r="J8" t="str">
        <f>TEXT(AVERAGE(INDEX('2stage Sheet'!K:K,(ROW(G5)-1)*4+4):INDEX('2stage Sheet'!K:K,(ROW(G5)-1)*4+7)),"0.000") &amp; " ± " &amp; TEXT(_xlfn.STDEV.S(INDEX('2stage Sheet'!K:K,(ROW(G5)-1)*4+4):INDEX('2stage Sheet'!K:K,(ROW(G5)-1)*4+7)),"0.000")</f>
        <v>0.886 ± 0.006</v>
      </c>
      <c r="K8" t="str">
        <f>TEXT(AVERAGE(INDEX('2stage Sheet'!L:L,(ROW(H5)-1)*4+4):INDEX('2stage Sheet'!L:L,(ROW(H5)-1)*4+7)),"0.000") &amp; " ± " &amp; TEXT(_xlfn.STDEV.S(INDEX('2stage Sheet'!L:L,(ROW(H5)-1)*4+4):INDEX('2stage Sheet'!L:L,(ROW(H5)-1)*4+7)),"0.000")</f>
        <v>0.373 ± 0.015</v>
      </c>
      <c r="L8" t="str">
        <f>TEXT(AVERAGE(INDEX('2stage Sheet'!M:M,(ROW(I5)-1)*4+4):INDEX('2stage Sheet'!M:M,(ROW(I5)-1)*4+7)),"0.000") &amp; " ± " &amp; TEXT(_xlfn.STDEV.S(INDEX('2stage Sheet'!M:M,(ROW(I5)-1)*4+4):INDEX('2stage Sheet'!M:M,(ROW(I5)-1)*4+7)),"0.000")</f>
        <v>0.516 ± 0.052</v>
      </c>
      <c r="M8" t="str">
        <f>TEXT(AVERAGE(INDEX('2stage Sheet'!N:N,(ROW(J5)-1)*4+4):INDEX('2stage Sheet'!N:N,(ROW(J5)-1)*4+7)),"0.000") &amp; " ± " &amp; TEXT(_xlfn.STDEV.S(INDEX('2stage Sheet'!N:N,(ROW(J5)-1)*4+4):INDEX('2stage Sheet'!N:N,(ROW(J5)-1)*4+7)),"0.000")</f>
        <v>0.431 ± 0.015</v>
      </c>
      <c r="N8" t="str">
        <f>TEXT(AVERAGE(INDEX('2stage Sheet'!O:O,(ROW(K5)-1)*4+4):INDEX('2stage Sheet'!O:O,(ROW(K5)-1)*4+7)),"0.000") &amp; " ± " &amp; TEXT(_xlfn.STDEV.S(INDEX('2stage Sheet'!O:O,(ROW(K5)-1)*4+4):INDEX('2stage Sheet'!O:O,(ROW(K5)-1)*4+7)),"0.000")</f>
        <v>0.848 ± 0.017</v>
      </c>
      <c r="O8" t="str">
        <f>TEXT(AVERAGE(INDEX('2stage Sheet'!P:P,(ROW(L5)-1)*4+4):INDEX('2stage Sheet'!P:P,(ROW(L5)-1)*4+7)),"0.000") &amp; " ± " &amp; TEXT(_xlfn.STDEV.S(INDEX('2stage Sheet'!P:P,(ROW(L5)-1)*4+4):INDEX('2stage Sheet'!P:P,(ROW(L5)-1)*4+7)),"0.000")</f>
        <v>0.410 ± 0.022</v>
      </c>
    </row>
    <row r="9" spans="1:15" x14ac:dyDescent="0.25">
      <c r="A9" s="107"/>
      <c r="B9" s="107"/>
      <c r="C9" s="8">
        <v>50</v>
      </c>
      <c r="D9" t="str">
        <f>TEXT(AVERAGE(INDEX('2stage Sheet'!E:E,(ROW(A6)-1)*4+4):INDEX('2stage Sheet'!E:E,(ROW(A6)-1)*4+7)),"0.000") &amp; " ± " &amp; TEXT(_xlfn.STDEV.S(INDEX('2stage Sheet'!E:E,(ROW(A6)-1)*4+4):INDEX('2stage Sheet'!E:E,(ROW(A6)-1)*4+7)),"0.000")</f>
        <v>0.886 ± 0.024</v>
      </c>
      <c r="E9" t="str">
        <f>TEXT(AVERAGE(INDEX('2stage Sheet'!F:F,(ROW(B6)-1)*4+4):INDEX('2stage Sheet'!F:F,(ROW(B6)-1)*4+7)),"0.000") &amp; " ± " &amp; TEXT(_xlfn.STDEV.S(INDEX('2stage Sheet'!F:F,(ROW(B6)-1)*4+4):INDEX('2stage Sheet'!F:F,(ROW(B6)-1)*4+7)),"0.000")</f>
        <v>0.434 ± 0.078</v>
      </c>
      <c r="F9" t="str">
        <f>TEXT(AVERAGE(INDEX('2stage Sheet'!G:G,(ROW(C6)-1)*4+4):INDEX('2stage Sheet'!G:G,(ROW(C6)-1)*4+7)),"0.000") &amp; " ± " &amp; TEXT(_xlfn.STDEV.S(INDEX('2stage Sheet'!G:G,(ROW(C6)-1)*4+4):INDEX('2stage Sheet'!G:G,(ROW(C6)-1)*4+7)),"0.000")</f>
        <v>0.592 ± 0.122</v>
      </c>
      <c r="G9" t="str">
        <f>TEXT(AVERAGE(INDEX('2stage Sheet'!H:H,(ROW(D6)-1)*4+4):INDEX('2stage Sheet'!H:H,(ROW(D6)-1)*4+7)),"0.000") &amp; " ± " &amp; TEXT(_xlfn.STDEV.S(INDEX('2stage Sheet'!H:H,(ROW(D6)-1)*4+4):INDEX('2stage Sheet'!H:H,(ROW(D6)-1)*4+7)),"0.000")</f>
        <v>0.488 ± 0.035</v>
      </c>
      <c r="H9" t="str">
        <f>TEXT(AVERAGE(INDEX('2stage Sheet'!I:I,(ROW(E6)-1)*4+4):INDEX('2stage Sheet'!I:I,(ROW(E6)-1)*4+7)),"0.000") &amp; " ± " &amp; TEXT(_xlfn.STDEV.S(INDEX('2stage Sheet'!I:I,(ROW(E6)-1)*4+4):INDEX('2stage Sheet'!I:I,(ROW(E6)-1)*4+7)),"0.000")</f>
        <v>0.883 ± 0.021</v>
      </c>
      <c r="I9" t="str">
        <f>TEXT(AVERAGE(INDEX('2stage Sheet'!J:J,(ROW(F6)-1)*4+4):INDEX('2stage Sheet'!J:J,(ROW(F6)-1)*4+7)),"0.000") &amp; " ± " &amp; TEXT(_xlfn.STDEV.S(INDEX('2stage Sheet'!J:J,(ROW(F6)-1)*4+4):INDEX('2stage Sheet'!J:J,(ROW(F6)-1)*4+7)),"0.000")</f>
        <v>0.496 ± 0.070</v>
      </c>
      <c r="J9" t="str">
        <f>TEXT(AVERAGE(INDEX('2stage Sheet'!K:K,(ROW(G6)-1)*4+4):INDEX('2stage Sheet'!K:K,(ROW(G6)-1)*4+7)),"0.000") &amp; " ± " &amp; TEXT(_xlfn.STDEV.S(INDEX('2stage Sheet'!K:K,(ROW(G6)-1)*4+4):INDEX('2stage Sheet'!K:K,(ROW(G6)-1)*4+7)),"0.000")</f>
        <v>0.874 ± 0.020</v>
      </c>
      <c r="K9" t="str">
        <f>TEXT(AVERAGE(INDEX('2stage Sheet'!L:L,(ROW(H6)-1)*4+4):INDEX('2stage Sheet'!L:L,(ROW(H6)-1)*4+7)),"0.000") &amp; " ± " &amp; TEXT(_xlfn.STDEV.S(INDEX('2stage Sheet'!L:L,(ROW(H6)-1)*4+4):INDEX('2stage Sheet'!L:L,(ROW(H6)-1)*4+7)),"0.000")</f>
        <v>0.359 ± 0.039</v>
      </c>
      <c r="L9" t="str">
        <f>TEXT(AVERAGE(INDEX('2stage Sheet'!M:M,(ROW(I6)-1)*4+4):INDEX('2stage Sheet'!M:M,(ROW(I6)-1)*4+7)),"0.000") &amp; " ± " &amp; TEXT(_xlfn.STDEV.S(INDEX('2stage Sheet'!M:M,(ROW(I6)-1)*4+4):INDEX('2stage Sheet'!M:M,(ROW(I6)-1)*4+7)),"0.000")</f>
        <v>0.586 ± 0.140</v>
      </c>
      <c r="M9" t="str">
        <f>TEXT(AVERAGE(INDEX('2stage Sheet'!N:N,(ROW(J6)-1)*4+4):INDEX('2stage Sheet'!N:N,(ROW(J6)-1)*4+7)),"0.000") &amp; " ± " &amp; TEXT(_xlfn.STDEV.S(INDEX('2stage Sheet'!N:N,(ROW(J6)-1)*4+4):INDEX('2stage Sheet'!N:N,(ROW(J6)-1)*4+7)),"0.000")</f>
        <v>0.435 ± 0.027</v>
      </c>
      <c r="N9" t="str">
        <f>TEXT(AVERAGE(INDEX('2stage Sheet'!O:O,(ROW(K6)-1)*4+4):INDEX('2stage Sheet'!O:O,(ROW(K6)-1)*4+7)),"0.000") &amp; " ± " &amp; TEXT(_xlfn.STDEV.S(INDEX('2stage Sheet'!O:O,(ROW(K6)-1)*4+4):INDEX('2stage Sheet'!O:O,(ROW(K6)-1)*4+7)),"0.000")</f>
        <v>0.865 ± 0.013</v>
      </c>
      <c r="O9" t="str">
        <f>TEXT(AVERAGE(INDEX('2stage Sheet'!P:P,(ROW(L6)-1)*4+4):INDEX('2stage Sheet'!P:P,(ROW(L6)-1)*4+7)),"0.000") &amp; " ± " &amp; TEXT(_xlfn.STDEV.S(INDEX('2stage Sheet'!P:P,(ROW(L6)-1)*4+4):INDEX('2stage Sheet'!P:P,(ROW(L6)-1)*4+7)),"0.000")</f>
        <v>0.438 ± 0.036</v>
      </c>
    </row>
    <row r="10" spans="1:15" x14ac:dyDescent="0.25">
      <c r="A10" s="24" t="s">
        <v>24</v>
      </c>
      <c r="B10" s="107" t="s">
        <v>27</v>
      </c>
      <c r="C10" s="108"/>
      <c r="D10" t="str">
        <f>TEXT(AVERAGE(INDEX('2stage Sheet'!E:E,(ROW(A7)-1)*4+4):INDEX('2stage Sheet'!E:E,(ROW(A7)-1)*4+7)),"0.000") &amp; " ± " &amp; TEXT(_xlfn.STDEV.S(INDEX('2stage Sheet'!E:E,(ROW(A7)-1)*4+4):INDEX('2stage Sheet'!E:E,(ROW(A7)-1)*4+7)),"0.000")</f>
        <v>0.889 ± 0.014</v>
      </c>
      <c r="E10" t="str">
        <f>TEXT(AVERAGE(INDEX('2stage Sheet'!F:F,(ROW(B7)-1)*4+4):INDEX('2stage Sheet'!F:F,(ROW(B7)-1)*4+7)),"0.000") &amp; " ± " &amp; TEXT(_xlfn.STDEV.S(INDEX('2stage Sheet'!F:F,(ROW(B7)-1)*4+4):INDEX('2stage Sheet'!F:F,(ROW(B7)-1)*4+7)),"0.000")</f>
        <v>0.425 ± 0.063</v>
      </c>
      <c r="F10" t="str">
        <f>TEXT(AVERAGE(INDEX('2stage Sheet'!G:G,(ROW(C7)-1)*4+4):INDEX('2stage Sheet'!G:G,(ROW(C7)-1)*4+7)),"0.000") &amp; " ± " &amp; TEXT(_xlfn.STDEV.S(INDEX('2stage Sheet'!G:G,(ROW(C7)-1)*4+4):INDEX('2stage Sheet'!G:G,(ROW(C7)-1)*4+7)),"0.000")</f>
        <v>0.499 ± 0.126</v>
      </c>
      <c r="G10" t="str">
        <f>TEXT(AVERAGE(INDEX('2stage Sheet'!H:H,(ROW(D7)-1)*4+4):INDEX('2stage Sheet'!H:H,(ROW(D7)-1)*4+7)),"0.000") &amp; " ± " &amp; TEXT(_xlfn.STDEV.S(INDEX('2stage Sheet'!H:H,(ROW(D7)-1)*4+4):INDEX('2stage Sheet'!H:H,(ROW(D7)-1)*4+7)),"0.000")</f>
        <v>0.448 ± 0.033</v>
      </c>
      <c r="H10" t="str">
        <f>TEXT(AVERAGE(INDEX('2stage Sheet'!I:I,(ROW(E7)-1)*4+4):INDEX('2stage Sheet'!I:I,(ROW(E7)-1)*4+7)),"0.000") &amp; " ± " &amp; TEXT(_xlfn.STDEV.S(INDEX('2stage Sheet'!I:I,(ROW(E7)-1)*4+4):INDEX('2stage Sheet'!I:I,(ROW(E7)-1)*4+7)),"0.000")</f>
        <v>0.859 ± 0.027</v>
      </c>
      <c r="I10" t="str">
        <f>TEXT(AVERAGE(INDEX('2stage Sheet'!J:J,(ROW(F7)-1)*4+4):INDEX('2stage Sheet'!J:J,(ROW(F7)-1)*4+7)),"0.000") &amp; " ± " &amp; TEXT(_xlfn.STDEV.S(INDEX('2stage Sheet'!J:J,(ROW(F7)-1)*4+4):INDEX('2stage Sheet'!J:J,(ROW(F7)-1)*4+7)),"0.000")</f>
        <v>0.429 ± 0.037</v>
      </c>
      <c r="J10" t="str">
        <f>TEXT(AVERAGE(INDEX('2stage Sheet'!K:K,(ROW(G7)-1)*4+4):INDEX('2stage Sheet'!K:K,(ROW(G7)-1)*4+7)),"0.000") &amp; " ± " &amp; TEXT(_xlfn.STDEV.S(INDEX('2stage Sheet'!K:K,(ROW(G7)-1)*4+4):INDEX('2stage Sheet'!K:K,(ROW(G7)-1)*4+7)),"0.000")</f>
        <v>0.873 ± 0.024</v>
      </c>
      <c r="K10" t="str">
        <f>TEXT(AVERAGE(INDEX('2stage Sheet'!L:L,(ROW(H7)-1)*4+4):INDEX('2stage Sheet'!L:L,(ROW(H7)-1)*4+7)),"0.000") &amp; " ± " &amp; TEXT(_xlfn.STDEV.S(INDEX('2stage Sheet'!L:L,(ROW(H7)-1)*4+4):INDEX('2stage Sheet'!L:L,(ROW(H7)-1)*4+7)),"0.000")</f>
        <v>0.329 ± 0.042</v>
      </c>
      <c r="L10" t="str">
        <f>TEXT(AVERAGE(INDEX('2stage Sheet'!M:M,(ROW(I7)-1)*4+4):INDEX('2stage Sheet'!M:M,(ROW(I7)-1)*4+7)),"0.000") &amp; " ± " &amp; TEXT(_xlfn.STDEV.S(INDEX('2stage Sheet'!M:M,(ROW(I7)-1)*4+4):INDEX('2stage Sheet'!M:M,(ROW(I7)-1)*4+7)),"0.000")</f>
        <v>0.464 ± 0.073</v>
      </c>
      <c r="M10" t="str">
        <f>TEXT(AVERAGE(INDEX('2stage Sheet'!N:N,(ROW(J7)-1)*4+4):INDEX('2stage Sheet'!N:N,(ROW(J7)-1)*4+7)),"0.000") &amp; " ± " &amp; TEXT(_xlfn.STDEV.S(INDEX('2stage Sheet'!N:N,(ROW(J7)-1)*4+4):INDEX('2stage Sheet'!N:N,(ROW(J7)-1)*4+7)),"0.000")</f>
        <v>0.379 ± 0.019</v>
      </c>
      <c r="N10" t="str">
        <f>TEXT(AVERAGE(INDEX('2stage Sheet'!O:O,(ROW(K7)-1)*4+4):INDEX('2stage Sheet'!O:O,(ROW(K7)-1)*4+7)),"0.000") &amp; " ± " &amp; TEXT(_xlfn.STDEV.S(INDEX('2stage Sheet'!O:O,(ROW(K7)-1)*4+4):INDEX('2stage Sheet'!O:O,(ROW(K7)-1)*4+7)),"0.000")</f>
        <v>0.822 ± 0.004</v>
      </c>
      <c r="O10" t="str">
        <f>TEXT(AVERAGE(INDEX('2stage Sheet'!P:P,(ROW(L7)-1)*4+4):INDEX('2stage Sheet'!P:P,(ROW(L7)-1)*4+7)),"0.000") &amp; " ± " &amp; TEXT(_xlfn.STDEV.S(INDEX('2stage Sheet'!P:P,(ROW(L7)-1)*4+4):INDEX('2stage Sheet'!P:P,(ROW(L7)-1)*4+7)),"0.000")</f>
        <v>0.359 ± 0.020</v>
      </c>
    </row>
  </sheetData>
  <mergeCells count="23">
    <mergeCell ref="B10:C10"/>
    <mergeCell ref="N2:N3"/>
    <mergeCell ref="O2:O3"/>
    <mergeCell ref="A4:A6"/>
    <mergeCell ref="B4:B6"/>
    <mergeCell ref="A7:A9"/>
    <mergeCell ref="B7:B9"/>
    <mergeCell ref="H2:H3"/>
    <mergeCell ref="I2:I3"/>
    <mergeCell ref="J2:J3"/>
    <mergeCell ref="K2:K3"/>
    <mergeCell ref="L2:L3"/>
    <mergeCell ref="M2:M3"/>
    <mergeCell ref="A1:A3"/>
    <mergeCell ref="B1:C1"/>
    <mergeCell ref="B2:B3"/>
    <mergeCell ref="C2:C3"/>
    <mergeCell ref="D1:I1"/>
    <mergeCell ref="J1:O1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2633F-980C-42B4-AE68-253C7941131F}">
  <sheetPr>
    <tabColor rgb="FF00B050"/>
  </sheetPr>
  <dimension ref="A1:P75"/>
  <sheetViews>
    <sheetView workbookViewId="0">
      <selection activeCell="O53" sqref="O53"/>
    </sheetView>
  </sheetViews>
  <sheetFormatPr defaultRowHeight="15" x14ac:dyDescent="0.25"/>
  <cols>
    <col min="1" max="1" width="19.7109375" customWidth="1"/>
    <col min="2" max="2" width="18.28515625" customWidth="1"/>
    <col min="3" max="3" width="9.7109375" customWidth="1"/>
    <col min="4" max="4" width="13" customWidth="1"/>
    <col min="5" max="5" width="12.140625" customWidth="1"/>
    <col min="6" max="6" width="13.140625" customWidth="1"/>
    <col min="7" max="7" width="15.5703125" customWidth="1"/>
    <col min="11" max="11" width="19.140625" customWidth="1"/>
    <col min="12" max="12" width="15.5703125" customWidth="1"/>
    <col min="14" max="15" width="11.85546875" customWidth="1"/>
    <col min="16" max="16" width="12" customWidth="1"/>
  </cols>
  <sheetData>
    <row r="1" spans="1:16" x14ac:dyDescent="0.25">
      <c r="A1" s="126" t="s">
        <v>15</v>
      </c>
      <c r="B1" s="126" t="s">
        <v>0</v>
      </c>
      <c r="C1" s="128"/>
      <c r="D1" s="126" t="s">
        <v>12</v>
      </c>
      <c r="E1" s="154" t="s">
        <v>95</v>
      </c>
      <c r="F1" s="154"/>
      <c r="G1" s="155"/>
      <c r="H1" s="15"/>
      <c r="K1" s="126" t="s">
        <v>15</v>
      </c>
      <c r="L1" s="126" t="s">
        <v>0</v>
      </c>
      <c r="M1" s="128"/>
      <c r="N1" s="158" t="s">
        <v>95</v>
      </c>
      <c r="O1" s="154"/>
      <c r="P1" s="155"/>
    </row>
    <row r="2" spans="1:16" x14ac:dyDescent="0.25">
      <c r="A2" s="126"/>
      <c r="B2" s="126" t="s">
        <v>16</v>
      </c>
      <c r="C2" s="128" t="s">
        <v>17</v>
      </c>
      <c r="D2" s="126"/>
      <c r="E2" s="105" t="s">
        <v>4</v>
      </c>
      <c r="F2" s="105" t="s">
        <v>5</v>
      </c>
      <c r="G2" s="106" t="s">
        <v>70</v>
      </c>
      <c r="K2" s="126"/>
      <c r="L2" s="126" t="s">
        <v>16</v>
      </c>
      <c r="M2" s="128" t="s">
        <v>17</v>
      </c>
      <c r="N2" s="152" t="s">
        <v>4</v>
      </c>
      <c r="O2" s="105" t="s">
        <v>5</v>
      </c>
      <c r="P2" s="106" t="s">
        <v>70</v>
      </c>
    </row>
    <row r="3" spans="1:16" ht="15.75" thickBot="1" x14ac:dyDescent="0.3">
      <c r="A3" s="127"/>
      <c r="B3" s="127"/>
      <c r="C3" s="129"/>
      <c r="D3" s="127"/>
      <c r="E3" s="156"/>
      <c r="F3" s="156"/>
      <c r="G3" s="157"/>
      <c r="H3" s="1"/>
      <c r="K3" s="112"/>
      <c r="L3" s="112"/>
      <c r="M3" s="159"/>
      <c r="N3" s="152"/>
      <c r="O3" s="105"/>
      <c r="P3" s="106"/>
    </row>
    <row r="4" spans="1:16" x14ac:dyDescent="0.25">
      <c r="A4" s="111" t="s">
        <v>19</v>
      </c>
      <c r="B4" s="111" t="s">
        <v>18</v>
      </c>
      <c r="C4" s="111">
        <v>18</v>
      </c>
      <c r="D4" s="6">
        <v>1</v>
      </c>
      <c r="E4" s="6">
        <f>'Table for t-test'!R4</f>
        <v>-1.4676928520201971E-2</v>
      </c>
      <c r="F4" s="6">
        <f>'Table for t-test'!S4</f>
        <v>-2.6960492134094016E-2</v>
      </c>
      <c r="G4" s="11">
        <f>'Table for t-test'!T4</f>
        <v>-7.8337192535401001E-2</v>
      </c>
      <c r="K4" s="151" t="s">
        <v>19</v>
      </c>
      <c r="L4" s="103" t="s">
        <v>101</v>
      </c>
      <c r="M4" s="10">
        <v>18</v>
      </c>
      <c r="N4" s="9" t="str">
        <f>TEXT(AVERAGE(INDEX(E:E,(ROW(A1)-1)*4+4):INDEX(E:E,(ROW(A1)-1)*4+7)),"0.000") &amp; " ± " &amp; TEXT(_xlfn.STDEV.S(INDEX(E:E,(ROW(A1)-1)*4+4):INDEX(E:E,(ROW(A1)-1)*4+7)),"0.000")</f>
        <v>0.037 ± 0.080</v>
      </c>
      <c r="O4" s="9" t="str">
        <f>TEXT(AVERAGE(INDEX(F:F,(ROW(B1)-1)*4+4):INDEX(F:F,(ROW(B1)-1)*4+7)),"0.000") &amp; " ± " &amp; TEXT(_xlfn.STDEV.S(INDEX(F:F,(ROW(B1)-1)*4+4):INDEX(F:F,(ROW(B1)-1)*4+7)),"0.000")</f>
        <v>0.031 ± 0.053</v>
      </c>
      <c r="P4" s="10" t="str">
        <f>TEXT(AVERAGE(INDEX(G:G,(ROW(C1)-1)*4+4):INDEX(G:G,(ROW(C1)-1)*4+7)),"0.000") &amp; " ± " &amp; TEXT(_xlfn.STDEV.S(INDEX(G:G,(ROW(C1)-1)*4+4):INDEX(G:G,(ROW(C1)-1)*4+7)),"0.000")</f>
        <v>0.090 ± 0.125</v>
      </c>
    </row>
    <row r="5" spans="1:16" x14ac:dyDescent="0.25">
      <c r="A5" s="105"/>
      <c r="B5" s="105"/>
      <c r="C5" s="105"/>
      <c r="D5">
        <v>2</v>
      </c>
      <c r="E5">
        <f>'Table for t-test'!R5</f>
        <v>0.128408253192901</v>
      </c>
      <c r="F5">
        <f>'Table for t-test'!S5</f>
        <v>0.10063689947128296</v>
      </c>
      <c r="G5" s="3">
        <f>'Table for t-test'!T5</f>
        <v>0.17232927680015603</v>
      </c>
      <c r="K5" s="152"/>
      <c r="L5" s="105"/>
      <c r="M5" s="3">
        <v>34</v>
      </c>
      <c r="N5" t="str">
        <f>TEXT(AVERAGE(INDEX(E:E,(ROW(A2)-1)*4+4):INDEX(E:E,(ROW(A2)-1)*4+7)),"0.000") &amp; " ± " &amp; TEXT(_xlfn.STDEV.S(INDEX(E:E,(ROW(A2)-1)*4+4):INDEX(E:E,(ROW(A2)-1)*4+7)),"0.000")</f>
        <v>0.153 ± 0.115</v>
      </c>
      <c r="O5" t="str">
        <f>TEXT(AVERAGE(INDEX(F:F,(ROW(B2)-1)*4+4):INDEX(F:F,(ROW(B2)-1)*4+7)),"0.000") &amp; " ± " &amp; TEXT(_xlfn.STDEV.S(INDEX(F:F,(ROW(B2)-1)*4+4):INDEX(F:F,(ROW(B2)-1)*4+7)),"0.000")</f>
        <v>0.039 ± 0.046</v>
      </c>
      <c r="P5" s="3" t="str">
        <f>TEXT(AVERAGE(INDEX(G:G,(ROW(C2)-1)*4+4):INDEX(G:G,(ROW(C2)-1)*4+7)),"0.000") &amp; " ± " &amp; TEXT(_xlfn.STDEV.S(INDEX(G:G,(ROW(C2)-1)*4+4):INDEX(G:G,(ROW(C2)-1)*4+7)),"0.000")</f>
        <v>0.138 ± 0.108</v>
      </c>
    </row>
    <row r="6" spans="1:16" x14ac:dyDescent="0.25">
      <c r="A6" s="105"/>
      <c r="B6" s="105"/>
      <c r="C6" s="105"/>
      <c r="D6">
        <v>3</v>
      </c>
      <c r="E6">
        <f>'Table for t-test'!R6</f>
        <v>-4.3014377355576006E-2</v>
      </c>
      <c r="F6">
        <f>'Table for t-test'!S6</f>
        <v>2.4238467216492032E-2</v>
      </c>
      <c r="G6" s="3">
        <f>'Table for t-test'!T6</f>
        <v>7.0131599903107023E-2</v>
      </c>
      <c r="K6" s="153"/>
      <c r="L6" s="107"/>
      <c r="M6" s="8">
        <v>50</v>
      </c>
      <c r="N6" s="7" t="str">
        <f>TEXT(AVERAGE(INDEX(E:E,(ROW(A3)-1)*4+4):INDEX(E:E,(ROW(A3)-1)*4+7)),"0.000") &amp; " ± " &amp; TEXT(_xlfn.STDEV.S(INDEX(E:E,(ROW(A3)-1)*4+4):INDEX(E:E,(ROW(A3)-1)*4+7)),"0.000")</f>
        <v>0.059 ± 0.048</v>
      </c>
      <c r="O6" s="7" t="str">
        <f>TEXT(AVERAGE(INDEX(F:F,(ROW(B3)-1)*4+4):INDEX(F:F,(ROW(B3)-1)*4+7)),"0.000") &amp; " ± " &amp; TEXT(_xlfn.STDEV.S(INDEX(F:F,(ROW(B3)-1)*4+4):INDEX(F:F,(ROW(B3)-1)*4+7)),"0.000")</f>
        <v>0.002 ± 0.024</v>
      </c>
      <c r="P6" s="8" t="str">
        <f>TEXT(AVERAGE(INDEX(G:G,(ROW(C3)-1)*4+4):INDEX(G:G,(ROW(C3)-1)*4+7)),"0.000") &amp; " ± " &amp; TEXT(_xlfn.STDEV.S(INDEX(G:G,(ROW(C3)-1)*4+4):INDEX(G:G,(ROW(C3)-1)*4+7)),"0.000")</f>
        <v>0.091 ± 0.034</v>
      </c>
    </row>
    <row r="7" spans="1:16" x14ac:dyDescent="0.25">
      <c r="A7" s="105"/>
      <c r="B7" s="105"/>
      <c r="C7" s="105"/>
      <c r="D7">
        <v>4</v>
      </c>
      <c r="E7">
        <f>'Table for t-test'!R7</f>
        <v>7.6868325471877996E-2</v>
      </c>
      <c r="F7">
        <f>'Table for t-test'!S7</f>
        <v>2.431946992874201E-2</v>
      </c>
      <c r="G7" s="3">
        <f>'Table for t-test'!T7</f>
        <v>0.19758820533752403</v>
      </c>
      <c r="K7" s="152" t="s">
        <v>20</v>
      </c>
      <c r="L7" s="105" t="s">
        <v>101</v>
      </c>
      <c r="M7" s="3">
        <v>18</v>
      </c>
      <c r="N7" t="str">
        <f>TEXT(AVERAGE(INDEX(E:E,(ROW(A4)-1)*4+4):INDEX(E:E,(ROW(A4)-1)*4+7)),"0.000") &amp; " ± " &amp; TEXT(_xlfn.STDEV.S(INDEX(E:E,(ROW(A4)-1)*4+4):INDEX(E:E,(ROW(A4)-1)*4+7)),"0.000")</f>
        <v>0.114 ± 0.063</v>
      </c>
      <c r="O7" t="str">
        <f>TEXT(AVERAGE(INDEX(F:F,(ROW(B4)-1)*4+4):INDEX(F:F,(ROW(B4)-1)*4+7)),"0.000") &amp; " ± " &amp; TEXT(_xlfn.STDEV.S(INDEX(F:F,(ROW(B4)-1)*4+4):INDEX(F:F,(ROW(B4)-1)*4+7)),"0.000")</f>
        <v>0.033 ± 0.023</v>
      </c>
      <c r="P7" s="3" t="str">
        <f>TEXT(AVERAGE(INDEX(G:G,(ROW(C4)-1)*4+4):INDEX(G:G,(ROW(C4)-1)*4+7)),"0.000") &amp; " ± " &amp; TEXT(_xlfn.STDEV.S(INDEX(G:G,(ROW(C4)-1)*4+4):INDEX(G:G,(ROW(C4)-1)*4+7)),"0.000")</f>
        <v>0.131 ± 0.082</v>
      </c>
    </row>
    <row r="8" spans="1:16" x14ac:dyDescent="0.25">
      <c r="A8" s="105"/>
      <c r="B8" s="105"/>
      <c r="C8" s="105">
        <v>34</v>
      </c>
      <c r="D8">
        <v>1</v>
      </c>
      <c r="E8">
        <f>'Table for t-test'!R8</f>
        <v>4.778155684471197E-2</v>
      </c>
      <c r="F8">
        <f>'Table for t-test'!S8</f>
        <v>-8.1306695938110352E-3</v>
      </c>
      <c r="G8" s="3">
        <f>'Table for t-test'!T8</f>
        <v>5.7265937328338956E-2</v>
      </c>
      <c r="K8" s="152"/>
      <c r="L8" s="105"/>
      <c r="M8" s="3">
        <v>34</v>
      </c>
      <c r="N8" t="str">
        <f>TEXT(AVERAGE(INDEX(E:E,(ROW(A5)-1)*4+4):INDEX(E:E,(ROW(A5)-1)*4+7)),"0.000") &amp; " ± " &amp; TEXT(_xlfn.STDEV.S(INDEX(E:E,(ROW(A5)-1)*4+4):INDEX(E:E,(ROW(A5)-1)*4+7)),"0.000")</f>
        <v>0.062 ± 0.117</v>
      </c>
      <c r="O8" t="str">
        <f>TEXT(AVERAGE(INDEX(F:F,(ROW(B5)-1)*4+4):INDEX(F:F,(ROW(B5)-1)*4+7)),"0.000") &amp; " ± " &amp; TEXT(_xlfn.STDEV.S(INDEX(F:F,(ROW(B5)-1)*4+4):INDEX(F:F,(ROW(B5)-1)*4+7)),"0.000")</f>
        <v>0.017 ± 0.038</v>
      </c>
      <c r="P8" s="3" t="str">
        <f>TEXT(AVERAGE(INDEX(G:G,(ROW(C5)-1)*4+4):INDEX(G:G,(ROW(C5)-1)*4+7)),"0.000") &amp; " ± " &amp; TEXT(_xlfn.STDEV.S(INDEX(G:G,(ROW(C5)-1)*4+4):INDEX(G:G,(ROW(C5)-1)*4+7)),"0.000")</f>
        <v>0.096 ± 0.111</v>
      </c>
    </row>
    <row r="9" spans="1:16" x14ac:dyDescent="0.25">
      <c r="A9" s="105"/>
      <c r="B9" s="105"/>
      <c r="C9" s="105"/>
      <c r="D9">
        <v>2</v>
      </c>
      <c r="E9">
        <f>'Table for t-test'!R9</f>
        <v>0.22544819116592402</v>
      </c>
      <c r="F9">
        <f>'Table for t-test'!S9</f>
        <v>0.10219830274581898</v>
      </c>
      <c r="G9" s="3">
        <f>'Table for t-test'!T9</f>
        <v>0.24679625034332198</v>
      </c>
      <c r="K9" s="152"/>
      <c r="L9" s="105"/>
      <c r="M9" s="3">
        <v>50</v>
      </c>
      <c r="N9" t="str">
        <f>TEXT(AVERAGE(INDEX(E:E,(ROW(A6)-1)*4+4):INDEX(E:E,(ROW(A6)-1)*4+7)),"0.000") &amp; " ± " &amp; TEXT(_xlfn.STDEV.S(INDEX(E:E,(ROW(A6)-1)*4+4):INDEX(E:E,(ROW(A6)-1)*4+7)),"0.000")</f>
        <v>0.131 ± 0.061</v>
      </c>
      <c r="O9" t="str">
        <f>TEXT(AVERAGE(INDEX(F:F,(ROW(B6)-1)*4+4):INDEX(F:F,(ROW(B6)-1)*4+7)),"0.000") &amp; " ± " &amp; TEXT(_xlfn.STDEV.S(INDEX(F:F,(ROW(B6)-1)*4+4):INDEX(F:F,(ROW(B6)-1)*4+7)),"0.000")</f>
        <v>0.041 ± 0.035</v>
      </c>
      <c r="P9" s="3" t="str">
        <f>TEXT(AVERAGE(INDEX(G:G,(ROW(C6)-1)*4+4):INDEX(G:G,(ROW(C6)-1)*4+7)),"0.000") &amp; " ± " &amp; TEXT(_xlfn.STDEV.S(INDEX(G:G,(ROW(C6)-1)*4+4):INDEX(G:G,(ROW(C6)-1)*4+7)),"0.000")</f>
        <v>0.141 ± 0.097</v>
      </c>
    </row>
    <row r="10" spans="1:16" x14ac:dyDescent="0.25">
      <c r="A10" s="105"/>
      <c r="B10" s="105"/>
      <c r="C10" s="105"/>
      <c r="D10">
        <v>3</v>
      </c>
      <c r="E10">
        <f>'Table for t-test'!R10</f>
        <v>6.3144713640213013E-2</v>
      </c>
      <c r="F10">
        <f>'Table for t-test'!S10</f>
        <v>3.072589635848999E-2</v>
      </c>
      <c r="G10" s="3">
        <f>'Table for t-test'!T10</f>
        <v>3.4931093454361017E-2</v>
      </c>
      <c r="K10" s="151" t="s">
        <v>19</v>
      </c>
      <c r="L10" s="103" t="s">
        <v>102</v>
      </c>
      <c r="M10" s="10">
        <v>18</v>
      </c>
      <c r="N10" s="9" t="str">
        <f>TEXT(AVERAGE(INDEX(E:E,(ROW(A7)-1)*4+4):INDEX(E:E,(ROW(A7)-1)*4+7)),"0.000") &amp; " ± " &amp; TEXT(_xlfn.STDEV.S(INDEX(E:E,(ROW(A7)-1)*4+4):INDEX(E:E,(ROW(A7)-1)*4+7)),"0.000")</f>
        <v>0.042 ± 0.030</v>
      </c>
      <c r="O10" s="9" t="str">
        <f>TEXT(AVERAGE(INDEX(F:F,(ROW(B7)-1)*4+4):INDEX(F:F,(ROW(B7)-1)*4+7)),"0.000") &amp; " ± " &amp; TEXT(_xlfn.STDEV.S(INDEX(F:F,(ROW(B7)-1)*4+4):INDEX(F:F,(ROW(B7)-1)*4+7)),"0.000")</f>
        <v>0.028 ± 0.026</v>
      </c>
      <c r="P10" s="10" t="str">
        <f>TEXT(AVERAGE(INDEX(G:G,(ROW(C7)-1)*4+4):INDEX(G:G,(ROW(C7)-1)*4+7)),"0.000") &amp; " ± " &amp; TEXT(_xlfn.STDEV.S(INDEX(G:G,(ROW(C7)-1)*4+4):INDEX(G:G,(ROW(C7)-1)*4+7)),"0.000")</f>
        <v>0.055 ± 0.072</v>
      </c>
    </row>
    <row r="11" spans="1:16" x14ac:dyDescent="0.25">
      <c r="A11" s="105"/>
      <c r="B11" s="105"/>
      <c r="C11" s="105"/>
      <c r="D11">
        <v>4</v>
      </c>
      <c r="E11">
        <f>'Table for t-test'!R11</f>
        <v>0.27596639096736897</v>
      </c>
      <c r="F11">
        <f>'Table for t-test'!S11</f>
        <v>3.3095538616180087E-2</v>
      </c>
      <c r="G11" s="3">
        <f>'Table for t-test'!T11</f>
        <v>0.21413826942443803</v>
      </c>
      <c r="K11" s="152"/>
      <c r="L11" s="105"/>
      <c r="M11" s="3">
        <v>34</v>
      </c>
      <c r="N11" t="str">
        <f>TEXT(AVERAGE(INDEX(E:E,(ROW(A8)-1)*4+4):INDEX(E:E,(ROW(A8)-1)*4+7)),"0.000") &amp; " ± " &amp; TEXT(_xlfn.STDEV.S(INDEX(E:E,(ROW(A8)-1)*4+4):INDEX(E:E,(ROW(A8)-1)*4+7)),"0.000")</f>
        <v>0.072 ± 0.059</v>
      </c>
      <c r="O11" t="str">
        <f>TEXT(AVERAGE(INDEX(F:F,(ROW(B8)-1)*4+4):INDEX(F:F,(ROW(B8)-1)*4+7)),"0.000") &amp; " ± " &amp; TEXT(_xlfn.STDEV.S(INDEX(F:F,(ROW(B8)-1)*4+4):INDEX(F:F,(ROW(B8)-1)*4+7)),"0.000")</f>
        <v>0.030 ± 0.024</v>
      </c>
      <c r="P11" s="3" t="str">
        <f>TEXT(AVERAGE(INDEX(G:G,(ROW(C8)-1)*4+4):INDEX(G:G,(ROW(C8)-1)*4+7)),"0.000") &amp; " ± " &amp; TEXT(_xlfn.STDEV.S(INDEX(G:G,(ROW(C8)-1)*4+4):INDEX(G:G,(ROW(C8)-1)*4+7)),"0.000")</f>
        <v>0.096 ± 0.064</v>
      </c>
    </row>
    <row r="12" spans="1:16" x14ac:dyDescent="0.25">
      <c r="A12" s="105"/>
      <c r="B12" s="105"/>
      <c r="C12" s="105">
        <v>50</v>
      </c>
      <c r="D12">
        <v>1</v>
      </c>
      <c r="E12">
        <f>'Table for t-test'!R12</f>
        <v>2.979373931884699E-2</v>
      </c>
      <c r="F12">
        <f>'Table for t-test'!S12</f>
        <v>-1.8278181552886963E-2</v>
      </c>
      <c r="G12" s="3">
        <f>'Table for t-test'!T12</f>
        <v>5.296528339386003E-2</v>
      </c>
      <c r="K12" s="153"/>
      <c r="L12" s="107"/>
      <c r="M12" s="8">
        <v>50</v>
      </c>
      <c r="N12" s="7" t="str">
        <f>TEXT(AVERAGE(INDEX(E:E,(ROW(A9)-1)*4+4):INDEX(E:E,(ROW(A9)-1)*4+7)),"0.000") &amp; " ± " &amp; TEXT(_xlfn.STDEV.S(INDEX(E:E,(ROW(A9)-1)*4+4):INDEX(E:E,(ROW(A9)-1)*4+7)),"0.000")</f>
        <v>0.046 ± 0.055</v>
      </c>
      <c r="O12" s="7" t="str">
        <f>TEXT(AVERAGE(INDEX(F:F,(ROW(B9)-1)*4+4):INDEX(F:F,(ROW(B9)-1)*4+7)),"0.000") &amp; " ± " &amp; TEXT(_xlfn.STDEV.S(INDEX(F:F,(ROW(B9)-1)*4+4):INDEX(F:F,(ROW(B9)-1)*4+7)),"0.000")</f>
        <v>0.022 ± 0.041</v>
      </c>
      <c r="P12" s="8" t="str">
        <f>TEXT(AVERAGE(INDEX(G:G,(ROW(C9)-1)*4+4):INDEX(G:G,(ROW(C9)-1)*4+7)),"0.000") &amp; " ± " &amp; TEXT(_xlfn.STDEV.S(INDEX(G:G,(ROW(C9)-1)*4+4):INDEX(G:G,(ROW(C9)-1)*4+7)),"0.000")</f>
        <v>0.110 ± 0.059</v>
      </c>
    </row>
    <row r="13" spans="1:16" x14ac:dyDescent="0.25">
      <c r="A13" s="105"/>
      <c r="B13" s="105"/>
      <c r="C13" s="105"/>
      <c r="D13">
        <v>2</v>
      </c>
      <c r="E13">
        <f>'Table for t-test'!R13</f>
        <v>0.10101008415222196</v>
      </c>
      <c r="F13">
        <f>'Table for t-test'!S13</f>
        <v>2.8890192508697066E-2</v>
      </c>
      <c r="G13" s="3">
        <f>'Table for t-test'!T13</f>
        <v>0.12279897928237898</v>
      </c>
      <c r="K13" s="152" t="s">
        <v>19</v>
      </c>
      <c r="L13" s="105" t="s">
        <v>103</v>
      </c>
      <c r="M13" s="3">
        <v>18</v>
      </c>
      <c r="N13" t="str">
        <f>TEXT(AVERAGE(INDEX(E:E,(ROW(A10)-1)*4+4):INDEX(E:E,(ROW(A10)-1)*4+7)),"0.000") &amp; " ± " &amp; TEXT(_xlfn.STDEV.S(INDEX(E:E,(ROW(A10)-1)*4+4):INDEX(E:E,(ROW(A10)-1)*4+7)),"0.000")</f>
        <v>0.058 ± 0.027</v>
      </c>
      <c r="O13" t="str">
        <f>TEXT(AVERAGE(INDEX(F:F,(ROW(B10)-1)*4+4):INDEX(F:F,(ROW(B10)-1)*4+7)),"0.000") &amp; " ± " &amp; TEXT(_xlfn.STDEV.S(INDEX(F:F,(ROW(B10)-1)*4+4):INDEX(F:F,(ROW(B10)-1)*4+7)),"0.000")</f>
        <v>0.023 ± 0.020</v>
      </c>
      <c r="P13" s="3" t="str">
        <f>TEXT(AVERAGE(INDEX(G:G,(ROW(C10)-1)*4+4):INDEX(G:G,(ROW(C10)-1)*4+7)),"0.000") &amp; " ± " &amp; TEXT(_xlfn.STDEV.S(INDEX(G:G,(ROW(C10)-1)*4+4):INDEX(G:G,(ROW(C10)-1)*4+7)),"0.000")</f>
        <v>0.076 ± 0.037</v>
      </c>
    </row>
    <row r="14" spans="1:16" x14ac:dyDescent="0.25">
      <c r="A14" s="105"/>
      <c r="B14" s="105"/>
      <c r="C14" s="105"/>
      <c r="D14">
        <v>3</v>
      </c>
      <c r="E14">
        <f>'Table for t-test'!R14</f>
        <v>9.8149538040160966E-2</v>
      </c>
      <c r="F14">
        <f>'Table for t-test'!S14</f>
        <v>-1.9055306911468062E-2</v>
      </c>
      <c r="G14" s="3">
        <f>'Table for t-test'!T14</f>
        <v>7.1432411670684981E-2</v>
      </c>
      <c r="K14" s="152"/>
      <c r="L14" s="105"/>
      <c r="M14" s="3">
        <v>34</v>
      </c>
      <c r="N14" t="str">
        <f>TEXT(AVERAGE(INDEX(E:E,(ROW(A11)-1)*4+4):INDEX(E:E,(ROW(A11)-1)*4+7)),"0.000") &amp; " ± " &amp; TEXT(_xlfn.STDEV.S(INDEX(E:E,(ROW(A11)-1)*4+4):INDEX(E:E,(ROW(A11)-1)*4+7)),"0.000")</f>
        <v>0.078 ± 0.040</v>
      </c>
      <c r="O14" t="str">
        <f>TEXT(AVERAGE(INDEX(F:F,(ROW(B11)-1)*4+4):INDEX(F:F,(ROW(B11)-1)*4+7)),"0.000") &amp; " ± " &amp; TEXT(_xlfn.STDEV.S(INDEX(F:F,(ROW(B11)-1)*4+4):INDEX(F:F,(ROW(B11)-1)*4+7)),"0.000")</f>
        <v>0.031 ± 0.020</v>
      </c>
      <c r="P14" s="3" t="str">
        <f>TEXT(AVERAGE(INDEX(G:G,(ROW(C11)-1)*4+4):INDEX(G:G,(ROW(C11)-1)*4+7)),"0.000") &amp; " ± " &amp; TEXT(_xlfn.STDEV.S(INDEX(G:G,(ROW(C11)-1)*4+4):INDEX(G:G,(ROW(C11)-1)*4+7)),"0.000")</f>
        <v>0.090 ± 0.056</v>
      </c>
    </row>
    <row r="15" spans="1:16" x14ac:dyDescent="0.25">
      <c r="A15" s="107"/>
      <c r="B15" s="107"/>
      <c r="C15" s="107"/>
      <c r="D15" s="7">
        <v>4</v>
      </c>
      <c r="E15" s="7">
        <f>'Table for t-test'!R15</f>
        <v>7.0115327835090224E-3</v>
      </c>
      <c r="F15" s="7">
        <f>'Table for t-test'!S15</f>
        <v>1.6818046569823997E-2</v>
      </c>
      <c r="G15" s="8">
        <f>'Table for t-test'!T15</f>
        <v>0.11711776256561302</v>
      </c>
      <c r="K15" s="152"/>
      <c r="L15" s="105"/>
      <c r="M15" s="3">
        <v>50</v>
      </c>
      <c r="N15" t="str">
        <f>TEXT(AVERAGE(INDEX(E:E,(ROW(A12)-1)*4+4):INDEX(E:E,(ROW(A12)-1)*4+7)),"0.000") &amp; " ± " &amp; TEXT(_xlfn.STDEV.S(INDEX(E:E,(ROW(A12)-1)*4+4):INDEX(E:E,(ROW(A12)-1)*4+7)),"0.000")</f>
        <v>0.043 ± 0.043</v>
      </c>
      <c r="O15" t="str">
        <f>TEXT(AVERAGE(INDEX(F:F,(ROW(B12)-1)*4+4):INDEX(F:F,(ROW(B12)-1)*4+7)),"0.000") &amp; " ± " &amp; TEXT(_xlfn.STDEV.S(INDEX(F:F,(ROW(B12)-1)*4+4):INDEX(F:F,(ROW(B12)-1)*4+7)),"0.000")</f>
        <v>0.019 ± 0.020</v>
      </c>
      <c r="P15" s="3" t="str">
        <f>TEXT(AVERAGE(INDEX(G:G,(ROW(C12)-1)*4+4):INDEX(G:G,(ROW(C12)-1)*4+7)),"0.000") &amp; " ± " &amp; TEXT(_xlfn.STDEV.S(INDEX(G:G,(ROW(C12)-1)*4+4):INDEX(G:G,(ROW(C12)-1)*4+7)),"0.000")</f>
        <v>0.105 ± 0.049</v>
      </c>
    </row>
    <row r="16" spans="1:16" x14ac:dyDescent="0.25">
      <c r="A16" s="105" t="s">
        <v>20</v>
      </c>
      <c r="B16" s="105" t="s">
        <v>18</v>
      </c>
      <c r="C16" s="105">
        <v>18</v>
      </c>
      <c r="D16">
        <v>1</v>
      </c>
      <c r="E16">
        <f>'Table for t-test'!U4</f>
        <v>4.5910626649857011E-2</v>
      </c>
      <c r="F16">
        <f>'Table for t-test'!V4</f>
        <v>1.1311531066895086E-2</v>
      </c>
      <c r="G16" s="3">
        <f>'Table for t-test'!W4</f>
        <v>1.9760727882385976E-2</v>
      </c>
      <c r="K16" s="151" t="s">
        <v>24</v>
      </c>
      <c r="L16" s="103" t="s">
        <v>104</v>
      </c>
      <c r="M16" s="10">
        <v>18</v>
      </c>
      <c r="N16" s="9" t="str">
        <f>TEXT(AVERAGE(INDEX(E:E,(ROW(A13)-1)*4+4):INDEX(E:E,(ROW(A13)-1)*4+7)),"0.000") &amp; " ± " &amp; TEXT(_xlfn.STDEV.S(INDEX(E:E,(ROW(A13)-1)*4+4):INDEX(E:E,(ROW(A13)-1)*4+7)),"0.000")</f>
        <v>0.057 ± 0.028</v>
      </c>
      <c r="O16" s="9" t="str">
        <f>TEXT(AVERAGE(INDEX(F:F,(ROW(B13)-1)*4+4):INDEX(F:F,(ROW(B13)-1)*4+7)),"0.000") &amp; " ± " &amp; TEXT(_xlfn.STDEV.S(INDEX(F:F,(ROW(B13)-1)*4+4):INDEX(F:F,(ROW(B13)-1)*4+7)),"0.000")</f>
        <v>0.003 ± 0.022</v>
      </c>
      <c r="P16" s="10" t="str">
        <f>TEXT(AVERAGE(INDEX(G:G,(ROW(C13)-1)*4+4):INDEX(G:G,(ROW(C13)-1)*4+7)),"0.000") &amp; " ± " &amp; TEXT(_xlfn.STDEV.S(INDEX(G:G,(ROW(C13)-1)*4+4):INDEX(G:G,(ROW(C13)-1)*4+7)),"0.000")</f>
        <v>0.078 ± 0.033</v>
      </c>
    </row>
    <row r="17" spans="1:16" x14ac:dyDescent="0.25">
      <c r="A17" s="105"/>
      <c r="B17" s="105"/>
      <c r="C17" s="105"/>
      <c r="D17">
        <v>2</v>
      </c>
      <c r="E17">
        <f>'Table for t-test'!U5</f>
        <v>0.19665342569351202</v>
      </c>
      <c r="F17">
        <f>'Table for t-test'!V5</f>
        <v>6.2459707260131947E-2</v>
      </c>
      <c r="G17" s="3">
        <f>'Table for t-test'!W5</f>
        <v>0.20852014422416698</v>
      </c>
      <c r="K17" s="152"/>
      <c r="L17" s="105"/>
      <c r="M17" s="3">
        <v>34</v>
      </c>
      <c r="N17" t="str">
        <f>TEXT(AVERAGE(INDEX(E:E,(ROW(A14)-1)*4+4):INDEX(E:E,(ROW(A14)-1)*4+7)),"0.000") &amp; " ± " &amp; TEXT(_xlfn.STDEV.S(INDEX(E:E,(ROW(A14)-1)*4+4):INDEX(E:E,(ROW(A14)-1)*4+7)),"0.000")</f>
        <v>0.049 ± 0.022</v>
      </c>
      <c r="O17" t="str">
        <f>TEXT(AVERAGE(INDEX(F:F,(ROW(B14)-1)*4+4):INDEX(F:F,(ROW(B14)-1)*4+7)),"0.000") &amp; " ± " &amp; TEXT(_xlfn.STDEV.S(INDEX(F:F,(ROW(B14)-1)*4+4):INDEX(F:F,(ROW(B14)-1)*4+7)),"0.000")</f>
        <v>0.024 ± 0.020</v>
      </c>
      <c r="P17" s="3" t="str">
        <f>TEXT(AVERAGE(INDEX(G:G,(ROW(C14)-1)*4+4):INDEX(G:G,(ROW(C14)-1)*4+7)),"0.000") &amp; " ± " &amp; TEXT(_xlfn.STDEV.S(INDEX(G:G,(ROW(C14)-1)*4+4):INDEX(G:G,(ROW(C14)-1)*4+7)),"0.000")</f>
        <v>0.072 ± 0.052</v>
      </c>
    </row>
    <row r="18" spans="1:16" x14ac:dyDescent="0.25">
      <c r="A18" s="105"/>
      <c r="B18" s="105"/>
      <c r="C18" s="105"/>
      <c r="D18">
        <v>3</v>
      </c>
      <c r="E18">
        <f>'Table for t-test'!U6</f>
        <v>0.11808368563652</v>
      </c>
      <c r="F18">
        <f>'Table for t-test'!V6</f>
        <v>3.9416730403900035E-2</v>
      </c>
      <c r="G18" s="3">
        <f>'Table for t-test'!W6</f>
        <v>0.125104129314423</v>
      </c>
      <c r="K18" s="153"/>
      <c r="L18" s="107"/>
      <c r="M18" s="8">
        <v>50</v>
      </c>
      <c r="N18" s="7" t="str">
        <f>TEXT(AVERAGE(INDEX(E:E,(ROW(A15)-1)*4+4):INDEX(E:E,(ROW(A15)-1)*4+7)),"0.000") &amp; " ± " &amp; TEXT(_xlfn.STDEV.S(INDEX(E:E,(ROW(A15)-1)*4+4):INDEX(E:E,(ROW(A15)-1)*4+7)),"0.000")</f>
        <v>0.025 ± 0.049</v>
      </c>
      <c r="O18" s="7" t="str">
        <f>TEXT(AVERAGE(INDEX(F:F,(ROW(B15)-1)*4+4):INDEX(F:F,(ROW(B15)-1)*4+7)),"0.000") &amp; " ± " &amp; TEXT(_xlfn.STDEV.S(INDEX(F:F,(ROW(B15)-1)*4+4):INDEX(F:F,(ROW(B15)-1)*4+7)),"0.000")</f>
        <v>0.016 ± 0.023</v>
      </c>
      <c r="P18" s="8" t="str">
        <f>TEXT(AVERAGE(INDEX(G:G,(ROW(C15)-1)*4+4):INDEX(G:G,(ROW(C15)-1)*4+7)),"0.000") &amp; " ± " &amp; TEXT(_xlfn.STDEV.S(INDEX(G:G,(ROW(C15)-1)*4+4):INDEX(G:G,(ROW(C15)-1)*4+7)),"0.000")</f>
        <v>0.027 ± 0.104</v>
      </c>
    </row>
    <row r="19" spans="1:16" x14ac:dyDescent="0.25">
      <c r="A19" s="105"/>
      <c r="B19" s="105"/>
      <c r="C19" s="105"/>
      <c r="D19">
        <v>4</v>
      </c>
      <c r="E19">
        <f>'Table for t-test'!U7</f>
        <v>9.6001327037811002E-2</v>
      </c>
      <c r="F19">
        <f>'Table for t-test'!V7</f>
        <v>2.0209133625030962E-2</v>
      </c>
      <c r="G19" s="3">
        <f>'Table for t-test'!W7</f>
        <v>0.17051231861114496</v>
      </c>
      <c r="K19" s="33" t="s">
        <v>19</v>
      </c>
      <c r="L19" s="105" t="s">
        <v>25</v>
      </c>
      <c r="M19" s="106"/>
      <c r="N19" t="str">
        <f>TEXT(AVERAGE(INDEX(E:E,(ROW(A16)-1)*4+4):INDEX(E:E,(ROW(A16)-1)*4+7)),"0.000") &amp; " ± " &amp; TEXT(_xlfn.STDEV.S(INDEX(E:E,(ROW(A16)-1)*4+4):INDEX(E:E,(ROW(A16)-1)*4+7)),"0.000")</f>
        <v>0.000 ± 0.000</v>
      </c>
      <c r="O19" t="str">
        <f>TEXT(AVERAGE(INDEX(F:F,(ROW(B16)-1)*4+4):INDEX(F:F,(ROW(B16)-1)*4+7)),"0.000") &amp; " ± " &amp; TEXT(_xlfn.STDEV.S(INDEX(F:F,(ROW(B16)-1)*4+4):INDEX(F:F,(ROW(B16)-1)*4+7)),"0.000")</f>
        <v>0.031 ± 0.029</v>
      </c>
      <c r="P19" s="3" t="str">
        <f>TEXT(AVERAGE(INDEX(G:G,(ROW(C16)-1)*4+4):INDEX(G:G,(ROW(C16)-1)*4+7)),"0.000") &amp; " ± " &amp; TEXT(_xlfn.STDEV.S(INDEX(G:G,(ROW(C16)-1)*4+4):INDEX(G:G,(ROW(C16)-1)*4+7)),"0.000")</f>
        <v>0.041 ± 0.035</v>
      </c>
    </row>
    <row r="20" spans="1:16" x14ac:dyDescent="0.25">
      <c r="A20" s="105"/>
      <c r="B20" s="105"/>
      <c r="C20" s="105">
        <v>34</v>
      </c>
      <c r="D20">
        <v>1</v>
      </c>
      <c r="E20">
        <f>'Table for t-test'!U8</f>
        <v>-2.6386380195618009E-2</v>
      </c>
      <c r="F20">
        <f>'Table for t-test'!V8</f>
        <v>1.1174619197845015E-2</v>
      </c>
      <c r="G20" s="3">
        <f>'Table for t-test'!W8</f>
        <v>3.8190096616744995E-2</v>
      </c>
      <c r="K20" s="33" t="s">
        <v>19</v>
      </c>
      <c r="L20" s="105" t="s">
        <v>26</v>
      </c>
      <c r="M20" s="106"/>
      <c r="N20" t="str">
        <f>TEXT(AVERAGE(INDEX(E:E,(ROW(A17)-1)*4+4):INDEX(E:E,(ROW(A17)-1)*4+7)),"0.000") &amp; " ± " &amp; TEXT(_xlfn.STDEV.S(INDEX(E:E,(ROW(A17)-1)*4+4):INDEX(E:E,(ROW(A17)-1)*4+7)),"0.000")</f>
        <v>0.000 ± 0.000</v>
      </c>
      <c r="O20" t="str">
        <f>TEXT(AVERAGE(INDEX(F:F,(ROW(B17)-1)*4+4):INDEX(F:F,(ROW(B17)-1)*4+7)),"0.000") &amp; " ± " &amp; TEXT(_xlfn.STDEV.S(INDEX(F:F,(ROW(B17)-1)*4+4):INDEX(F:F,(ROW(B17)-1)*4+7)),"0.000")</f>
        <v>0.040 ± 0.011</v>
      </c>
      <c r="P20" s="3" t="str">
        <f>TEXT(AVERAGE(INDEX(G:G,(ROW(C17)-1)*4+4):INDEX(G:G,(ROW(C17)-1)*4+7)),"0.000") &amp; " ± " &amp; TEXT(_xlfn.STDEV.S(INDEX(G:G,(ROW(C17)-1)*4+4):INDEX(G:G,(ROW(C17)-1)*4+7)),"0.000")</f>
        <v>0.055 ± 0.032</v>
      </c>
    </row>
    <row r="21" spans="1:16" x14ac:dyDescent="0.25">
      <c r="A21" s="105"/>
      <c r="B21" s="105"/>
      <c r="C21" s="105"/>
      <c r="D21">
        <v>2</v>
      </c>
      <c r="E21">
        <f>'Table for t-test'!U9</f>
        <v>0.11677283048629702</v>
      </c>
      <c r="F21">
        <f>'Table for t-test'!V9</f>
        <v>6.9335579872131015E-2</v>
      </c>
      <c r="G21" s="3">
        <f>'Table for t-test'!W9</f>
        <v>0.21697327494621299</v>
      </c>
      <c r="K21" s="34" t="s">
        <v>24</v>
      </c>
      <c r="L21" s="107" t="s">
        <v>27</v>
      </c>
      <c r="M21" s="108"/>
      <c r="N21" s="7" t="str">
        <f>TEXT(AVERAGE(INDEX(E:E,(ROW(A18)-1)*4+4):INDEX(E:E,(ROW(A18)-1)*4+7)),"0.000") &amp; " ± " &amp; TEXT(_xlfn.STDEV.S(INDEX(E:E,(ROW(A18)-1)*4+4):INDEX(E:E,(ROW(A18)-1)*4+7)),"0.000")</f>
        <v>0.028 ± 0.078</v>
      </c>
      <c r="O21" s="7" t="str">
        <f>TEXT(AVERAGE(INDEX(F:F,(ROW(B18)-1)*4+4):INDEX(F:F,(ROW(B18)-1)*4+7)),"0.000") &amp; " ± " &amp; TEXT(_xlfn.STDEV.S(INDEX(F:F,(ROW(B18)-1)*4+4):INDEX(F:F,(ROW(B18)-1)*4+7)),"0.000")</f>
        <v>0.032 ± 0.040</v>
      </c>
      <c r="P21" s="8" t="str">
        <f>TEXT(AVERAGE(INDEX(G:G,(ROW(C18)-1)*4+4):INDEX(G:G,(ROW(C18)-1)*4+7)),"0.000") &amp; " ± " &amp; TEXT(_xlfn.STDEV.S(INDEX(G:G,(ROW(C18)-1)*4+4):INDEX(G:G,(ROW(C18)-1)*4+7)),"0.000")</f>
        <v>0.073 ± 0.063</v>
      </c>
    </row>
    <row r="22" spans="1:16" x14ac:dyDescent="0.25">
      <c r="A22" s="105"/>
      <c r="B22" s="105"/>
      <c r="C22" s="105"/>
      <c r="D22">
        <v>3</v>
      </c>
      <c r="E22">
        <f>'Table for t-test'!U10</f>
        <v>-4.1838705539702981E-2</v>
      </c>
      <c r="F22">
        <f>'Table for t-test'!V10</f>
        <v>-2.116155624389604E-2</v>
      </c>
      <c r="G22" s="3">
        <f>'Table for t-test'!W10</f>
        <v>-2.8676211833954024E-2</v>
      </c>
    </row>
    <row r="23" spans="1:16" x14ac:dyDescent="0.25">
      <c r="A23" s="105"/>
      <c r="B23" s="105"/>
      <c r="C23" s="105"/>
      <c r="D23">
        <v>4</v>
      </c>
      <c r="E23">
        <f>'Table for t-test'!U11</f>
        <v>0.20033635199069899</v>
      </c>
      <c r="F23">
        <f>'Table for t-test'!V11</f>
        <v>8.0013871192929908E-3</v>
      </c>
      <c r="G23" s="3">
        <f>'Table for t-test'!W11</f>
        <v>0.15607485175132702</v>
      </c>
    </row>
    <row r="24" spans="1:16" x14ac:dyDescent="0.25">
      <c r="A24" s="105"/>
      <c r="B24" s="105"/>
      <c r="C24" s="105">
        <v>50</v>
      </c>
      <c r="D24">
        <v>1</v>
      </c>
      <c r="E24">
        <f>'Table for t-test'!U12</f>
        <v>5.7898819446562999E-2</v>
      </c>
      <c r="F24">
        <f>'Table for t-test'!V12</f>
        <v>-5.7520270347599656E-3</v>
      </c>
      <c r="G24" s="3">
        <f>'Table for t-test'!W12</f>
        <v>1.8688648939132968E-2</v>
      </c>
    </row>
    <row r="25" spans="1:16" x14ac:dyDescent="0.25">
      <c r="A25" s="105"/>
      <c r="B25" s="105"/>
      <c r="C25" s="105"/>
      <c r="D25">
        <v>2</v>
      </c>
      <c r="E25">
        <f>'Table for t-test'!U13</f>
        <v>0.14295740425586703</v>
      </c>
      <c r="F25">
        <f>'Table for t-test'!V13</f>
        <v>3.7697494029999001E-2</v>
      </c>
      <c r="G25" s="3">
        <f>'Table for t-test'!W13</f>
        <v>0.18081095814704901</v>
      </c>
    </row>
    <row r="26" spans="1:16" x14ac:dyDescent="0.25">
      <c r="A26" s="105"/>
      <c r="B26" s="105"/>
      <c r="C26" s="105"/>
      <c r="D26">
        <v>3</v>
      </c>
      <c r="E26">
        <f>'Table for t-test'!U14</f>
        <v>0.11688527464866599</v>
      </c>
      <c r="F26">
        <f>'Table for t-test'!V14</f>
        <v>5.4048299789429044E-2</v>
      </c>
      <c r="G26" s="3">
        <f>'Table for t-test'!W14</f>
        <v>0.11831025779247301</v>
      </c>
    </row>
    <row r="27" spans="1:16" x14ac:dyDescent="0.25">
      <c r="A27" s="107"/>
      <c r="B27" s="107"/>
      <c r="C27" s="107"/>
      <c r="D27" s="7">
        <v>4</v>
      </c>
      <c r="E27" s="7">
        <f>'Table for t-test'!U15</f>
        <v>0.20470085740089394</v>
      </c>
      <c r="F27" s="7">
        <f>'Table for t-test'!V15</f>
        <v>7.6187193393707053E-2</v>
      </c>
      <c r="G27" s="8">
        <f>'Table for t-test'!W15</f>
        <v>0.24728012084960899</v>
      </c>
    </row>
    <row r="28" spans="1:16" x14ac:dyDescent="0.25">
      <c r="A28" s="105" t="s">
        <v>19</v>
      </c>
      <c r="B28" s="105" t="s">
        <v>22</v>
      </c>
      <c r="C28" s="105">
        <v>18</v>
      </c>
      <c r="D28">
        <v>1</v>
      </c>
      <c r="E28">
        <f>'Table for t-test'!R16</f>
        <v>6.3560903072359953E-3</v>
      </c>
      <c r="F28">
        <f>'Table for t-test'!S16</f>
        <v>-6.3203573226930931E-3</v>
      </c>
      <c r="G28" s="3">
        <f>'Table for t-test'!T16</f>
        <v>-1.3499408960342019E-2</v>
      </c>
    </row>
    <row r="29" spans="1:16" x14ac:dyDescent="0.25">
      <c r="A29" s="105"/>
      <c r="B29" s="105"/>
      <c r="C29" s="105"/>
      <c r="D29">
        <v>2</v>
      </c>
      <c r="E29">
        <f>'Table for t-test'!R17</f>
        <v>4.1221439838409035E-2</v>
      </c>
      <c r="F29">
        <f>'Table for t-test'!S17</f>
        <v>4.4929742813110018E-2</v>
      </c>
      <c r="G29" s="3">
        <f>'Table for t-test'!T17</f>
        <v>7.7693492174149004E-2</v>
      </c>
    </row>
    <row r="30" spans="1:16" x14ac:dyDescent="0.25">
      <c r="A30" s="105"/>
      <c r="B30" s="105"/>
      <c r="C30" s="105"/>
      <c r="D30">
        <v>3</v>
      </c>
      <c r="E30">
        <f>'Table for t-test'!R18</f>
        <v>4.1095882654190008E-2</v>
      </c>
      <c r="F30">
        <f>'Table for t-test'!S18</f>
        <v>2.2115647792816051E-2</v>
      </c>
      <c r="G30" s="3">
        <f>'Table for t-test'!T18</f>
        <v>8.2411468029019996E-3</v>
      </c>
    </row>
    <row r="31" spans="1:16" x14ac:dyDescent="0.25">
      <c r="A31" s="105"/>
      <c r="B31" s="105"/>
      <c r="C31" s="105"/>
      <c r="D31">
        <v>4</v>
      </c>
      <c r="E31">
        <f>'Table for t-test'!R19</f>
        <v>8.0474287271500022E-2</v>
      </c>
      <c r="F31">
        <f>'Table for t-test'!S19</f>
        <v>5.1940619945526012E-2</v>
      </c>
      <c r="G31" s="3">
        <f>'Table for t-test'!T19</f>
        <v>0.14641994237899802</v>
      </c>
    </row>
    <row r="32" spans="1:16" x14ac:dyDescent="0.25">
      <c r="A32" s="105"/>
      <c r="B32" s="105"/>
      <c r="C32" s="105">
        <v>34</v>
      </c>
      <c r="D32">
        <v>1</v>
      </c>
      <c r="E32">
        <f>'Table for t-test'!R20</f>
        <v>-1.4206290245055986E-2</v>
      </c>
      <c r="F32">
        <f>'Table for t-test'!S20</f>
        <v>4.1927099227899722E-3</v>
      </c>
      <c r="G32" s="3">
        <f>'Table for t-test'!T20</f>
        <v>1.9641995429993009E-2</v>
      </c>
    </row>
    <row r="33" spans="1:7" x14ac:dyDescent="0.25">
      <c r="A33" s="105"/>
      <c r="B33" s="105"/>
      <c r="C33" s="105"/>
      <c r="D33">
        <v>2</v>
      </c>
      <c r="E33">
        <f>'Table for t-test'!R21</f>
        <v>0.12028568983077997</v>
      </c>
      <c r="F33">
        <f>'Table for t-test'!S21</f>
        <v>6.1668097972869984E-2</v>
      </c>
      <c r="G33" s="3">
        <f>'Table for t-test'!T21</f>
        <v>0.15366479754447904</v>
      </c>
    </row>
    <row r="34" spans="1:7" x14ac:dyDescent="0.25">
      <c r="A34" s="105"/>
      <c r="B34" s="105"/>
      <c r="C34" s="105"/>
      <c r="D34">
        <v>3</v>
      </c>
      <c r="E34">
        <f>'Table for t-test'!R22</f>
        <v>9.2165917158127053E-2</v>
      </c>
      <c r="F34">
        <f>'Table for t-test'!S22</f>
        <v>2.1112561225891002E-2</v>
      </c>
      <c r="G34" s="3">
        <f>'Table for t-test'!T22</f>
        <v>6.5511316061019009E-2</v>
      </c>
    </row>
    <row r="35" spans="1:7" x14ac:dyDescent="0.25">
      <c r="A35" s="105"/>
      <c r="B35" s="105"/>
      <c r="C35" s="105"/>
      <c r="D35">
        <v>4</v>
      </c>
      <c r="E35">
        <f>'Table for t-test'!R23</f>
        <v>9.1579854488373025E-2</v>
      </c>
      <c r="F35">
        <f>'Table for t-test'!S23</f>
        <v>3.2129943370818981E-2</v>
      </c>
      <c r="G35" s="3">
        <f>'Table for t-test'!T23</f>
        <v>0.14321947097778304</v>
      </c>
    </row>
    <row r="36" spans="1:7" x14ac:dyDescent="0.25">
      <c r="A36" s="105"/>
      <c r="B36" s="105"/>
      <c r="C36" s="105">
        <v>50</v>
      </c>
      <c r="D36">
        <v>1</v>
      </c>
      <c r="E36">
        <f>'Table for t-test'!R24</f>
        <v>7.7972710132599987E-3</v>
      </c>
      <c r="F36">
        <f>'Table for t-test'!S24</f>
        <v>-3.8356184959411954E-2</v>
      </c>
      <c r="G36" s="3">
        <f>'Table for t-test'!T24</f>
        <v>3.8015723228454978E-2</v>
      </c>
    </row>
    <row r="37" spans="1:7" x14ac:dyDescent="0.25">
      <c r="A37" s="105"/>
      <c r="B37" s="105"/>
      <c r="C37" s="105"/>
      <c r="D37">
        <v>2</v>
      </c>
      <c r="E37">
        <f>'Table for t-test'!R25</f>
        <v>7.7429413795469526E-3</v>
      </c>
      <c r="F37">
        <f>'Table for t-test'!S25</f>
        <v>4.5996725559235063E-2</v>
      </c>
      <c r="G37" s="3">
        <f>'Table for t-test'!T25</f>
        <v>0.10440069437027</v>
      </c>
    </row>
    <row r="38" spans="1:7" x14ac:dyDescent="0.25">
      <c r="A38" s="105"/>
      <c r="B38" s="105"/>
      <c r="C38" s="105"/>
      <c r="D38">
        <v>3</v>
      </c>
      <c r="E38">
        <f>'Table for t-test'!R26</f>
        <v>4.4650346040725986E-2</v>
      </c>
      <c r="F38">
        <f>'Table for t-test'!S26</f>
        <v>3.1033039093017911E-2</v>
      </c>
      <c r="G38" s="3">
        <f>'Table for t-test'!T26</f>
        <v>0.11429166793823298</v>
      </c>
    </row>
    <row r="39" spans="1:7" x14ac:dyDescent="0.25">
      <c r="A39" s="107"/>
      <c r="B39" s="107"/>
      <c r="C39" s="107"/>
      <c r="D39" s="7">
        <v>4</v>
      </c>
      <c r="E39" s="7">
        <f>'Table for t-test'!R27</f>
        <v>0.12505903840064997</v>
      </c>
      <c r="F39" s="7">
        <f>'Table for t-test'!S27</f>
        <v>5.0574660301209051E-2</v>
      </c>
      <c r="G39" s="8">
        <f>'Table for t-test'!T27</f>
        <v>0.18246304988861101</v>
      </c>
    </row>
    <row r="40" spans="1:7" x14ac:dyDescent="0.25">
      <c r="A40" s="105" t="s">
        <v>19</v>
      </c>
      <c r="B40" s="105" t="s">
        <v>23</v>
      </c>
      <c r="C40" s="105">
        <v>18</v>
      </c>
      <c r="D40">
        <v>1</v>
      </c>
      <c r="E40">
        <f>'Table for t-test'!R28</f>
        <v>7.1166962385177002E-2</v>
      </c>
      <c r="F40">
        <f>'Table for t-test'!S28</f>
        <v>8.571743965150036E-4</v>
      </c>
      <c r="G40" s="3">
        <f>'Table for t-test'!T28</f>
        <v>4.1745185852051003E-2</v>
      </c>
    </row>
    <row r="41" spans="1:7" x14ac:dyDescent="0.25">
      <c r="A41" s="105"/>
      <c r="B41" s="105"/>
      <c r="C41" s="105"/>
      <c r="D41">
        <v>2</v>
      </c>
      <c r="E41">
        <f>'Table for t-test'!R29</f>
        <v>4.0863007307053001E-2</v>
      </c>
      <c r="F41">
        <f>'Table for t-test'!S29</f>
        <v>4.7578573226928933E-2</v>
      </c>
      <c r="G41" s="3">
        <f>'Table for t-test'!T29</f>
        <v>9.4142645597457997E-2</v>
      </c>
    </row>
    <row r="42" spans="1:7" x14ac:dyDescent="0.25">
      <c r="A42" s="105"/>
      <c r="B42" s="105"/>
      <c r="C42" s="105"/>
      <c r="D42">
        <v>3</v>
      </c>
      <c r="E42">
        <f>'Table for t-test'!R30</f>
        <v>3.0436933040619008E-2</v>
      </c>
      <c r="F42">
        <f>'Table for t-test'!S30</f>
        <v>1.4633715152741034E-2</v>
      </c>
      <c r="G42" s="3">
        <f>'Table for t-test'!T30</f>
        <v>5.028489232063299E-2</v>
      </c>
    </row>
    <row r="43" spans="1:7" x14ac:dyDescent="0.25">
      <c r="A43" s="105"/>
      <c r="B43" s="105"/>
      <c r="C43" s="105"/>
      <c r="D43">
        <v>4</v>
      </c>
      <c r="E43">
        <f>'Table for t-test'!R31</f>
        <v>8.9956790208815973E-2</v>
      </c>
      <c r="F43">
        <f>'Table for t-test'!S31</f>
        <v>2.9879868030548096E-2</v>
      </c>
      <c r="G43" s="3">
        <f>'Table for t-test'!T31</f>
        <v>0.11906668543815596</v>
      </c>
    </row>
    <row r="44" spans="1:7" x14ac:dyDescent="0.25">
      <c r="A44" s="105"/>
      <c r="B44" s="105"/>
      <c r="C44" s="105">
        <v>34</v>
      </c>
      <c r="D44">
        <v>1</v>
      </c>
      <c r="E44">
        <f>'Table for t-test'!R32</f>
        <v>2.0325064659118985E-2</v>
      </c>
      <c r="F44">
        <f>'Table for t-test'!S32</f>
        <v>8.5229277610779919E-3</v>
      </c>
      <c r="G44" s="3">
        <f>'Table for t-test'!T32</f>
        <v>1.3919621706008023E-2</v>
      </c>
    </row>
    <row r="45" spans="1:7" x14ac:dyDescent="0.25">
      <c r="A45" s="105"/>
      <c r="B45" s="105"/>
      <c r="C45" s="105"/>
      <c r="D45">
        <v>2</v>
      </c>
      <c r="E45">
        <f>'Table for t-test'!R33</f>
        <v>0.10843905806541498</v>
      </c>
      <c r="F45">
        <f>'Table for t-test'!S33</f>
        <v>3.8325190544128085E-2</v>
      </c>
      <c r="G45" s="3">
        <f>'Table for t-test'!T33</f>
        <v>9.4935446977615023E-2</v>
      </c>
    </row>
    <row r="46" spans="1:7" x14ac:dyDescent="0.25">
      <c r="A46" s="105"/>
      <c r="B46" s="105"/>
      <c r="C46" s="105"/>
      <c r="D46">
        <v>3</v>
      </c>
      <c r="E46">
        <f>'Table for t-test'!R34</f>
        <v>8.4072262048721036E-2</v>
      </c>
      <c r="F46">
        <f>'Table for t-test'!S34</f>
        <v>5.5066466331482045E-2</v>
      </c>
      <c r="G46" s="3">
        <f>'Table for t-test'!T34</f>
        <v>0.10423925518989502</v>
      </c>
    </row>
    <row r="47" spans="1:7" x14ac:dyDescent="0.25">
      <c r="A47" s="105"/>
      <c r="B47" s="105"/>
      <c r="C47" s="105"/>
      <c r="D47">
        <v>4</v>
      </c>
      <c r="E47">
        <f>'Table for t-test'!R35</f>
        <v>9.788185358047502E-2</v>
      </c>
      <c r="F47">
        <f>'Table for t-test'!S35</f>
        <v>2.3363888263701948E-2</v>
      </c>
      <c r="G47" s="3">
        <f>'Table for t-test'!T35</f>
        <v>0.14848700165748596</v>
      </c>
    </row>
    <row r="48" spans="1:7" x14ac:dyDescent="0.25">
      <c r="A48" s="105"/>
      <c r="B48" s="105"/>
      <c r="C48" s="105">
        <v>50</v>
      </c>
      <c r="D48">
        <v>1</v>
      </c>
      <c r="E48">
        <f>'Table for t-test'!R36</f>
        <v>3.3538997173308993E-2</v>
      </c>
      <c r="F48">
        <f>'Table for t-test'!S36</f>
        <v>8.1087350845340245E-3</v>
      </c>
      <c r="G48" s="3">
        <f>'Table for t-test'!T36</f>
        <v>6.868004798889199E-2</v>
      </c>
    </row>
    <row r="49" spans="1:7" x14ac:dyDescent="0.25">
      <c r="A49" s="105"/>
      <c r="B49" s="105"/>
      <c r="C49" s="105"/>
      <c r="D49">
        <v>2</v>
      </c>
      <c r="E49">
        <f>'Table for t-test'!R37</f>
        <v>0.10360361635684903</v>
      </c>
      <c r="F49">
        <f>'Table for t-test'!S37</f>
        <v>4.8575997352599987E-2</v>
      </c>
      <c r="G49" s="3">
        <f>'Table for t-test'!T37</f>
        <v>0.14351493120193504</v>
      </c>
    </row>
    <row r="50" spans="1:7" x14ac:dyDescent="0.25">
      <c r="A50" s="105"/>
      <c r="B50" s="105"/>
      <c r="C50" s="105"/>
      <c r="D50">
        <v>3</v>
      </c>
      <c r="E50">
        <f>'Table for t-test'!R38</f>
        <v>3.1347870826720081E-3</v>
      </c>
      <c r="F50">
        <f>'Table for t-test'!S38</f>
        <v>4.8601031303410203E-3</v>
      </c>
      <c r="G50" s="3">
        <f>'Table for t-test'!T38</f>
        <v>5.6552886962890014E-2</v>
      </c>
    </row>
    <row r="51" spans="1:7" x14ac:dyDescent="0.25">
      <c r="A51" s="107"/>
      <c r="B51" s="107"/>
      <c r="C51" s="107"/>
      <c r="D51" s="7">
        <v>4</v>
      </c>
      <c r="E51" s="7">
        <f>'Table for t-test'!R39</f>
        <v>3.2016575336456021E-2</v>
      </c>
      <c r="F51" s="7">
        <f>'Table for t-test'!S39</f>
        <v>1.403683423996005E-2</v>
      </c>
      <c r="G51" s="8">
        <f>'Table for t-test'!T39</f>
        <v>0.151376843452453</v>
      </c>
    </row>
    <row r="52" spans="1:7" x14ac:dyDescent="0.25">
      <c r="A52" s="105" t="s">
        <v>24</v>
      </c>
      <c r="B52" s="105" t="s">
        <v>21</v>
      </c>
      <c r="C52" s="105">
        <v>18</v>
      </c>
      <c r="D52">
        <v>1</v>
      </c>
      <c r="E52">
        <f>'Table for t-test'!U16</f>
        <v>7.8030526638031006E-2</v>
      </c>
      <c r="F52">
        <f>'Table for t-test'!V16</f>
        <v>-1.1296391487121915E-2</v>
      </c>
      <c r="G52" s="3">
        <f>'Table for t-test'!W16</f>
        <v>0.10379567742347701</v>
      </c>
    </row>
    <row r="53" spans="1:7" x14ac:dyDescent="0.25">
      <c r="A53" s="105"/>
      <c r="B53" s="105"/>
      <c r="C53" s="105"/>
      <c r="D53">
        <v>2</v>
      </c>
      <c r="E53">
        <f>'Table for t-test'!U17</f>
        <v>1.6003072261810025E-2</v>
      </c>
      <c r="F53">
        <f>'Table for t-test'!V17</f>
        <v>2.4992883205413041E-2</v>
      </c>
      <c r="G53" s="3">
        <f>'Table for t-test'!W17</f>
        <v>0.10108166933059703</v>
      </c>
    </row>
    <row r="54" spans="1:7" x14ac:dyDescent="0.25">
      <c r="A54" s="105"/>
      <c r="B54" s="105"/>
      <c r="C54" s="105"/>
      <c r="D54">
        <v>3</v>
      </c>
      <c r="E54">
        <f>'Table for t-test'!U18</f>
        <v>6.4278870820998979E-2</v>
      </c>
      <c r="F54">
        <f>'Table for t-test'!V18</f>
        <v>-1.9588470458983931E-2</v>
      </c>
      <c r="G54" s="3">
        <f>'Table for t-test'!W18</f>
        <v>3.2442510128021018E-2</v>
      </c>
    </row>
    <row r="55" spans="1:7" x14ac:dyDescent="0.25">
      <c r="A55" s="105"/>
      <c r="B55" s="105"/>
      <c r="C55" s="105"/>
      <c r="D55">
        <v>4</v>
      </c>
      <c r="E55">
        <f>'Table for t-test'!U19</f>
        <v>7.1641772985458041E-2</v>
      </c>
      <c r="F55">
        <f>'Table for t-test'!V19</f>
        <v>1.9384801387786976E-2</v>
      </c>
      <c r="G55" s="3">
        <f>'Table for t-test'!W19</f>
        <v>7.4710309505462036E-2</v>
      </c>
    </row>
    <row r="56" spans="1:7" x14ac:dyDescent="0.25">
      <c r="A56" s="105"/>
      <c r="B56" s="105"/>
      <c r="C56" s="105">
        <v>34</v>
      </c>
      <c r="D56">
        <v>1</v>
      </c>
      <c r="E56">
        <f>'Table for t-test'!U20</f>
        <v>3.6911487579346036E-2</v>
      </c>
      <c r="F56">
        <f>'Table for t-test'!V20</f>
        <v>9.9667310714729451E-3</v>
      </c>
      <c r="G56" s="3">
        <f>'Table for t-test'!W20</f>
        <v>3.3739537000656017E-2</v>
      </c>
    </row>
    <row r="57" spans="1:7" x14ac:dyDescent="0.25">
      <c r="A57" s="105"/>
      <c r="B57" s="105"/>
      <c r="C57" s="105"/>
      <c r="D57">
        <v>2</v>
      </c>
      <c r="E57">
        <f>'Table for t-test'!U21</f>
        <v>2.8370320796965998E-2</v>
      </c>
      <c r="F57">
        <f>'Table for t-test'!V21</f>
        <v>2.9440820217132013E-2</v>
      </c>
      <c r="G57" s="3">
        <f>'Table for t-test'!W21</f>
        <v>0.12082570791244507</v>
      </c>
    </row>
    <row r="58" spans="1:7" x14ac:dyDescent="0.25">
      <c r="A58" s="105"/>
      <c r="B58" s="105"/>
      <c r="C58" s="105"/>
      <c r="D58">
        <v>3</v>
      </c>
      <c r="E58">
        <f>'Table for t-test'!U22</f>
        <v>5.3297191858292015E-2</v>
      </c>
      <c r="F58">
        <f>'Table for t-test'!V22</f>
        <v>6.165146827697976E-3</v>
      </c>
      <c r="G58" s="3">
        <f>'Table for t-test'!W22</f>
        <v>2.096506953239502E-2</v>
      </c>
    </row>
    <row r="59" spans="1:7" x14ac:dyDescent="0.25">
      <c r="A59" s="105"/>
      <c r="B59" s="105"/>
      <c r="C59" s="105"/>
      <c r="D59">
        <v>4</v>
      </c>
      <c r="E59">
        <f>'Table for t-test'!U23</f>
        <v>7.7379196882248036E-2</v>
      </c>
      <c r="F59">
        <f>'Table for t-test'!V23</f>
        <v>5.022335052490301E-2</v>
      </c>
      <c r="G59" s="3">
        <f>'Table for t-test'!W23</f>
        <v>0.111660957336426</v>
      </c>
    </row>
    <row r="60" spans="1:7" x14ac:dyDescent="0.25">
      <c r="A60" s="105"/>
      <c r="B60" s="105"/>
      <c r="C60" s="105">
        <v>50</v>
      </c>
      <c r="D60">
        <v>1</v>
      </c>
      <c r="E60">
        <f>'Table for t-test'!U24</f>
        <v>-4.1015803813933993E-2</v>
      </c>
      <c r="F60">
        <f>'Table for t-test'!V24</f>
        <v>-1.4740824699400745E-3</v>
      </c>
      <c r="G60" s="3">
        <f>'Table for t-test'!W24</f>
        <v>-0.11749932169914201</v>
      </c>
    </row>
    <row r="61" spans="1:7" x14ac:dyDescent="0.25">
      <c r="A61" s="105"/>
      <c r="B61" s="105"/>
      <c r="C61" s="105"/>
      <c r="D61">
        <v>2</v>
      </c>
      <c r="E61">
        <f>'Table for t-test'!U25</f>
        <v>7.5151950120925959E-2</v>
      </c>
      <c r="F61">
        <f>'Table for t-test'!V25</f>
        <v>4.5719027519226074E-2</v>
      </c>
      <c r="G61" s="3">
        <f>'Table for t-test'!W25</f>
        <v>0.113257706165314</v>
      </c>
    </row>
    <row r="62" spans="1:7" x14ac:dyDescent="0.25">
      <c r="A62" s="105"/>
      <c r="B62" s="105"/>
      <c r="C62" s="105"/>
      <c r="D62">
        <v>3</v>
      </c>
      <c r="E62">
        <f>'Table for t-test'!U26</f>
        <v>2.7449280023574996E-2</v>
      </c>
      <c r="F62">
        <f>'Table for t-test'!V26</f>
        <v>-2.407252788543035E-3</v>
      </c>
      <c r="G62" s="3">
        <f>'Table for t-test'!W26</f>
        <v>2.1855413913726029E-2</v>
      </c>
    </row>
    <row r="63" spans="1:7" x14ac:dyDescent="0.25">
      <c r="A63" s="107"/>
      <c r="B63" s="107"/>
      <c r="C63" s="107"/>
      <c r="D63" s="7">
        <v>4</v>
      </c>
      <c r="E63" s="7">
        <f>'Table for t-test'!U27</f>
        <v>3.9900958538055975E-2</v>
      </c>
      <c r="F63" s="7">
        <f>'Table for t-test'!V27</f>
        <v>2.105939388275202E-2</v>
      </c>
      <c r="G63" s="8">
        <f>'Table for t-test'!W27</f>
        <v>9.1337144374846968E-2</v>
      </c>
    </row>
    <row r="64" spans="1:7" x14ac:dyDescent="0.25">
      <c r="A64" s="105" t="s">
        <v>19</v>
      </c>
      <c r="B64" s="105" t="s">
        <v>25</v>
      </c>
      <c r="C64" s="105"/>
      <c r="D64">
        <v>1</v>
      </c>
      <c r="E64">
        <f>'Table for t-test'!R40</f>
        <v>0</v>
      </c>
      <c r="F64">
        <f>'Table for t-test'!S40</f>
        <v>1.6069829463957963E-2</v>
      </c>
      <c r="G64" s="3">
        <f>'Table for t-test'!T40</f>
        <v>2.0309105515479986E-2</v>
      </c>
    </row>
    <row r="65" spans="1:7" x14ac:dyDescent="0.25">
      <c r="A65" s="105"/>
      <c r="B65" s="105"/>
      <c r="C65" s="105"/>
      <c r="D65">
        <v>2</v>
      </c>
      <c r="E65">
        <f>'Table for t-test'!R41</f>
        <v>0</v>
      </c>
      <c r="F65">
        <f>'Table for t-test'!S41</f>
        <v>6.3210070133209006E-2</v>
      </c>
      <c r="G65" s="3">
        <f>'Table for t-test'!T41</f>
        <v>8.8532924652099998E-2</v>
      </c>
    </row>
    <row r="66" spans="1:7" x14ac:dyDescent="0.25">
      <c r="A66" s="105"/>
      <c r="B66" s="105"/>
      <c r="C66" s="105"/>
      <c r="D66">
        <v>3</v>
      </c>
      <c r="E66">
        <f>'Table for t-test'!R42</f>
        <v>0</v>
      </c>
      <c r="F66">
        <f>'Table for t-test'!S42</f>
        <v>-1.0140538215630546E-3</v>
      </c>
      <c r="G66" s="3">
        <f>'Table for t-test'!T42</f>
        <v>8.7488740682599986E-3</v>
      </c>
    </row>
    <row r="67" spans="1:7" x14ac:dyDescent="0.25">
      <c r="A67" s="107"/>
      <c r="B67" s="107"/>
      <c r="C67" s="107"/>
      <c r="D67" s="7">
        <v>4</v>
      </c>
      <c r="E67">
        <f>'Table for t-test'!R43</f>
        <v>0</v>
      </c>
      <c r="F67">
        <f>'Table for t-test'!S43</f>
        <v>4.7089159488677979E-2</v>
      </c>
      <c r="G67" s="3">
        <f>'Table for t-test'!T43</f>
        <v>4.8084899783133989E-2</v>
      </c>
    </row>
    <row r="68" spans="1:7" x14ac:dyDescent="0.25">
      <c r="A68" s="103" t="s">
        <v>19</v>
      </c>
      <c r="B68" s="103" t="s">
        <v>26</v>
      </c>
      <c r="C68" s="103"/>
      <c r="D68" s="9">
        <v>1</v>
      </c>
      <c r="E68">
        <f>'Table for t-test'!R44</f>
        <v>0</v>
      </c>
      <c r="F68">
        <f>'Table for t-test'!S44</f>
        <v>3.0254960060120073E-2</v>
      </c>
      <c r="G68" s="3">
        <f>'Table for t-test'!T44</f>
        <v>4.2955666780471996E-2</v>
      </c>
    </row>
    <row r="69" spans="1:7" x14ac:dyDescent="0.25">
      <c r="A69" s="105"/>
      <c r="B69" s="105"/>
      <c r="C69" s="105"/>
      <c r="D69">
        <v>2</v>
      </c>
      <c r="E69">
        <f>'Table for t-test'!R45</f>
        <v>0</v>
      </c>
      <c r="F69">
        <f>'Table for t-test'!S45</f>
        <v>5.4666638374328946E-2</v>
      </c>
      <c r="G69" s="3">
        <f>'Table for t-test'!T45</f>
        <v>9.0144827961921997E-2</v>
      </c>
    </row>
    <row r="70" spans="1:7" x14ac:dyDescent="0.25">
      <c r="A70" s="105"/>
      <c r="B70" s="105"/>
      <c r="C70" s="105"/>
      <c r="D70">
        <v>3</v>
      </c>
      <c r="E70">
        <f>'Table for t-test'!R46</f>
        <v>0</v>
      </c>
      <c r="F70">
        <f>'Table for t-test'!S46</f>
        <v>3.4305572509766069E-2</v>
      </c>
      <c r="G70" s="3">
        <f>'Table for t-test'!T46</f>
        <v>1.7023570835591001E-2</v>
      </c>
    </row>
    <row r="71" spans="1:7" x14ac:dyDescent="0.25">
      <c r="A71" s="107"/>
      <c r="B71" s="107"/>
      <c r="C71" s="107"/>
      <c r="D71" s="7">
        <v>4</v>
      </c>
      <c r="E71" s="7">
        <f>'Table for t-test'!R47</f>
        <v>0</v>
      </c>
      <c r="F71" s="7">
        <f>'Table for t-test'!S47</f>
        <v>4.1077911853790061E-2</v>
      </c>
      <c r="G71" s="8">
        <f>'Table for t-test'!T47</f>
        <v>6.9380462169646995E-2</v>
      </c>
    </row>
    <row r="72" spans="1:7" x14ac:dyDescent="0.25">
      <c r="A72" s="105" t="s">
        <v>24</v>
      </c>
      <c r="B72" s="105" t="s">
        <v>27</v>
      </c>
      <c r="C72" s="105"/>
      <c r="D72">
        <v>1</v>
      </c>
      <c r="E72">
        <f>'Table for t-test'!U40</f>
        <v>-7.4115425348282027E-2</v>
      </c>
      <c r="F72">
        <f>'Table for t-test'!V40</f>
        <v>-5.8820247650139823E-3</v>
      </c>
      <c r="G72" s="3">
        <f>'Table for t-test'!W40</f>
        <v>1.0238587856293002E-2</v>
      </c>
    </row>
    <row r="73" spans="1:7" x14ac:dyDescent="0.25">
      <c r="A73" s="105"/>
      <c r="B73" s="105"/>
      <c r="C73" s="105"/>
      <c r="D73">
        <v>2</v>
      </c>
      <c r="E73">
        <f>'Table for t-test'!U41</f>
        <v>0.11531940102577201</v>
      </c>
      <c r="F73">
        <f>'Table for t-test'!V41</f>
        <v>8.7455272674559992E-2</v>
      </c>
      <c r="G73" s="3">
        <f>'Table for t-test'!W41</f>
        <v>0.16138763725757599</v>
      </c>
    </row>
    <row r="74" spans="1:7" x14ac:dyDescent="0.25">
      <c r="A74" s="105"/>
      <c r="B74" s="105"/>
      <c r="C74" s="105"/>
      <c r="D74">
        <v>3</v>
      </c>
      <c r="E74">
        <f>'Table for t-test'!U42</f>
        <v>4.2470961809158991E-2</v>
      </c>
      <c r="F74">
        <f>'Table for t-test'!V42</f>
        <v>1.7149031162262074E-2</v>
      </c>
      <c r="G74" s="3">
        <f>'Table for t-test'!W42</f>
        <v>5.7152450084686002E-2</v>
      </c>
    </row>
    <row r="75" spans="1:7" x14ac:dyDescent="0.25">
      <c r="A75" s="107"/>
      <c r="B75" s="107"/>
      <c r="C75" s="107"/>
      <c r="D75" s="7">
        <v>4</v>
      </c>
      <c r="E75" s="7">
        <f>'Table for t-test'!U43</f>
        <v>2.7884602546692006E-2</v>
      </c>
      <c r="F75" s="7">
        <f>'Table for t-test'!V43</f>
        <v>2.8432428836823065E-2</v>
      </c>
      <c r="G75" s="8">
        <f>'Table for t-test'!W43</f>
        <v>6.4288228750229048E-2</v>
      </c>
    </row>
  </sheetData>
  <mergeCells count="61">
    <mergeCell ref="C24:C27"/>
    <mergeCell ref="A28:A39"/>
    <mergeCell ref="B28:B39"/>
    <mergeCell ref="C28:C31"/>
    <mergeCell ref="C32:C35"/>
    <mergeCell ref="C36:C39"/>
    <mergeCell ref="A16:A27"/>
    <mergeCell ref="B16:B27"/>
    <mergeCell ref="C16:C19"/>
    <mergeCell ref="C20:C23"/>
    <mergeCell ref="A52:A63"/>
    <mergeCell ref="B52:B63"/>
    <mergeCell ref="C52:C55"/>
    <mergeCell ref="C56:C59"/>
    <mergeCell ref="C60:C63"/>
    <mergeCell ref="A40:A51"/>
    <mergeCell ref="B40:B51"/>
    <mergeCell ref="C40:C43"/>
    <mergeCell ref="C44:C47"/>
    <mergeCell ref="C48:C51"/>
    <mergeCell ref="A64:A67"/>
    <mergeCell ref="B64:C67"/>
    <mergeCell ref="A68:A71"/>
    <mergeCell ref="B68:C71"/>
    <mergeCell ref="A72:A75"/>
    <mergeCell ref="B72:C75"/>
    <mergeCell ref="N1:P1"/>
    <mergeCell ref="L2:L3"/>
    <mergeCell ref="M2:M3"/>
    <mergeCell ref="N2:N3"/>
    <mergeCell ref="O2:O3"/>
    <mergeCell ref="P2:P3"/>
    <mergeCell ref="A4:A15"/>
    <mergeCell ref="B4:B15"/>
    <mergeCell ref="C4:C7"/>
    <mergeCell ref="C8:C11"/>
    <mergeCell ref="C12:C15"/>
    <mergeCell ref="A1:A3"/>
    <mergeCell ref="K1:K3"/>
    <mergeCell ref="L1:M1"/>
    <mergeCell ref="E1:G1"/>
    <mergeCell ref="E2:E3"/>
    <mergeCell ref="F2:F3"/>
    <mergeCell ref="G2:G3"/>
    <mergeCell ref="B1:C1"/>
    <mergeCell ref="D1:D3"/>
    <mergeCell ref="B2:B3"/>
    <mergeCell ref="C2:C3"/>
    <mergeCell ref="K4:K6"/>
    <mergeCell ref="L4:L6"/>
    <mergeCell ref="K7:K9"/>
    <mergeCell ref="L7:L9"/>
    <mergeCell ref="L21:M21"/>
    <mergeCell ref="K13:K15"/>
    <mergeCell ref="L13:L15"/>
    <mergeCell ref="K16:K18"/>
    <mergeCell ref="L16:L18"/>
    <mergeCell ref="L19:M19"/>
    <mergeCell ref="L20:M20"/>
    <mergeCell ref="K10:K12"/>
    <mergeCell ref="L10:L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FF43-C86F-416E-9128-5B593BD0E3AA}">
  <sheetPr>
    <tabColor rgb="FF00B050"/>
  </sheetPr>
  <dimension ref="A1:O10"/>
  <sheetViews>
    <sheetView workbookViewId="0">
      <selection activeCell="K17" sqref="K17"/>
    </sheetView>
  </sheetViews>
  <sheetFormatPr defaultRowHeight="15" x14ac:dyDescent="0.25"/>
  <cols>
    <col min="1" max="1" width="24" customWidth="1"/>
    <col min="2" max="2" width="14.85546875" customWidth="1"/>
    <col min="4" max="15" width="14.28515625" customWidth="1"/>
  </cols>
  <sheetData>
    <row r="1" spans="1:15" x14ac:dyDescent="0.25">
      <c r="A1" s="126" t="s">
        <v>15</v>
      </c>
      <c r="B1" s="126" t="s">
        <v>0</v>
      </c>
      <c r="C1" s="126"/>
      <c r="D1" s="148" t="s">
        <v>13</v>
      </c>
      <c r="E1" s="115"/>
      <c r="F1" s="115"/>
      <c r="G1" s="115"/>
      <c r="H1" s="115"/>
      <c r="I1" s="116"/>
      <c r="J1" s="118" t="s">
        <v>14</v>
      </c>
      <c r="K1" s="118"/>
      <c r="L1" s="118"/>
      <c r="M1" s="118"/>
      <c r="N1" s="118"/>
      <c r="O1" s="119"/>
    </row>
    <row r="2" spans="1:15" x14ac:dyDescent="0.25">
      <c r="A2" s="126"/>
      <c r="B2" s="126" t="s">
        <v>16</v>
      </c>
      <c r="C2" s="126" t="s">
        <v>17</v>
      </c>
      <c r="D2" s="122" t="s">
        <v>1</v>
      </c>
      <c r="E2" s="122" t="s">
        <v>2</v>
      </c>
      <c r="F2" s="122" t="s">
        <v>3</v>
      </c>
      <c r="G2" s="122" t="s">
        <v>4</v>
      </c>
      <c r="H2" s="122" t="s">
        <v>5</v>
      </c>
      <c r="I2" s="122" t="s">
        <v>70</v>
      </c>
      <c r="J2" s="124" t="s">
        <v>1</v>
      </c>
      <c r="K2" s="109" t="s">
        <v>2</v>
      </c>
      <c r="L2" s="109" t="s">
        <v>3</v>
      </c>
      <c r="M2" s="109" t="s">
        <v>4</v>
      </c>
      <c r="N2" s="109" t="s">
        <v>5</v>
      </c>
      <c r="O2" s="109" t="s">
        <v>70</v>
      </c>
    </row>
    <row r="3" spans="1:15" ht="15.75" thickBot="1" x14ac:dyDescent="0.3">
      <c r="A3" s="127"/>
      <c r="B3" s="127"/>
      <c r="C3" s="127"/>
      <c r="D3" s="123"/>
      <c r="E3" s="123"/>
      <c r="F3" s="123"/>
      <c r="G3" s="123"/>
      <c r="H3" s="123"/>
      <c r="I3" s="123"/>
      <c r="J3" s="125"/>
      <c r="K3" s="110"/>
      <c r="L3" s="110"/>
      <c r="M3" s="110"/>
      <c r="N3" s="110"/>
      <c r="O3" s="110"/>
    </row>
    <row r="4" spans="1:15" x14ac:dyDescent="0.25">
      <c r="A4" s="103" t="s">
        <v>20</v>
      </c>
      <c r="B4" s="103" t="s">
        <v>101</v>
      </c>
      <c r="C4" s="10">
        <v>18</v>
      </c>
      <c r="D4" s="44" t="str">
        <f>TEXT(AVERAGE(INDEX('Luna16-25 Sheet'!E:E,(ROW(A1)-1)*4+4):INDEX('Luna16-25 Sheet'!E:E,(ROW(A1)-1)*4+7)),"0.000")
&amp; " ± " &amp;
TEXT(_xlfn.STDEV.S(INDEX('Luna16-25 Sheet'!E:E,(ROW(A1)-1)*4+4):INDEX('Luna16-25 Sheet'!E:E,(ROW(A1)-1)*4+7)),"0.000")</f>
        <v>0.883 ± 0.024</v>
      </c>
      <c r="E4" t="str">
        <f>TEXT(AVERAGE(INDEX('Luna16-25 Sheet'!F:F,(ROW(B1)-1)*4+4):INDEX('Luna16-25 Sheet'!F:F,(ROW(B1)-1)*4+7)),"0.000")
&amp; " ± " &amp;
TEXT(_xlfn.STDEV.S(INDEX('Luna16-25 Sheet'!F:F,(ROW(B1)-1)*4+4):INDEX('Luna16-25 Sheet'!F:F,(ROW(B1)-1)*4+7)),"0.000")</f>
        <v>0.391 ± 0.038</v>
      </c>
      <c r="F4" t="str">
        <f>TEXT(AVERAGE(INDEX('Luna16-25 Sheet'!G:G,(ROW(C1)-1)*4+4):INDEX('Luna16-25 Sheet'!G:G,(ROW(C1)-1)*4+7)),"0.000")
&amp; " ± " &amp;
TEXT(_xlfn.STDEV.S(INDEX('Luna16-25 Sheet'!G:G,(ROW(C1)-1)*4+4):INDEX('Luna16-25 Sheet'!G:G,(ROW(C1)-1)*4+7)),"0.000")</f>
        <v>0.422 ± 0.194</v>
      </c>
      <c r="G4" t="str">
        <f>TEXT(AVERAGE(INDEX('Luna16-25 Sheet'!H:H,(ROW(D1)-1)*4+4):INDEX('Luna16-25 Sheet'!H:H,(ROW(D1)-1)*4+7)),"0.000")
&amp; " ± " &amp;
TEXT(_xlfn.STDEV.S(INDEX('Luna16-25 Sheet'!H:H,(ROW(D1)-1)*4+4):INDEX('Luna16-25 Sheet'!H:H,(ROW(D1)-1)*4+7)),"0.000")</f>
        <v>0.380 ± 0.096</v>
      </c>
      <c r="H4" t="str">
        <f>TEXT(AVERAGE(INDEX('Luna16-25 Sheet'!I:I,(ROW(E1)-1)*4+4):INDEX('Luna16-25 Sheet'!I:I,(ROW(E1)-1)*4+7)),"0.000")
&amp; " ± " &amp;
TEXT(_xlfn.STDEV.S(INDEX('Luna16-25 Sheet'!I:I,(ROW(E1)-1)*4+4):INDEX('Luna16-25 Sheet'!I:I,(ROW(E1)-1)*4+7)),"0.000")</f>
        <v>0.868 ± 0.025</v>
      </c>
      <c r="I4" s="3" t="str">
        <f>TEXT(AVERAGE(INDEX('Luna16-25 Sheet'!J:J,(ROW(F1)-1)*4+4):INDEX('Luna16-25 Sheet'!J:J,(ROW(F1)-1)*4+7)),"0.000")
&amp; " ± " &amp;
TEXT(_xlfn.STDEV.S(INDEX('Luna16-25 Sheet'!J:J,(ROW(F1)-1)*4+4):INDEX('Luna16-25 Sheet'!J:J,(ROW(F1)-1)*4+7)),"0.000")</f>
        <v>0.414 ± 0.081</v>
      </c>
      <c r="J4" t="str">
        <f>TEXT(AVERAGE(INDEX('Luna16-25 Sheet'!K:K,(ROW(G1)-1)*4+4):INDEX('Luna16-25 Sheet'!K:K,(ROW(G1)-1)*4+7)),"0.000")
&amp; " ± " &amp;
TEXT(_xlfn.STDEV.S(INDEX('Luna16-25 Sheet'!K:K,(ROW(G1)-1)*4+4):INDEX('Luna16-25 Sheet'!K:K,(ROW(G1)-1)*4+7)),"0.000")</f>
        <v>0.876 ± 0.030</v>
      </c>
      <c r="K4" t="str">
        <f>TEXT(AVERAGE(INDEX('Luna16-25 Sheet'!L:L,(ROW(H1)-1)*4+4):INDEX('Luna16-25 Sheet'!L:L,(ROW(H1)-1)*4+7)),"0.000")
&amp; " ± " &amp;
TEXT(_xlfn.STDEV.S(INDEX('Luna16-25 Sheet'!L:L,(ROW(H1)-1)*4+4):INDEX('Luna16-25 Sheet'!L:L,(ROW(H1)-1)*4+7)),"0.000")</f>
        <v>0.328 ± 0.045</v>
      </c>
      <c r="L4" t="str">
        <f>TEXT(AVERAGE(INDEX('Luna16-25 Sheet'!M:M,(ROW(I1)-1)*4+4):INDEX('Luna16-25 Sheet'!M:M,(ROW(I1)-1)*4+7)),"0.000")
&amp; " ± " &amp;
TEXT(_xlfn.STDEV.S(INDEX('Luna16-25 Sheet'!M:M,(ROW(I1)-1)*4+4):INDEX('Luna16-25 Sheet'!M:M,(ROW(I1)-1)*4+7)),"0.000")</f>
        <v>0.386 ± 0.200</v>
      </c>
      <c r="M4" t="str">
        <f>TEXT(AVERAGE(INDEX('Luna16-25 Sheet'!N:N,(ROW(J1)-1)*4+4):INDEX('Luna16-25 Sheet'!N:N,(ROW(J1)-1)*4+7)),"0.000")
&amp; " ± " &amp;
TEXT(_xlfn.STDEV.S(INDEX('Luna16-25 Sheet'!N:N,(ROW(J1)-1)*4+4):INDEX('Luna16-25 Sheet'!N:N,(ROW(J1)-1)*4+7)),"0.000")</f>
        <v>0.323 ± 0.090</v>
      </c>
      <c r="N4" t="str">
        <f>TEXT(AVERAGE(INDEX('Luna16-25 Sheet'!O:O,(ROW(K1)-1)*4+4):INDEX('Luna16-25 Sheet'!O:O,(ROW(K1)-1)*4+7)),"0.000")
&amp; " ± " &amp;
TEXT(_xlfn.STDEV.S(INDEX('Luna16-25 Sheet'!O:O,(ROW(K1)-1)*4+4):INDEX('Luna16-25 Sheet'!O:O,(ROW(K1)-1)*4+7)),"0.000")</f>
        <v>0.827 ± 0.011</v>
      </c>
      <c r="O4" s="11" t="str">
        <f>TEXT(AVERAGE(INDEX('Luna16-25 Sheet'!P:P,(ROW(L1)-1)*4+4):INDEX('Luna16-25 Sheet'!P:P,(ROW(L1)-1)*4+7)),"0.000")
&amp; " ± " &amp;
TEXT(_xlfn.STDEV.S(INDEX('Luna16-25 Sheet'!P:P,(ROW(L1)-1)*4+4):INDEX('Luna16-25 Sheet'!P:P,(ROW(L1)-1)*4+7)),"0.000")</f>
        <v>0.329 ± 0.023</v>
      </c>
    </row>
    <row r="5" spans="1:15" x14ac:dyDescent="0.25">
      <c r="A5" s="105"/>
      <c r="B5" s="105"/>
      <c r="C5" s="3">
        <v>34</v>
      </c>
      <c r="D5" s="44" t="str">
        <f>TEXT(AVERAGE(INDEX('Luna16-25 Sheet'!E:E,(ROW(A2)-1)*4+4):INDEX('Luna16-25 Sheet'!E:E,(ROW(A2)-1)*4+7)),"0.000")
&amp; " ± " &amp;
TEXT(_xlfn.STDEV.S(INDEX('Luna16-25 Sheet'!E:E,(ROW(A2)-1)*4+4):INDEX('Luna16-25 Sheet'!E:E,(ROW(A2)-1)*4+7)),"0.000")</f>
        <v>0.898 ± 0.031</v>
      </c>
      <c r="E5" t="str">
        <f>TEXT(AVERAGE(INDEX('Luna16-25 Sheet'!F:F,(ROW(B2)-1)*4+4):INDEX('Luna16-25 Sheet'!F:F,(ROW(B2)-1)*4+7)),"0.000")
&amp; " ± " &amp;
TEXT(_xlfn.STDEV.S(INDEX('Luna16-25 Sheet'!F:F,(ROW(B2)-1)*4+4):INDEX('Luna16-25 Sheet'!F:F,(ROW(B2)-1)*4+7)),"0.000")</f>
        <v>0.510 ± 0.171</v>
      </c>
      <c r="F5" t="str">
        <f>TEXT(AVERAGE(INDEX('Luna16-25 Sheet'!G:G,(ROW(C2)-1)*4+4):INDEX('Luna16-25 Sheet'!G:G,(ROW(C2)-1)*4+7)),"0.000")
&amp; " ± " &amp;
TEXT(_xlfn.STDEV.S(INDEX('Luna16-25 Sheet'!G:G,(ROW(C2)-1)*4+4):INDEX('Luna16-25 Sheet'!G:G,(ROW(C2)-1)*4+7)),"0.000")</f>
        <v>0.317 ± 0.146</v>
      </c>
      <c r="G5" t="str">
        <f>TEXT(AVERAGE(INDEX('Luna16-25 Sheet'!H:H,(ROW(D2)-1)*4+4):INDEX('Luna16-25 Sheet'!H:H,(ROW(D2)-1)*4+7)),"0.000")
&amp; " ± " &amp;
TEXT(_xlfn.STDEV.S(INDEX('Luna16-25 Sheet'!H:H,(ROW(D2)-1)*4+4):INDEX('Luna16-25 Sheet'!H:H,(ROW(D2)-1)*4+7)),"0.000")</f>
        <v>0.357 ± 0.049</v>
      </c>
      <c r="H5" t="str">
        <f>TEXT(AVERAGE(INDEX('Luna16-25 Sheet'!I:I,(ROW(E2)-1)*4+4):INDEX('Luna16-25 Sheet'!I:I,(ROW(E2)-1)*4+7)),"0.000")
&amp; " ± " &amp;
TEXT(_xlfn.STDEV.S(INDEX('Luna16-25 Sheet'!I:I,(ROW(E2)-1)*4+4):INDEX('Luna16-25 Sheet'!I:I,(ROW(E2)-1)*4+7)),"0.000")</f>
        <v>0.857 ± 0.018</v>
      </c>
      <c r="I5" s="3" t="str">
        <f>TEXT(AVERAGE(INDEX('Luna16-25 Sheet'!J:J,(ROW(F2)-1)*4+4):INDEX('Luna16-25 Sheet'!J:J,(ROW(F2)-1)*4+7)),"0.000")
&amp; " ± " &amp;
TEXT(_xlfn.STDEV.S(INDEX('Luna16-25 Sheet'!J:J,(ROW(F2)-1)*4+4):INDEX('Luna16-25 Sheet'!J:J,(ROW(F2)-1)*4+7)),"0.000")</f>
        <v>0.408 ± 0.062</v>
      </c>
      <c r="J5" t="str">
        <f>TEXT(AVERAGE(INDEX('Luna16-25 Sheet'!K:K,(ROW(G2)-1)*4+4):INDEX('Luna16-25 Sheet'!K:K,(ROW(G2)-1)*4+7)),"0.000")
&amp; " ± " &amp;
TEXT(_xlfn.STDEV.S(INDEX('Luna16-25 Sheet'!K:K,(ROW(G2)-1)*4+4):INDEX('Luna16-25 Sheet'!K:K,(ROW(G2)-1)*4+7)),"0.000")</f>
        <v>0.902 ± 0.020</v>
      </c>
      <c r="K5" t="str">
        <f>TEXT(AVERAGE(INDEX('Luna16-25 Sheet'!L:L,(ROW(H2)-1)*4+4):INDEX('Luna16-25 Sheet'!L:L,(ROW(H2)-1)*4+7)),"0.000")
&amp; " ± " &amp;
TEXT(_xlfn.STDEV.S(INDEX('Luna16-25 Sheet'!L:L,(ROW(H2)-1)*4+4):INDEX('Luna16-25 Sheet'!L:L,(ROW(H2)-1)*4+7)),"0.000")</f>
        <v>0.431 ± 0.068</v>
      </c>
      <c r="L5" t="str">
        <f>TEXT(AVERAGE(INDEX('Luna16-25 Sheet'!M:M,(ROW(I2)-1)*4+4):INDEX('Luna16-25 Sheet'!M:M,(ROW(I2)-1)*4+7)),"0.000")
&amp; " ± " &amp;
TEXT(_xlfn.STDEV.S(INDEX('Luna16-25 Sheet'!M:M,(ROW(I2)-1)*4+4):INDEX('Luna16-25 Sheet'!M:M,(ROW(I2)-1)*4+7)),"0.000")</f>
        <v>0.316 ± 0.158</v>
      </c>
      <c r="M5" t="str">
        <f>TEXT(AVERAGE(INDEX('Luna16-25 Sheet'!N:N,(ROW(J2)-1)*4+4):INDEX('Luna16-25 Sheet'!N:N,(ROW(J2)-1)*4+7)),"0.000")
&amp; " ± " &amp;
TEXT(_xlfn.STDEV.S(INDEX('Luna16-25 Sheet'!N:N,(ROW(J2)-1)*4+4):INDEX('Luna16-25 Sheet'!N:N,(ROW(J2)-1)*4+7)),"0.000")</f>
        <v>0.337 ± 0.070</v>
      </c>
      <c r="N5" t="str">
        <f>TEXT(AVERAGE(INDEX('Luna16-25 Sheet'!O:O,(ROW(K2)-1)*4+4):INDEX('Luna16-25 Sheet'!O:O,(ROW(K2)-1)*4+7)),"0.000")
&amp; " ± " &amp;
TEXT(_xlfn.STDEV.S(INDEX('Luna16-25 Sheet'!O:O,(ROW(K2)-1)*4+4):INDEX('Luna16-25 Sheet'!O:O,(ROW(K2)-1)*4+7)),"0.000")</f>
        <v>0.851 ± 0.016</v>
      </c>
      <c r="O5" s="3" t="str">
        <f>TEXT(AVERAGE(INDEX('Luna16-25 Sheet'!P:P,(ROW(L2)-1)*4+4):INDEX('Luna16-25 Sheet'!P:P,(ROW(L2)-1)*4+7)),"0.000")
&amp; " ± " &amp;
TEXT(_xlfn.STDEV.S(INDEX('Luna16-25 Sheet'!P:P,(ROW(L2)-1)*4+4):INDEX('Luna16-25 Sheet'!P:P,(ROW(L2)-1)*4+7)),"0.000")</f>
        <v>0.341 ± 0.024</v>
      </c>
    </row>
    <row r="6" spans="1:15" x14ac:dyDescent="0.25">
      <c r="A6" s="107"/>
      <c r="B6" s="107"/>
      <c r="C6" s="8">
        <v>50</v>
      </c>
      <c r="D6" s="32" t="str">
        <f>TEXT(AVERAGE(INDEX('Luna16-25 Sheet'!E:E,(ROW(A3)-1)*4+4):INDEX('Luna16-25 Sheet'!E:E,(ROW(A3)-1)*4+7)),"0.000")
&amp; " ± " &amp;
TEXT(_xlfn.STDEV.S(INDEX('Luna16-25 Sheet'!E:E,(ROW(A3)-1)*4+4):INDEX('Luna16-25 Sheet'!E:E,(ROW(A3)-1)*4+7)),"0.000")</f>
        <v>0.897 ± 0.024</v>
      </c>
      <c r="E6" s="7" t="str">
        <f>TEXT(AVERAGE(INDEX('Luna16-25 Sheet'!F:F,(ROW(B3)-1)*4+4):INDEX('Luna16-25 Sheet'!F:F,(ROW(B3)-1)*4+7)),"0.000")
&amp; " ± " &amp;
TEXT(_xlfn.STDEV.S(INDEX('Luna16-25 Sheet'!F:F,(ROW(B3)-1)*4+4):INDEX('Luna16-25 Sheet'!F:F,(ROW(B3)-1)*4+7)),"0.000")</f>
        <v>0.451 ± 0.093</v>
      </c>
      <c r="F6" s="7" t="str">
        <f>TEXT(AVERAGE(INDEX('Luna16-25 Sheet'!G:G,(ROW(C3)-1)*4+4):INDEX('Luna16-25 Sheet'!G:G,(ROW(C3)-1)*4+7)),"0.000")
&amp; " ± " &amp;
TEXT(_xlfn.STDEV.S(INDEX('Luna16-25 Sheet'!G:G,(ROW(C3)-1)*4+4):INDEX('Luna16-25 Sheet'!G:G,(ROW(C3)-1)*4+7)),"0.000")</f>
        <v>0.458 ± 0.072</v>
      </c>
      <c r="G6" s="7" t="str">
        <f>TEXT(AVERAGE(INDEX('Luna16-25 Sheet'!H:H,(ROW(D3)-1)*4+4):INDEX('Luna16-25 Sheet'!H:H,(ROW(D3)-1)*4+7)),"0.000")
&amp; " ± " &amp;
TEXT(_xlfn.STDEV.S(INDEX('Luna16-25 Sheet'!H:H,(ROW(D3)-1)*4+4):INDEX('Luna16-25 Sheet'!H:H,(ROW(D3)-1)*4+7)),"0.000")</f>
        <v>0.453 ± 0.078</v>
      </c>
      <c r="H6" s="7" t="str">
        <f>TEXT(AVERAGE(INDEX('Luna16-25 Sheet'!I:I,(ROW(E3)-1)*4+4):INDEX('Luna16-25 Sheet'!I:I,(ROW(E3)-1)*4+7)),"0.000")
&amp; " ± " &amp;
TEXT(_xlfn.STDEV.S(INDEX('Luna16-25 Sheet'!I:I,(ROW(E3)-1)*4+4):INDEX('Luna16-25 Sheet'!I:I,(ROW(E3)-1)*4+7)),"0.000")</f>
        <v>0.863 ± 0.031</v>
      </c>
      <c r="I6" s="8" t="str">
        <f>TEXT(AVERAGE(INDEX('Luna16-25 Sheet'!J:J,(ROW(F3)-1)*4+4):INDEX('Luna16-25 Sheet'!J:J,(ROW(F3)-1)*4+7)),"0.000")
&amp; " ± " &amp;
TEXT(_xlfn.STDEV.S(INDEX('Luna16-25 Sheet'!J:J,(ROW(F3)-1)*4+4):INDEX('Luna16-25 Sheet'!J:J,(ROW(F3)-1)*4+7)),"0.000")</f>
        <v>0.455 ± 0.078</v>
      </c>
      <c r="J6" s="7" t="str">
        <f>TEXT(AVERAGE(INDEX('Luna16-25 Sheet'!K:K,(ROW(G3)-1)*4+4):INDEX('Luna16-25 Sheet'!K:K,(ROW(G3)-1)*4+7)),"0.000")
&amp; " ± " &amp;
TEXT(_xlfn.STDEV.S(INDEX('Luna16-25 Sheet'!K:K,(ROW(G3)-1)*4+4):INDEX('Luna16-25 Sheet'!K:K,(ROW(G3)-1)*4+7)),"0.000")</f>
        <v>0.883 ± 0.007</v>
      </c>
      <c r="K6" s="7" t="str">
        <f>TEXT(AVERAGE(INDEX('Luna16-25 Sheet'!L:L,(ROW(H3)-1)*4+4):INDEX('Luna16-25 Sheet'!L:L,(ROW(H3)-1)*4+7)),"0.000")
&amp; " ± " &amp;
TEXT(_xlfn.STDEV.S(INDEX('Luna16-25 Sheet'!L:L,(ROW(H3)-1)*4+4):INDEX('Luna16-25 Sheet'!L:L,(ROW(H3)-1)*4+7)),"0.000")</f>
        <v>0.329 ± 0.017</v>
      </c>
      <c r="L6" s="7" t="str">
        <f>TEXT(AVERAGE(INDEX('Luna16-25 Sheet'!M:M,(ROW(I3)-1)*4+4):INDEX('Luna16-25 Sheet'!M:M,(ROW(I3)-1)*4+7)),"0.000")
&amp; " ± " &amp;
TEXT(_xlfn.STDEV.S(INDEX('Luna16-25 Sheet'!M:M,(ROW(I3)-1)*4+4):INDEX('Luna16-25 Sheet'!M:M,(ROW(I3)-1)*4+7)),"0.000")</f>
        <v>0.382 ± 0.067</v>
      </c>
      <c r="M6" s="7" t="str">
        <f>TEXT(AVERAGE(INDEX('Luna16-25 Sheet'!N:N,(ROW(J3)-1)*4+4):INDEX('Luna16-25 Sheet'!N:N,(ROW(J3)-1)*4+7)),"0.000")
&amp; " ± " &amp;
TEXT(_xlfn.STDEV.S(INDEX('Luna16-25 Sheet'!N:N,(ROW(J3)-1)*4+4):INDEX('Luna16-25 Sheet'!N:N,(ROW(J3)-1)*4+7)),"0.000")</f>
        <v>0.351 ± 0.031</v>
      </c>
      <c r="N6" s="7" t="str">
        <f>TEXT(AVERAGE(INDEX('Luna16-25 Sheet'!O:O,(ROW(K3)-1)*4+4):INDEX('Luna16-25 Sheet'!O:O,(ROW(K3)-1)*4+7)),"0.000")
&amp; " ± " &amp;
TEXT(_xlfn.STDEV.S(INDEX('Luna16-25 Sheet'!O:O,(ROW(K3)-1)*4+4):INDEX('Luna16-25 Sheet'!O:O,(ROW(K3)-1)*4+7)),"0.000")</f>
        <v>0.842 ± 0.005</v>
      </c>
      <c r="O6" s="8" t="str">
        <f>TEXT(AVERAGE(INDEX('Luna16-25 Sheet'!P:P,(ROW(L3)-1)*4+4):INDEX('Luna16-25 Sheet'!P:P,(ROW(L3)-1)*4+7)),"0.000")
&amp; " ± " &amp;
TEXT(_xlfn.STDEV.S(INDEX('Luna16-25 Sheet'!P:P,(ROW(L3)-1)*4+4):INDEX('Luna16-25 Sheet'!P:P,(ROW(L3)-1)*4+7)),"0.000")</f>
        <v>0.329 ± 0.020</v>
      </c>
    </row>
    <row r="7" spans="1:15" x14ac:dyDescent="0.25">
      <c r="A7" s="103" t="s">
        <v>24</v>
      </c>
      <c r="B7" s="103" t="s">
        <v>104</v>
      </c>
      <c r="C7" s="10">
        <v>18</v>
      </c>
      <c r="D7" s="44" t="str">
        <f>TEXT(AVERAGE(INDEX('Luna16-25 Sheet'!E:E,(ROW(A4)-1)*4+4):INDEX('Luna16-25 Sheet'!E:E,(ROW(A4)-1)*4+7)),"0.000")
&amp; " ± " &amp;
TEXT(_xlfn.STDEV.S(INDEX('Luna16-25 Sheet'!E:E,(ROW(A4)-1)*4+4):INDEX('Luna16-25 Sheet'!E:E,(ROW(A4)-1)*4+7)),"0.000")</f>
        <v>0.888 ± 0.029</v>
      </c>
      <c r="E7" t="str">
        <f>TEXT(AVERAGE(INDEX('Luna16-25 Sheet'!F:F,(ROW(B4)-1)*4+4):INDEX('Luna16-25 Sheet'!F:F,(ROW(B4)-1)*4+7)),"0.000")
&amp; " ± " &amp;
TEXT(_xlfn.STDEV.S(INDEX('Luna16-25 Sheet'!F:F,(ROW(B4)-1)*4+4):INDEX('Luna16-25 Sheet'!F:F,(ROW(B4)-1)*4+7)),"0.000")</f>
        <v>0.431 ± 0.066</v>
      </c>
      <c r="F7" t="str">
        <f>TEXT(AVERAGE(INDEX('Luna16-25 Sheet'!G:G,(ROW(C4)-1)*4+4):INDEX('Luna16-25 Sheet'!G:G,(ROW(C4)-1)*4+7)),"0.000")
&amp; " ± " &amp;
TEXT(_xlfn.STDEV.S(INDEX('Luna16-25 Sheet'!G:G,(ROW(C4)-1)*4+4):INDEX('Luna16-25 Sheet'!G:G,(ROW(C4)-1)*4+7)),"0.000")</f>
        <v>0.592 ± 0.015</v>
      </c>
      <c r="G7" t="str">
        <f>TEXT(AVERAGE(INDEX('Luna16-25 Sheet'!H:H,(ROW(D4)-1)*4+4):INDEX('Luna16-25 Sheet'!H:H,(ROW(D4)-1)*4+7)),"0.000")
&amp; " ± " &amp;
TEXT(_xlfn.STDEV.S(INDEX('Luna16-25 Sheet'!H:H,(ROW(D4)-1)*4+4):INDEX('Luna16-25 Sheet'!H:H,(ROW(D4)-1)*4+7)),"0.000")</f>
        <v>0.497 ± 0.049</v>
      </c>
      <c r="H7" t="str">
        <f>TEXT(AVERAGE(INDEX('Luna16-25 Sheet'!I:I,(ROW(E4)-1)*4+4):INDEX('Luna16-25 Sheet'!I:I,(ROW(E4)-1)*4+7)),"0.000")
&amp; " ± " &amp;
TEXT(_xlfn.STDEV.S(INDEX('Luna16-25 Sheet'!I:I,(ROW(E4)-1)*4+4):INDEX('Luna16-25 Sheet'!I:I,(ROW(E4)-1)*4+7)),"0.000")</f>
        <v>0.876 ± 0.020</v>
      </c>
      <c r="I7" s="3" t="str">
        <f>TEXT(AVERAGE(INDEX('Luna16-25 Sheet'!J:J,(ROW(F4)-1)*4+4):INDEX('Luna16-25 Sheet'!J:J,(ROW(F4)-1)*4+7)),"0.000")
&amp; " ± " &amp;
TEXT(_xlfn.STDEV.S(INDEX('Luna16-25 Sheet'!J:J,(ROW(F4)-1)*4+4):INDEX('Luna16-25 Sheet'!J:J,(ROW(F4)-1)*4+7)),"0.000")</f>
        <v>0.452 ± 0.093</v>
      </c>
      <c r="J7" t="str">
        <f>TEXT(AVERAGE(INDEX('Luna16-25 Sheet'!K:K,(ROW(G4)-1)*4+4):INDEX('Luna16-25 Sheet'!K:K,(ROW(G4)-1)*4+7)),"0.000")
&amp; " ± " &amp;
TEXT(_xlfn.STDEV.S(INDEX('Luna16-25 Sheet'!K:K,(ROW(G4)-1)*4+4):INDEX('Luna16-25 Sheet'!K:K,(ROW(G4)-1)*4+7)),"0.000")</f>
        <v>0.871 ± 0.023</v>
      </c>
      <c r="K7" t="str">
        <f>TEXT(AVERAGE(INDEX('Luna16-25 Sheet'!L:L,(ROW(H4)-1)*4+4):INDEX('Luna16-25 Sheet'!L:L,(ROW(H4)-1)*4+7)),"0.000")
&amp; " ± " &amp;
TEXT(_xlfn.STDEV.S(INDEX('Luna16-25 Sheet'!L:L,(ROW(H4)-1)*4+4):INDEX('Luna16-25 Sheet'!L:L,(ROW(H4)-1)*4+7)),"0.000")</f>
        <v>0.342 ± 0.051</v>
      </c>
      <c r="L7" t="str">
        <f>TEXT(AVERAGE(INDEX('Luna16-25 Sheet'!M:M,(ROW(I4)-1)*4+4):INDEX('Luna16-25 Sheet'!M:M,(ROW(I4)-1)*4+7)),"0.000")
&amp; " ± " &amp;
TEXT(_xlfn.STDEV.S(INDEX('Luna16-25 Sheet'!M:M,(ROW(I4)-1)*4+4):INDEX('Luna16-25 Sheet'!M:M,(ROW(I4)-1)*4+7)),"0.000")</f>
        <v>0.539 ± 0.046</v>
      </c>
      <c r="M7" t="str">
        <f>TEXT(AVERAGE(INDEX('Luna16-25 Sheet'!N:N,(ROW(J4)-1)*4+4):INDEX('Luna16-25 Sheet'!N:N,(ROW(J4)-1)*4+7)),"0.000")
&amp; " ± " &amp;
TEXT(_xlfn.STDEV.S(INDEX('Luna16-25 Sheet'!N:N,(ROW(J4)-1)*4+4):INDEX('Luna16-25 Sheet'!N:N,(ROW(J4)-1)*4+7)),"0.000")</f>
        <v>0.414 ± 0.025</v>
      </c>
      <c r="N7" t="str">
        <f>TEXT(AVERAGE(INDEX('Luna16-25 Sheet'!O:O,(ROW(K4)-1)*4+4):INDEX('Luna16-25 Sheet'!O:O,(ROW(K4)-1)*4+7)),"0.000")
&amp; " ± " &amp;
TEXT(_xlfn.STDEV.S(INDEX('Luna16-25 Sheet'!O:O,(ROW(K4)-1)*4+4):INDEX('Luna16-25 Sheet'!O:O,(ROW(K4)-1)*4+7)),"0.000")</f>
        <v>0.861 ± 0.008</v>
      </c>
      <c r="O7" s="3" t="str">
        <f>TEXT(AVERAGE(INDEX('Luna16-25 Sheet'!P:P,(ROW(L4)-1)*4+4):INDEX('Luna16-25 Sheet'!P:P,(ROW(L4)-1)*4+7)),"0.000")
&amp; " ± " &amp;
TEXT(_xlfn.STDEV.S(INDEX('Luna16-25 Sheet'!P:P,(ROW(L4)-1)*4+4):INDEX('Luna16-25 Sheet'!P:P,(ROW(L4)-1)*4+7)),"0.000")</f>
        <v>0.428 ± 0.021</v>
      </c>
    </row>
    <row r="8" spans="1:15" x14ac:dyDescent="0.25">
      <c r="A8" s="105"/>
      <c r="B8" s="105"/>
      <c r="C8" s="3">
        <v>34</v>
      </c>
      <c r="D8" s="44" t="str">
        <f>TEXT(AVERAGE(INDEX('Luna16-25 Sheet'!E:E,(ROW(A5)-1)*4+4):INDEX('Luna16-25 Sheet'!E:E,(ROW(A5)-1)*4+7)),"0.000")
&amp; " ± " &amp;
TEXT(_xlfn.STDEV.S(INDEX('Luna16-25 Sheet'!E:E,(ROW(A5)-1)*4+4):INDEX('Luna16-25 Sheet'!E:E,(ROW(A5)-1)*4+7)),"0.000")</f>
        <v>0.885 ± 0.031</v>
      </c>
      <c r="E8" t="str">
        <f>TEXT(AVERAGE(INDEX('Luna16-25 Sheet'!F:F,(ROW(B5)-1)*4+4):INDEX('Luna16-25 Sheet'!F:F,(ROW(B5)-1)*4+7)),"0.000")
&amp; " ± " &amp;
TEXT(_xlfn.STDEV.S(INDEX('Luna16-25 Sheet'!F:F,(ROW(B5)-1)*4+4):INDEX('Luna16-25 Sheet'!F:F,(ROW(B5)-1)*4+7)),"0.000")</f>
        <v>0.420 ± 0.067</v>
      </c>
      <c r="F8" t="str">
        <f>TEXT(AVERAGE(INDEX('Luna16-25 Sheet'!G:G,(ROW(C5)-1)*4+4):INDEX('Luna16-25 Sheet'!G:G,(ROW(C5)-1)*4+7)),"0.000")
&amp; " ± " &amp;
TEXT(_xlfn.STDEV.S(INDEX('Luna16-25 Sheet'!G:G,(ROW(C5)-1)*4+4):INDEX('Luna16-25 Sheet'!G:G,(ROW(C5)-1)*4+7)),"0.000")</f>
        <v>0.515 ± 0.088</v>
      </c>
      <c r="G8" t="str">
        <f>TEXT(AVERAGE(INDEX('Luna16-25 Sheet'!H:H,(ROW(D5)-1)*4+4):INDEX('Luna16-25 Sheet'!H:H,(ROW(D5)-1)*4+7)),"0.000")
&amp; " ± " &amp;
TEXT(_xlfn.STDEV.S(INDEX('Luna16-25 Sheet'!H:H,(ROW(D5)-1)*4+4):INDEX('Luna16-25 Sheet'!H:H,(ROW(D5)-1)*4+7)),"0.000")</f>
        <v>0.454 ± 0.035</v>
      </c>
      <c r="H8" t="str">
        <f>TEXT(AVERAGE(INDEX('Luna16-25 Sheet'!I:I,(ROW(E5)-1)*4+4):INDEX('Luna16-25 Sheet'!I:I,(ROW(E5)-1)*4+7)),"0.000")
&amp; " ± " &amp;
TEXT(_xlfn.STDEV.S(INDEX('Luna16-25 Sheet'!I:I,(ROW(E5)-1)*4+4):INDEX('Luna16-25 Sheet'!I:I,(ROW(E5)-1)*4+7)),"0.000")</f>
        <v>0.873 ± 0.017</v>
      </c>
      <c r="I8" s="3" t="str">
        <f>TEXT(AVERAGE(INDEX('Luna16-25 Sheet'!J:J,(ROW(F5)-1)*4+4):INDEX('Luna16-25 Sheet'!J:J,(ROW(F5)-1)*4+7)),"0.000")
&amp; " ± " &amp;
TEXT(_xlfn.STDEV.S(INDEX('Luna16-25 Sheet'!J:J,(ROW(F5)-1)*4+4):INDEX('Luna16-25 Sheet'!J:J,(ROW(F5)-1)*4+7)),"0.000")</f>
        <v>0.431 ± 0.070</v>
      </c>
      <c r="J8" t="str">
        <f>TEXT(AVERAGE(INDEX('Luna16-25 Sheet'!K:K,(ROW(G5)-1)*4+4):INDEX('Luna16-25 Sheet'!K:K,(ROW(G5)-1)*4+7)),"0.000")
&amp; " ± " &amp;
TEXT(_xlfn.STDEV.S(INDEX('Luna16-25 Sheet'!K:K,(ROW(G5)-1)*4+4):INDEX('Luna16-25 Sheet'!K:K,(ROW(G5)-1)*4+7)),"0.000")</f>
        <v>0.873 ± 0.026</v>
      </c>
      <c r="K8" t="str">
        <f>TEXT(AVERAGE(INDEX('Luna16-25 Sheet'!L:L,(ROW(H5)-1)*4+4):INDEX('Luna16-25 Sheet'!L:L,(ROW(H5)-1)*4+7)),"0.000")
&amp; " ± " &amp;
TEXT(_xlfn.STDEV.S(INDEX('Luna16-25 Sheet'!L:L,(ROW(H5)-1)*4+4):INDEX('Luna16-25 Sheet'!L:L,(ROW(H5)-1)*4+7)),"0.000")</f>
        <v>0.348 ± 0.053</v>
      </c>
      <c r="L8" t="str">
        <f>TEXT(AVERAGE(INDEX('Luna16-25 Sheet'!M:M,(ROW(I5)-1)*4+4):INDEX('Luna16-25 Sheet'!M:M,(ROW(I5)-1)*4+7)),"0.000")
&amp; " ± " &amp;
TEXT(_xlfn.STDEV.S(INDEX('Luna16-25 Sheet'!M:M,(ROW(I5)-1)*4+4):INDEX('Luna16-25 Sheet'!M:M,(ROW(I5)-1)*4+7)),"0.000")</f>
        <v>0.532 ± 0.092</v>
      </c>
      <c r="M8" t="str">
        <f>TEXT(AVERAGE(INDEX('Luna16-25 Sheet'!N:N,(ROW(J5)-1)*4+4):INDEX('Luna16-25 Sheet'!N:N,(ROW(J5)-1)*4+7)),"0.000")
&amp; " ± " &amp;
TEXT(_xlfn.STDEV.S(INDEX('Luna16-25 Sheet'!N:N,(ROW(J5)-1)*4+4):INDEX('Luna16-25 Sheet'!N:N,(ROW(J5)-1)*4+7)),"0.000")</f>
        <v>0.414 ± 0.022</v>
      </c>
      <c r="N8" t="str">
        <f>TEXT(AVERAGE(INDEX('Luna16-25 Sheet'!O:O,(ROW(K5)-1)*4+4):INDEX('Luna16-25 Sheet'!O:O,(ROW(K5)-1)*4+7)),"0.000")
&amp; " ± " &amp;
TEXT(_xlfn.STDEV.S(INDEX('Luna16-25 Sheet'!O:O,(ROW(K5)-1)*4+4):INDEX('Luna16-25 Sheet'!O:O,(ROW(K5)-1)*4+7)),"0.000")</f>
        <v>0.853 ± 0.020</v>
      </c>
      <c r="O8" s="3" t="str">
        <f>TEXT(AVERAGE(INDEX('Luna16-25 Sheet'!P:P,(ROW(L5)-1)*4+4):INDEX('Luna16-25 Sheet'!P:P,(ROW(L5)-1)*4+7)),"0.000")
&amp; " ± " &amp;
TEXT(_xlfn.STDEV.S(INDEX('Luna16-25 Sheet'!P:P,(ROW(L5)-1)*4+4):INDEX('Luna16-25 Sheet'!P:P,(ROW(L5)-1)*4+7)),"0.000")</f>
        <v>0.398 ± 0.044</v>
      </c>
    </row>
    <row r="9" spans="1:15" x14ac:dyDescent="0.25">
      <c r="A9" s="107"/>
      <c r="B9" s="107"/>
      <c r="C9" s="8">
        <v>50</v>
      </c>
      <c r="D9" s="32" t="str">
        <f>TEXT(AVERAGE(INDEX('Luna16-25 Sheet'!E:E,(ROW(A6)-1)*4+4):INDEX('Luna16-25 Sheet'!E:E,(ROW(A6)-1)*4+7)),"0.000")
&amp; " ± " &amp;
TEXT(_xlfn.STDEV.S(INDEX('Luna16-25 Sheet'!E:E,(ROW(A6)-1)*4+4):INDEX('Luna16-25 Sheet'!E:E,(ROW(A6)-1)*4+7)),"0.000")</f>
        <v>0.880 ± 0.007</v>
      </c>
      <c r="E9" s="7" t="str">
        <f>TEXT(AVERAGE(INDEX('Luna16-25 Sheet'!F:F,(ROW(B6)-1)*4+4):INDEX('Luna16-25 Sheet'!F:F,(ROW(B6)-1)*4+7)),"0.000")
&amp; " ± " &amp;
TEXT(_xlfn.STDEV.S(INDEX('Luna16-25 Sheet'!F:F,(ROW(B6)-1)*4+4):INDEX('Luna16-25 Sheet'!F:F,(ROW(B6)-1)*4+7)),"0.000")</f>
        <v>0.393 ± 0.009</v>
      </c>
      <c r="F9" s="7" t="str">
        <f>TEXT(AVERAGE(INDEX('Luna16-25 Sheet'!G:G,(ROW(C6)-1)*4+4):INDEX('Luna16-25 Sheet'!G:G,(ROW(C6)-1)*4+7)),"0.000")
&amp; " ± " &amp;
TEXT(_xlfn.STDEV.S(INDEX('Luna16-25 Sheet'!G:G,(ROW(C6)-1)*4+4):INDEX('Luna16-25 Sheet'!G:G,(ROW(C6)-1)*4+7)),"0.000")</f>
        <v>0.575 ± 0.160</v>
      </c>
      <c r="G9" s="7" t="str">
        <f>TEXT(AVERAGE(INDEX('Luna16-25 Sheet'!H:H,(ROW(D6)-1)*4+4):INDEX('Luna16-25 Sheet'!H:H,(ROW(D6)-1)*4+7)),"0.000")
&amp; " ± " &amp;
TEXT(_xlfn.STDEV.S(INDEX('Luna16-25 Sheet'!H:H,(ROW(D6)-1)*4+4):INDEX('Luna16-25 Sheet'!H:H,(ROW(D6)-1)*4+7)),"0.000")</f>
        <v>0.460 ± 0.064</v>
      </c>
      <c r="H9" s="7" t="str">
        <f>TEXT(AVERAGE(INDEX('Luna16-25 Sheet'!I:I,(ROW(E6)-1)*4+4):INDEX('Luna16-25 Sheet'!I:I,(ROW(E6)-1)*4+7)),"0.000")
&amp; " ± " &amp;
TEXT(_xlfn.STDEV.S(INDEX('Luna16-25 Sheet'!I:I,(ROW(E6)-1)*4+4):INDEX('Luna16-25 Sheet'!I:I,(ROW(E6)-1)*4+7)),"0.000")</f>
        <v>0.877 ± 0.014</v>
      </c>
      <c r="I9" s="8" t="str">
        <f>TEXT(AVERAGE(INDEX('Luna16-25 Sheet'!J:J,(ROW(F6)-1)*4+4):INDEX('Luna16-25 Sheet'!J:J,(ROW(F6)-1)*4+7)),"0.000")
&amp; " ± " &amp;
TEXT(_xlfn.STDEV.S(INDEX('Luna16-25 Sheet'!J:J,(ROW(F6)-1)*4+4):INDEX('Luna16-25 Sheet'!J:J,(ROW(F6)-1)*4+7)),"0.000")</f>
        <v>0.428 ± 0.046</v>
      </c>
      <c r="J9" s="7" t="str">
        <f>TEXT(AVERAGE(INDEX('Luna16-25 Sheet'!K:K,(ROW(G6)-1)*4+4):INDEX('Luna16-25 Sheet'!K:K,(ROW(G6)-1)*4+7)),"0.000")
&amp; " ± " &amp;
TEXT(_xlfn.STDEV.S(INDEX('Luna16-25 Sheet'!K:K,(ROW(G6)-1)*4+4):INDEX('Luna16-25 Sheet'!K:K,(ROW(G6)-1)*4+7)),"0.000")</f>
        <v>0.866 ± 0.016</v>
      </c>
      <c r="K9" s="7" t="str">
        <f>TEXT(AVERAGE(INDEX('Luna16-25 Sheet'!L:L,(ROW(H6)-1)*4+4):INDEX('Luna16-25 Sheet'!L:L,(ROW(H6)-1)*4+7)),"0.000")
&amp; " ± " &amp;
TEXT(_xlfn.STDEV.S(INDEX('Luna16-25 Sheet'!L:L,(ROW(H6)-1)*4+4):INDEX('Luna16-25 Sheet'!L:L,(ROW(H6)-1)*4+7)),"0.000")</f>
        <v>0.330 ± 0.024</v>
      </c>
      <c r="L9" s="7" t="str">
        <f>TEXT(AVERAGE(INDEX('Luna16-25 Sheet'!M:M,(ROW(I6)-1)*4+4):INDEX('Luna16-25 Sheet'!M:M,(ROW(I6)-1)*4+7)),"0.000")
&amp; " ± " &amp;
TEXT(_xlfn.STDEV.S(INDEX('Luna16-25 Sheet'!M:M,(ROW(I6)-1)*4+4):INDEX('Luna16-25 Sheet'!M:M,(ROW(I6)-1)*4+7)),"0.000")</f>
        <v>0.561 ± 0.072</v>
      </c>
      <c r="M9" s="7" t="str">
        <f>TEXT(AVERAGE(INDEX('Luna16-25 Sheet'!N:N,(ROW(J6)-1)*4+4):INDEX('Luna16-25 Sheet'!N:N,(ROW(J6)-1)*4+7)),"0.000")
&amp; " ± " &amp;
TEXT(_xlfn.STDEV.S(INDEX('Luna16-25 Sheet'!N:N,(ROW(J6)-1)*4+4):INDEX('Luna16-25 Sheet'!N:N,(ROW(J6)-1)*4+7)),"0.000")</f>
        <v>0.413 ± 0.010</v>
      </c>
      <c r="N9" s="7" t="str">
        <f>TEXT(AVERAGE(INDEX('Luna16-25 Sheet'!O:O,(ROW(K6)-1)*4+4):INDEX('Luna16-25 Sheet'!O:O,(ROW(K6)-1)*4+7)),"0.000")
&amp; " ± " &amp;
TEXT(_xlfn.STDEV.S(INDEX('Luna16-25 Sheet'!O:O,(ROW(K6)-1)*4+4):INDEX('Luna16-25 Sheet'!O:O,(ROW(K6)-1)*4+7)),"0.000")</f>
        <v>0.855 ± 0.011</v>
      </c>
      <c r="O9" s="8" t="str">
        <f>TEXT(AVERAGE(INDEX('Luna16-25 Sheet'!P:P,(ROW(L6)-1)*4+4):INDEX('Luna16-25 Sheet'!P:P,(ROW(L6)-1)*4+7)),"0.000")
&amp; " ± " &amp;
TEXT(_xlfn.STDEV.S(INDEX('Luna16-25 Sheet'!P:P,(ROW(L6)-1)*4+4):INDEX('Luna16-25 Sheet'!P:P,(ROW(L6)-1)*4+7)),"0.000")</f>
        <v>0.383 ± 0.059</v>
      </c>
    </row>
    <row r="10" spans="1:15" x14ac:dyDescent="0.25">
      <c r="A10" s="24" t="s">
        <v>24</v>
      </c>
      <c r="B10" s="107" t="s">
        <v>27</v>
      </c>
      <c r="C10" s="108"/>
      <c r="D10" s="32" t="str">
        <f>TEXT(AVERAGE(INDEX('Luna16-25 Sheet'!E:E,(ROW(A7)-1)*4+4):INDEX('Luna16-25 Sheet'!E:E,(ROW(A7)-1)*4+7)),"0.000")
&amp; " ± " &amp;
TEXT(_xlfn.STDEV.S(INDEX('Luna16-25 Sheet'!E:E,(ROW(A7)-1)*4+4):INDEX('Luna16-25 Sheet'!E:E,(ROW(A7)-1)*4+7)),"0.000")</f>
        <v>0.883 ± 0.028</v>
      </c>
      <c r="E10" s="7" t="str">
        <f>TEXT(AVERAGE(INDEX('Luna16-25 Sheet'!F:F,(ROW(B7)-1)*4+4):INDEX('Luna16-25 Sheet'!F:F,(ROW(B7)-1)*4+7)),"0.000")
&amp; " ± " &amp;
TEXT(_xlfn.STDEV.S(INDEX('Luna16-25 Sheet'!F:F,(ROW(B7)-1)*4+4):INDEX('Luna16-25 Sheet'!F:F,(ROW(B7)-1)*4+7)),"0.000")</f>
        <v>0.355 ± 0.043</v>
      </c>
      <c r="F10" s="7" t="str">
        <f>TEXT(AVERAGE(INDEX('Luna16-25 Sheet'!G:G,(ROW(C7)-1)*4+4):INDEX('Luna16-25 Sheet'!G:G,(ROW(C7)-1)*4+7)),"0.000")
&amp; " ± " &amp;
TEXT(_xlfn.STDEV.S(INDEX('Luna16-25 Sheet'!G:G,(ROW(C7)-1)*4+4):INDEX('Luna16-25 Sheet'!G:G,(ROW(C7)-1)*4+7)),"0.000")</f>
        <v>0.285 ± 0.097</v>
      </c>
      <c r="G10" s="7" t="str">
        <f>TEXT(AVERAGE(INDEX('Luna16-25 Sheet'!H:H,(ROW(D7)-1)*4+4):INDEX('Luna16-25 Sheet'!H:H,(ROW(D7)-1)*4+7)),"0.000")
&amp; " ± " &amp;
TEXT(_xlfn.STDEV.S(INDEX('Luna16-25 Sheet'!H:H,(ROW(D7)-1)*4+4):INDEX('Luna16-25 Sheet'!H:H,(ROW(D7)-1)*4+7)),"0.000")</f>
        <v>0.304 ± 0.043</v>
      </c>
      <c r="H10" s="7" t="str">
        <f>TEXT(AVERAGE(INDEX('Luna16-25 Sheet'!I:I,(ROW(E7)-1)*4+4):INDEX('Luna16-25 Sheet'!I:I,(ROW(E7)-1)*4+7)),"0.000")
&amp; " ± " &amp;
TEXT(_xlfn.STDEV.S(INDEX('Luna16-25 Sheet'!I:I,(ROW(E7)-1)*4+4):INDEX('Luna16-25 Sheet'!I:I,(ROW(E7)-1)*4+7)),"0.000")</f>
        <v>0.807 ± 0.032</v>
      </c>
      <c r="I10" s="8" t="str">
        <f>TEXT(AVERAGE(INDEX('Luna16-25 Sheet'!J:J,(ROW(F7)-1)*4+4):INDEX('Luna16-25 Sheet'!J:J,(ROW(F7)-1)*4+7)),"0.000")
&amp; " ± " &amp;
TEXT(_xlfn.STDEV.S(INDEX('Luna16-25 Sheet'!J:J,(ROW(F7)-1)*4+4):INDEX('Luna16-25 Sheet'!J:J,(ROW(F7)-1)*4+7)),"0.000")</f>
        <v>0.315 ± 0.030</v>
      </c>
      <c r="J10" s="7" t="str">
        <f>TEXT(AVERAGE(INDEX('Luna16-25 Sheet'!K:K,(ROW(G7)-1)*4+4):INDEX('Luna16-25 Sheet'!K:K,(ROW(G7)-1)*4+7)),"0.000")
&amp; " ± " &amp;
TEXT(_xlfn.STDEV.S(INDEX('Luna16-25 Sheet'!K:K,(ROW(G7)-1)*4+4):INDEX('Luna16-25 Sheet'!K:K,(ROW(G7)-1)*4+7)),"0.000")</f>
        <v>0.878 ± 0.025</v>
      </c>
      <c r="K10" s="7" t="str">
        <f>TEXT(AVERAGE(INDEX('Luna16-25 Sheet'!L:L,(ROW(H7)-1)*4+4):INDEX('Luna16-25 Sheet'!L:L,(ROW(H7)-1)*4+7)),"0.000")
&amp; " ± " &amp;
TEXT(_xlfn.STDEV.S(INDEX('Luna16-25 Sheet'!L:L,(ROW(H7)-1)*4+4):INDEX('Luna16-25 Sheet'!L:L,(ROW(H7)-1)*4+7)),"0.000")</f>
        <v>0.287 ± 0.045</v>
      </c>
      <c r="L10" s="7" t="str">
        <f>TEXT(AVERAGE(INDEX('Luna16-25 Sheet'!M:M,(ROW(I7)-1)*4+4):INDEX('Luna16-25 Sheet'!M:M,(ROW(I7)-1)*4+7)),"0.000")
&amp; " ± " &amp;
TEXT(_xlfn.STDEV.S(INDEX('Luna16-25 Sheet'!M:M,(ROW(I7)-1)*4+4):INDEX('Luna16-25 Sheet'!M:M,(ROW(I7)-1)*4+7)),"0.000")</f>
        <v>0.280 ± 0.136</v>
      </c>
      <c r="M10" s="7" t="str">
        <f>TEXT(AVERAGE(INDEX('Luna16-25 Sheet'!N:N,(ROW(J7)-1)*4+4):INDEX('Luna16-25 Sheet'!N:N,(ROW(J7)-1)*4+7)),"0.000")
&amp; " ± " &amp;
TEXT(_xlfn.STDEV.S(INDEX('Luna16-25 Sheet'!N:N,(ROW(J7)-1)*4+4):INDEX('Luna16-25 Sheet'!N:N,(ROW(J7)-1)*4+7)),"0.000")</f>
        <v>0.265 ± 0.061</v>
      </c>
      <c r="N10" s="7" t="str">
        <f>TEXT(AVERAGE(INDEX('Luna16-25 Sheet'!O:O,(ROW(K7)-1)*4+4):INDEX('Luna16-25 Sheet'!O:O,(ROW(K7)-1)*4+7)),"0.000")
&amp; " ± " &amp;
TEXT(_xlfn.STDEV.S(INDEX('Luna16-25 Sheet'!O:O,(ROW(K7)-1)*4+4):INDEX('Luna16-25 Sheet'!O:O,(ROW(K7)-1)*4+7)),"0.000")</f>
        <v>0.787 ± 0.032</v>
      </c>
      <c r="O10" s="8" t="str">
        <f>TEXT(AVERAGE(INDEX('Luna16-25 Sheet'!P:P,(ROW(L7)-1)*4+4):INDEX('Luna16-25 Sheet'!P:P,(ROW(L7)-1)*4+7)),"0.000")
&amp; " ± " &amp;
TEXT(_xlfn.STDEV.S(INDEX('Luna16-25 Sheet'!P:P,(ROW(L7)-1)*4+4):INDEX('Luna16-25 Sheet'!P:P,(ROW(L7)-1)*4+7)),"0.000")</f>
        <v>0.253 ± 0.018</v>
      </c>
    </row>
  </sheetData>
  <mergeCells count="23">
    <mergeCell ref="A7:A9"/>
    <mergeCell ref="B7:B9"/>
    <mergeCell ref="B10:C10"/>
    <mergeCell ref="D1:I1"/>
    <mergeCell ref="J1:O1"/>
    <mergeCell ref="D2:D3"/>
    <mergeCell ref="E2:E3"/>
    <mergeCell ref="F2:F3"/>
    <mergeCell ref="G2:G3"/>
    <mergeCell ref="H2:H3"/>
    <mergeCell ref="A1:A3"/>
    <mergeCell ref="B1:C1"/>
    <mergeCell ref="B2:B3"/>
    <mergeCell ref="C2:C3"/>
    <mergeCell ref="A4:A6"/>
    <mergeCell ref="B4:B6"/>
    <mergeCell ref="O2:O3"/>
    <mergeCell ref="I2:I3"/>
    <mergeCell ref="J2:J3"/>
    <mergeCell ref="K2:K3"/>
    <mergeCell ref="L2:L3"/>
    <mergeCell ref="M2:M3"/>
    <mergeCell ref="N2:N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551C-3AFE-4FEA-A62E-C99B52555B90}">
  <sheetPr>
    <tabColor theme="8" tint="0.79998168889431442"/>
  </sheetPr>
  <dimension ref="A1:AB47"/>
  <sheetViews>
    <sheetView topLeftCell="A20" workbookViewId="0">
      <selection activeCell="E38" sqref="E38"/>
    </sheetView>
  </sheetViews>
  <sheetFormatPr defaultRowHeight="15" x14ac:dyDescent="0.25"/>
  <cols>
    <col min="1" max="1" width="15" customWidth="1"/>
    <col min="2" max="2" width="16.7109375" bestFit="1" customWidth="1"/>
    <col min="3" max="3" width="15.7109375" bestFit="1" customWidth="1"/>
    <col min="4" max="4" width="12.42578125" customWidth="1"/>
    <col min="5" max="5" width="18.140625" customWidth="1"/>
    <col min="6" max="17" width="15.7109375" bestFit="1" customWidth="1"/>
    <col min="26" max="26" width="26.5703125" customWidth="1"/>
    <col min="27" max="27" width="13.140625" customWidth="1"/>
    <col min="28" max="28" width="14.28515625" customWidth="1"/>
  </cols>
  <sheetData>
    <row r="1" spans="1:28" x14ac:dyDescent="0.25">
      <c r="A1" s="126" t="s">
        <v>0</v>
      </c>
      <c r="B1" s="128"/>
      <c r="C1" s="126" t="s">
        <v>12</v>
      </c>
      <c r="D1" s="166" t="s">
        <v>72</v>
      </c>
      <c r="E1" s="167"/>
      <c r="F1" s="148" t="s">
        <v>13</v>
      </c>
      <c r="G1" s="115"/>
      <c r="H1" s="115"/>
      <c r="I1" s="115"/>
      <c r="J1" s="115"/>
      <c r="K1" s="116"/>
      <c r="L1" s="117" t="s">
        <v>14</v>
      </c>
      <c r="M1" s="118"/>
      <c r="N1" s="118"/>
      <c r="O1" s="118"/>
      <c r="P1" s="118"/>
      <c r="Q1" s="118"/>
      <c r="R1" s="164" t="s">
        <v>96</v>
      </c>
      <c r="S1" s="165"/>
      <c r="T1" s="165"/>
      <c r="U1" s="165"/>
      <c r="V1" s="165"/>
      <c r="W1" s="165"/>
      <c r="X1" s="19"/>
    </row>
    <row r="2" spans="1:28" x14ac:dyDescent="0.25">
      <c r="A2" s="126" t="s">
        <v>16</v>
      </c>
      <c r="B2" s="128" t="s">
        <v>17</v>
      </c>
      <c r="C2" s="126"/>
      <c r="D2" s="168" t="s">
        <v>73</v>
      </c>
      <c r="E2" s="160" t="s">
        <v>74</v>
      </c>
      <c r="F2" s="162" t="s">
        <v>19</v>
      </c>
      <c r="G2" s="162"/>
      <c r="H2" s="162"/>
      <c r="I2" s="163" t="s">
        <v>71</v>
      </c>
      <c r="J2" s="163"/>
      <c r="K2" s="163"/>
      <c r="L2" s="162" t="s">
        <v>19</v>
      </c>
      <c r="M2" s="162"/>
      <c r="N2" s="162"/>
      <c r="O2" s="163" t="s">
        <v>71</v>
      </c>
      <c r="P2" s="163"/>
      <c r="Q2" s="163"/>
      <c r="R2" s="162" t="s">
        <v>19</v>
      </c>
      <c r="S2" s="162"/>
      <c r="T2" s="162"/>
      <c r="U2" s="163" t="s">
        <v>71</v>
      </c>
      <c r="V2" s="163"/>
      <c r="W2" s="163"/>
      <c r="X2" s="22"/>
      <c r="Y2" s="15"/>
      <c r="Z2" s="15"/>
      <c r="AA2" s="15"/>
    </row>
    <row r="3" spans="1:28" ht="15.75" thickBot="1" x14ac:dyDescent="0.3">
      <c r="A3" s="127"/>
      <c r="B3" s="129"/>
      <c r="C3" s="127"/>
      <c r="D3" s="169"/>
      <c r="E3" s="161"/>
      <c r="F3" s="20" t="s">
        <v>4</v>
      </c>
      <c r="G3" s="20" t="s">
        <v>5</v>
      </c>
      <c r="H3" s="20" t="s">
        <v>70</v>
      </c>
      <c r="I3" s="21" t="s">
        <v>4</v>
      </c>
      <c r="J3" s="20" t="s">
        <v>5</v>
      </c>
      <c r="K3" s="20" t="s">
        <v>70</v>
      </c>
      <c r="L3" s="20" t="s">
        <v>4</v>
      </c>
      <c r="M3" s="20" t="s">
        <v>5</v>
      </c>
      <c r="N3" s="20" t="s">
        <v>70</v>
      </c>
      <c r="O3" s="21" t="s">
        <v>4</v>
      </c>
      <c r="P3" s="20" t="s">
        <v>5</v>
      </c>
      <c r="Q3" s="20" t="s">
        <v>70</v>
      </c>
      <c r="R3" s="20" t="s">
        <v>4</v>
      </c>
      <c r="S3" s="20" t="s">
        <v>5</v>
      </c>
      <c r="T3" s="20" t="s">
        <v>70</v>
      </c>
      <c r="U3" s="21" t="s">
        <v>4</v>
      </c>
      <c r="V3" s="20" t="s">
        <v>5</v>
      </c>
      <c r="W3" s="20" t="s">
        <v>70</v>
      </c>
      <c r="X3" s="19"/>
    </row>
    <row r="4" spans="1:28" x14ac:dyDescent="0.25">
      <c r="A4" s="111" t="s">
        <v>18</v>
      </c>
      <c r="B4" s="111">
        <v>18</v>
      </c>
      <c r="C4" s="11">
        <v>1</v>
      </c>
      <c r="D4">
        <f>'Main Sheet'!E4</f>
        <v>34</v>
      </c>
      <c r="E4" s="3">
        <f>'Main Sheet'!E16</f>
        <v>26</v>
      </c>
      <c r="F4" s="6">
        <f>'Main Sheet'!I4</f>
        <v>0.39072847366333002</v>
      </c>
      <c r="G4" s="6">
        <f>'Main Sheet'!J4</f>
        <v>0.82061576843261697</v>
      </c>
      <c r="H4" s="6">
        <f>'Main Sheet'!K4</f>
        <v>0.29654428362846302</v>
      </c>
      <c r="I4" s="6">
        <f>'Main Sheet'!I16</f>
        <v>0.44055944681167603</v>
      </c>
      <c r="J4" s="6">
        <f>'Main Sheet'!J16</f>
        <v>0.82682806253433205</v>
      </c>
      <c r="K4" s="11">
        <f>'Main Sheet'!K16</f>
        <v>0.373557448387146</v>
      </c>
      <c r="L4" s="6">
        <f>'Main Sheet'!S4</f>
        <v>0.40540540218353199</v>
      </c>
      <c r="M4" s="6">
        <f>'Main Sheet'!T4</f>
        <v>0.84757626056671098</v>
      </c>
      <c r="N4" s="6">
        <f>'Main Sheet'!U4</f>
        <v>0.37488147616386402</v>
      </c>
      <c r="O4" s="6">
        <f>'Main Sheet'!S16</f>
        <v>0.39464882016181901</v>
      </c>
      <c r="P4" s="6">
        <f>'Main Sheet'!T16</f>
        <v>0.81551653146743697</v>
      </c>
      <c r="Q4" s="11">
        <f>'Main Sheet'!U16</f>
        <v>0.35379672050476002</v>
      </c>
      <c r="R4">
        <f>F4-L4</f>
        <v>-1.4676928520201971E-2</v>
      </c>
      <c r="S4">
        <f t="shared" ref="S4:W4" si="0">G4-M4</f>
        <v>-2.6960492134094016E-2</v>
      </c>
      <c r="T4">
        <f t="shared" si="0"/>
        <v>-7.8337192535401001E-2</v>
      </c>
      <c r="U4">
        <f t="shared" si="0"/>
        <v>4.5910626649857011E-2</v>
      </c>
      <c r="V4">
        <f t="shared" si="0"/>
        <v>1.1311531066895086E-2</v>
      </c>
      <c r="W4">
        <f t="shared" si="0"/>
        <v>1.9760727882385976E-2</v>
      </c>
      <c r="X4" s="19"/>
    </row>
    <row r="5" spans="1:28" x14ac:dyDescent="0.25">
      <c r="A5" s="105"/>
      <c r="B5" s="105"/>
      <c r="C5" s="3">
        <v>2</v>
      </c>
      <c r="D5">
        <f>'Main Sheet'!E5</f>
        <v>24</v>
      </c>
      <c r="E5" s="3">
        <f>'Main Sheet'!E17</f>
        <v>37</v>
      </c>
      <c r="F5">
        <f>'Main Sheet'!I5</f>
        <v>0.46896553039550698</v>
      </c>
      <c r="G5">
        <f>'Main Sheet'!J5</f>
        <v>0.88657021522521895</v>
      </c>
      <c r="H5">
        <f>'Main Sheet'!K5</f>
        <v>0.47210073471069303</v>
      </c>
      <c r="I5">
        <f>'Main Sheet'!I17</f>
        <v>0.46994534134864802</v>
      </c>
      <c r="J5">
        <f>'Main Sheet'!J17</f>
        <v>0.88385057449340798</v>
      </c>
      <c r="K5" s="3">
        <f>'Main Sheet'!K17</f>
        <v>0.532526135444641</v>
      </c>
      <c r="L5">
        <f>'Main Sheet'!S5</f>
        <v>0.34055727720260598</v>
      </c>
      <c r="M5">
        <f>'Main Sheet'!T5</f>
        <v>0.78593331575393599</v>
      </c>
      <c r="N5">
        <f>'Main Sheet'!U5</f>
        <v>0.299771457910537</v>
      </c>
      <c r="O5">
        <f>'Main Sheet'!S17</f>
        <v>0.273291915655136</v>
      </c>
      <c r="P5">
        <f>'Main Sheet'!T17</f>
        <v>0.82139086723327603</v>
      </c>
      <c r="Q5" s="3">
        <f>'Main Sheet'!U17</f>
        <v>0.32400599122047402</v>
      </c>
      <c r="R5">
        <f t="shared" ref="R5:R47" si="1">F5-L5</f>
        <v>0.128408253192901</v>
      </c>
      <c r="S5">
        <f t="shared" ref="S5:S47" si="2">G5-M5</f>
        <v>0.10063689947128296</v>
      </c>
      <c r="T5">
        <f t="shared" ref="T5:T47" si="3">H5-N5</f>
        <v>0.17232927680015603</v>
      </c>
      <c r="U5">
        <f t="shared" ref="U5:U47" si="4">I5-O5</f>
        <v>0.19665342569351202</v>
      </c>
      <c r="V5">
        <f t="shared" ref="V5:V47" si="5">J5-P5</f>
        <v>6.2459707260131947E-2</v>
      </c>
      <c r="W5">
        <f t="shared" ref="W5:W47" si="6">K5-Q5</f>
        <v>0.20852014422416698</v>
      </c>
      <c r="Z5" s="18"/>
      <c r="AA5" s="18"/>
      <c r="AB5" s="18"/>
    </row>
    <row r="6" spans="1:28" x14ac:dyDescent="0.25">
      <c r="A6" s="105"/>
      <c r="B6" s="105"/>
      <c r="C6" s="3">
        <v>3</v>
      </c>
      <c r="D6">
        <f>'Main Sheet'!E6</f>
        <v>36</v>
      </c>
      <c r="E6" s="3">
        <f>'Main Sheet'!E18</f>
        <v>39</v>
      </c>
      <c r="F6">
        <f>'Main Sheet'!I6</f>
        <v>0.35242289304733199</v>
      </c>
      <c r="G6">
        <f>'Main Sheet'!J6</f>
        <v>0.83903002738952603</v>
      </c>
      <c r="H6">
        <f>'Main Sheet'!K6</f>
        <v>0.363223016262054</v>
      </c>
      <c r="I6">
        <f>'Main Sheet'!I18</f>
        <v>0.48245614767074502</v>
      </c>
      <c r="J6">
        <f>'Main Sheet'!J18</f>
        <v>0.87084978818893399</v>
      </c>
      <c r="K6" s="3">
        <f>'Main Sheet'!K18</f>
        <v>0.44323885440826399</v>
      </c>
      <c r="L6">
        <f>'Main Sheet'!S6</f>
        <v>0.39543727040290799</v>
      </c>
      <c r="M6">
        <f>'Main Sheet'!T6</f>
        <v>0.814791560173034</v>
      </c>
      <c r="N6">
        <f>'Main Sheet'!U6</f>
        <v>0.29309141635894698</v>
      </c>
      <c r="O6">
        <f>'Main Sheet'!S18</f>
        <v>0.36437246203422502</v>
      </c>
      <c r="P6">
        <f>'Main Sheet'!T18</f>
        <v>0.83143305778503396</v>
      </c>
      <c r="Q6" s="3">
        <f>'Main Sheet'!U18</f>
        <v>0.318134725093841</v>
      </c>
      <c r="R6">
        <f t="shared" si="1"/>
        <v>-4.3014377355576006E-2</v>
      </c>
      <c r="S6">
        <f t="shared" si="2"/>
        <v>2.4238467216492032E-2</v>
      </c>
      <c r="T6">
        <f t="shared" si="3"/>
        <v>7.0131599903107023E-2</v>
      </c>
      <c r="U6">
        <f t="shared" si="4"/>
        <v>0.11808368563652</v>
      </c>
      <c r="V6">
        <f t="shared" si="5"/>
        <v>3.9416730403900035E-2</v>
      </c>
      <c r="W6">
        <f t="shared" si="6"/>
        <v>0.125104129314423</v>
      </c>
    </row>
    <row r="7" spans="1:28" x14ac:dyDescent="0.25">
      <c r="A7" s="105"/>
      <c r="B7" s="105"/>
      <c r="C7" s="3">
        <v>4</v>
      </c>
      <c r="D7">
        <f>'Main Sheet'!E7</f>
        <v>34</v>
      </c>
      <c r="E7" s="3">
        <f>'Main Sheet'!E19</f>
        <v>42</v>
      </c>
      <c r="F7">
        <f>'Main Sheet'!I7</f>
        <v>0.47686833143234197</v>
      </c>
      <c r="G7">
        <f>'Main Sheet'!J7</f>
        <v>0.87851005792617798</v>
      </c>
      <c r="H7">
        <f>'Main Sheet'!K7</f>
        <v>0.55413776636123602</v>
      </c>
      <c r="I7">
        <f>'Main Sheet'!I19</f>
        <v>0.48510637879371599</v>
      </c>
      <c r="J7">
        <f>'Main Sheet'!J19</f>
        <v>0.87267822027206399</v>
      </c>
      <c r="K7" s="3">
        <f>'Main Sheet'!K19</f>
        <v>0.54256165027618397</v>
      </c>
      <c r="L7">
        <f>'Main Sheet'!S7</f>
        <v>0.40000000596046398</v>
      </c>
      <c r="M7">
        <f>'Main Sheet'!T7</f>
        <v>0.85419058799743597</v>
      </c>
      <c r="N7">
        <f>'Main Sheet'!U7</f>
        <v>0.35654956102371199</v>
      </c>
      <c r="O7">
        <f>'Main Sheet'!S19</f>
        <v>0.38910505175590498</v>
      </c>
      <c r="P7">
        <f>'Main Sheet'!T19</f>
        <v>0.85246908664703303</v>
      </c>
      <c r="Q7" s="3">
        <f>'Main Sheet'!U19</f>
        <v>0.37204933166503901</v>
      </c>
      <c r="R7">
        <f t="shared" si="1"/>
        <v>7.6868325471877996E-2</v>
      </c>
      <c r="S7">
        <f t="shared" si="2"/>
        <v>2.431946992874201E-2</v>
      </c>
      <c r="T7">
        <f t="shared" si="3"/>
        <v>0.19758820533752403</v>
      </c>
      <c r="U7">
        <f t="shared" si="4"/>
        <v>9.6001327037811002E-2</v>
      </c>
      <c r="V7">
        <f t="shared" si="5"/>
        <v>2.0209133625030962E-2</v>
      </c>
      <c r="W7">
        <f t="shared" si="6"/>
        <v>0.17051231861114496</v>
      </c>
    </row>
    <row r="8" spans="1:28" x14ac:dyDescent="0.25">
      <c r="A8" s="105"/>
      <c r="B8" s="105">
        <v>34</v>
      </c>
      <c r="C8" s="3">
        <v>1</v>
      </c>
      <c r="D8">
        <f>'Main Sheet'!E8</f>
        <v>47</v>
      </c>
      <c r="E8" s="3">
        <f>'Main Sheet'!E20</f>
        <v>33</v>
      </c>
      <c r="F8">
        <f>'Main Sheet'!I8</f>
        <v>0.44368600845336897</v>
      </c>
      <c r="G8">
        <f>'Main Sheet'!J8</f>
        <v>0.83456790447235096</v>
      </c>
      <c r="H8">
        <f>'Main Sheet'!K8</f>
        <v>0.41071850061416598</v>
      </c>
      <c r="I8">
        <f>'Main Sheet'!I20</f>
        <v>0.33519554138183499</v>
      </c>
      <c r="J8">
        <f>'Main Sheet'!J20</f>
        <v>0.84637540578842096</v>
      </c>
      <c r="K8" s="3">
        <f>'Main Sheet'!K20</f>
        <v>0.42002362012863098</v>
      </c>
      <c r="L8">
        <f>'Main Sheet'!S8</f>
        <v>0.395904451608657</v>
      </c>
      <c r="M8">
        <f>'Main Sheet'!T8</f>
        <v>0.842698574066162</v>
      </c>
      <c r="N8">
        <f>'Main Sheet'!U8</f>
        <v>0.35345256328582703</v>
      </c>
      <c r="O8">
        <f>'Main Sheet'!S20</f>
        <v>0.361581921577453</v>
      </c>
      <c r="P8">
        <f>'Main Sheet'!T20</f>
        <v>0.83520078659057595</v>
      </c>
      <c r="Q8" s="3">
        <f>'Main Sheet'!U20</f>
        <v>0.38183352351188599</v>
      </c>
      <c r="R8">
        <f t="shared" si="1"/>
        <v>4.778155684471197E-2</v>
      </c>
      <c r="S8">
        <f t="shared" si="2"/>
        <v>-8.1306695938110352E-3</v>
      </c>
      <c r="T8">
        <f t="shared" si="3"/>
        <v>5.7265937328338956E-2</v>
      </c>
      <c r="U8">
        <f t="shared" si="4"/>
        <v>-2.6386380195618009E-2</v>
      </c>
      <c r="V8">
        <f t="shared" si="5"/>
        <v>1.1174619197845015E-2</v>
      </c>
      <c r="W8">
        <f t="shared" si="6"/>
        <v>3.8190096616744995E-2</v>
      </c>
    </row>
    <row r="9" spans="1:28" x14ac:dyDescent="0.25">
      <c r="A9" s="105"/>
      <c r="B9" s="105"/>
      <c r="C9" s="3">
        <v>2</v>
      </c>
      <c r="D9">
        <f>'Main Sheet'!E9</f>
        <v>46</v>
      </c>
      <c r="E9" s="3">
        <f>'Main Sheet'!E21</f>
        <v>29</v>
      </c>
      <c r="F9">
        <f>'Main Sheet'!I9</f>
        <v>0.47959184646606401</v>
      </c>
      <c r="G9">
        <f>'Main Sheet'!J9</f>
        <v>0.88806360960006703</v>
      </c>
      <c r="H9">
        <f>'Main Sheet'!K9</f>
        <v>0.51720136404037398</v>
      </c>
      <c r="I9">
        <f>'Main Sheet'!I21</f>
        <v>0.33333334326744002</v>
      </c>
      <c r="J9">
        <f>'Main Sheet'!J21</f>
        <v>0.89451676607131902</v>
      </c>
      <c r="K9" s="3">
        <f>'Main Sheet'!K21</f>
        <v>0.48057109117507901</v>
      </c>
      <c r="L9">
        <f>'Main Sheet'!S9</f>
        <v>0.25414365530013999</v>
      </c>
      <c r="M9">
        <f>'Main Sheet'!T9</f>
        <v>0.78586530685424805</v>
      </c>
      <c r="N9">
        <f>'Main Sheet'!U9</f>
        <v>0.270405113697052</v>
      </c>
      <c r="O9">
        <f>'Main Sheet'!S21</f>
        <v>0.21656051278114299</v>
      </c>
      <c r="P9">
        <f>'Main Sheet'!T21</f>
        <v>0.82518118619918801</v>
      </c>
      <c r="Q9" s="3">
        <f>'Main Sheet'!U21</f>
        <v>0.26359781622886602</v>
      </c>
      <c r="R9">
        <f t="shared" si="1"/>
        <v>0.22544819116592402</v>
      </c>
      <c r="S9">
        <f t="shared" si="2"/>
        <v>0.10219830274581898</v>
      </c>
      <c r="T9">
        <f t="shared" si="3"/>
        <v>0.24679625034332198</v>
      </c>
      <c r="U9">
        <f t="shared" si="4"/>
        <v>0.11677283048629702</v>
      </c>
      <c r="V9">
        <f t="shared" si="5"/>
        <v>6.9335579872131015E-2</v>
      </c>
      <c r="W9">
        <f t="shared" si="6"/>
        <v>0.21697327494621299</v>
      </c>
    </row>
    <row r="10" spans="1:28" x14ac:dyDescent="0.25">
      <c r="A10" s="105"/>
      <c r="B10" s="105"/>
      <c r="C10" s="3">
        <v>3</v>
      </c>
      <c r="D10">
        <f>'Main Sheet'!E10</f>
        <v>22</v>
      </c>
      <c r="E10" s="3">
        <f>'Main Sheet'!E22</f>
        <v>45</v>
      </c>
      <c r="F10">
        <f>'Main Sheet'!I10</f>
        <v>0.387931048870086</v>
      </c>
      <c r="G10">
        <f>'Main Sheet'!J10</f>
        <v>0.84649145603179898</v>
      </c>
      <c r="H10">
        <f>'Main Sheet'!K10</f>
        <v>0.33777293562889099</v>
      </c>
      <c r="I10">
        <f>'Main Sheet'!I22</f>
        <v>0.39543727040290799</v>
      </c>
      <c r="J10">
        <f>'Main Sheet'!J22</f>
        <v>0.84839439392089799</v>
      </c>
      <c r="K10" s="3">
        <f>'Main Sheet'!K22</f>
        <v>0.35826829075813199</v>
      </c>
      <c r="L10">
        <f>'Main Sheet'!S10</f>
        <v>0.32478633522987299</v>
      </c>
      <c r="M10">
        <f>'Main Sheet'!T10</f>
        <v>0.81576555967330899</v>
      </c>
      <c r="N10">
        <f>'Main Sheet'!U10</f>
        <v>0.30284184217452997</v>
      </c>
      <c r="O10">
        <f>'Main Sheet'!S22</f>
        <v>0.43727597594261097</v>
      </c>
      <c r="P10">
        <f>'Main Sheet'!T22</f>
        <v>0.86955595016479403</v>
      </c>
      <c r="Q10" s="3">
        <f>'Main Sheet'!U22</f>
        <v>0.38694450259208601</v>
      </c>
      <c r="R10">
        <f t="shared" si="1"/>
        <v>6.3144713640213013E-2</v>
      </c>
      <c r="S10">
        <f t="shared" si="2"/>
        <v>3.072589635848999E-2</v>
      </c>
      <c r="T10">
        <f t="shared" si="3"/>
        <v>3.4931093454361017E-2</v>
      </c>
      <c r="U10">
        <f t="shared" si="4"/>
        <v>-4.1838705539702981E-2</v>
      </c>
      <c r="V10">
        <f t="shared" si="5"/>
        <v>-2.116155624389604E-2</v>
      </c>
      <c r="W10">
        <f t="shared" si="6"/>
        <v>-2.8676211833954024E-2</v>
      </c>
    </row>
    <row r="11" spans="1:28" x14ac:dyDescent="0.25">
      <c r="A11" s="105"/>
      <c r="B11" s="105"/>
      <c r="C11" s="3">
        <v>4</v>
      </c>
      <c r="D11">
        <f>'Main Sheet'!E11</f>
        <v>43</v>
      </c>
      <c r="E11" s="3">
        <f>'Main Sheet'!E23</f>
        <v>27</v>
      </c>
      <c r="F11">
        <f>'Main Sheet'!I11</f>
        <v>0.458823531866073</v>
      </c>
      <c r="G11">
        <f>'Main Sheet'!J11</f>
        <v>0.86962527036666804</v>
      </c>
      <c r="H11">
        <f>'Main Sheet'!K11</f>
        <v>0.48580339550971902</v>
      </c>
      <c r="I11">
        <f>'Main Sheet'!I23</f>
        <v>0.394366204738616</v>
      </c>
      <c r="J11">
        <f>'Main Sheet'!J23</f>
        <v>0.86474406719207697</v>
      </c>
      <c r="K11" s="3">
        <f>'Main Sheet'!K23</f>
        <v>0.52845835685729903</v>
      </c>
      <c r="L11">
        <f>'Main Sheet'!S11</f>
        <v>0.182857140898704</v>
      </c>
      <c r="M11">
        <f>'Main Sheet'!T11</f>
        <v>0.83652973175048795</v>
      </c>
      <c r="N11">
        <f>'Main Sheet'!U11</f>
        <v>0.27166512608528098</v>
      </c>
      <c r="O11">
        <f>'Main Sheet'!S23</f>
        <v>0.19402985274791701</v>
      </c>
      <c r="P11">
        <f>'Main Sheet'!T23</f>
        <v>0.85674268007278398</v>
      </c>
      <c r="Q11" s="3">
        <f>'Main Sheet'!U23</f>
        <v>0.37238350510597201</v>
      </c>
      <c r="R11">
        <f t="shared" si="1"/>
        <v>0.27596639096736897</v>
      </c>
      <c r="S11">
        <f t="shared" si="2"/>
        <v>3.3095538616180087E-2</v>
      </c>
      <c r="T11">
        <f t="shared" si="3"/>
        <v>0.21413826942443803</v>
      </c>
      <c r="U11">
        <f t="shared" si="4"/>
        <v>0.20033635199069899</v>
      </c>
      <c r="V11">
        <f t="shared" si="5"/>
        <v>8.0013871192929908E-3</v>
      </c>
      <c r="W11">
        <f t="shared" si="6"/>
        <v>0.15607485175132702</v>
      </c>
    </row>
    <row r="12" spans="1:28" x14ac:dyDescent="0.25">
      <c r="A12" s="105"/>
      <c r="B12" s="105">
        <v>50</v>
      </c>
      <c r="C12" s="3">
        <v>1</v>
      </c>
      <c r="D12">
        <f>'Main Sheet'!E12</f>
        <v>28</v>
      </c>
      <c r="E12" s="3">
        <f>'Main Sheet'!E24</f>
        <v>13</v>
      </c>
      <c r="F12">
        <f>'Main Sheet'!I12</f>
        <v>0.44155845046043302</v>
      </c>
      <c r="G12">
        <f>'Main Sheet'!J12</f>
        <v>0.83556497097015303</v>
      </c>
      <c r="H12">
        <f>'Main Sheet'!K12</f>
        <v>0.42802810668945301</v>
      </c>
      <c r="I12">
        <f>'Main Sheet'!I24</f>
        <v>0.42207792401313698</v>
      </c>
      <c r="J12">
        <f>'Main Sheet'!J24</f>
        <v>0.82881456613540605</v>
      </c>
      <c r="K12" s="3">
        <f>'Main Sheet'!K24</f>
        <v>0.37043792009353599</v>
      </c>
      <c r="L12">
        <f>'Main Sheet'!S12</f>
        <v>0.41176471114158603</v>
      </c>
      <c r="M12">
        <f>'Main Sheet'!T12</f>
        <v>0.85384315252303999</v>
      </c>
      <c r="N12">
        <f>'Main Sheet'!U12</f>
        <v>0.37506282329559298</v>
      </c>
      <c r="O12">
        <f>'Main Sheet'!S24</f>
        <v>0.36417910456657399</v>
      </c>
      <c r="P12">
        <f>'Main Sheet'!T24</f>
        <v>0.83456659317016602</v>
      </c>
      <c r="Q12" s="3">
        <f>'Main Sheet'!U24</f>
        <v>0.35174927115440302</v>
      </c>
      <c r="R12">
        <f t="shared" si="1"/>
        <v>2.979373931884699E-2</v>
      </c>
      <c r="S12">
        <f t="shared" si="2"/>
        <v>-1.8278181552886963E-2</v>
      </c>
      <c r="T12">
        <f t="shared" si="3"/>
        <v>5.296528339386003E-2</v>
      </c>
      <c r="U12">
        <f t="shared" si="4"/>
        <v>5.7898819446562999E-2</v>
      </c>
      <c r="V12">
        <f t="shared" si="5"/>
        <v>-5.7520270347599656E-3</v>
      </c>
      <c r="W12">
        <f t="shared" si="6"/>
        <v>1.8688648939132968E-2</v>
      </c>
    </row>
    <row r="13" spans="1:28" x14ac:dyDescent="0.25">
      <c r="A13" s="105"/>
      <c r="B13" s="105"/>
      <c r="C13" s="3">
        <v>2</v>
      </c>
      <c r="D13">
        <f>'Main Sheet'!E13</f>
        <v>9</v>
      </c>
      <c r="E13" s="3">
        <f>'Main Sheet'!E25</f>
        <v>12</v>
      </c>
      <c r="F13">
        <f>'Main Sheet'!I13</f>
        <v>0.43434342741966198</v>
      </c>
      <c r="G13">
        <f>'Main Sheet'!J13</f>
        <v>0.88175189495086603</v>
      </c>
      <c r="H13">
        <f>'Main Sheet'!K13</f>
        <v>0.459152221679687</v>
      </c>
      <c r="I13">
        <f>'Main Sheet'!I25</f>
        <v>0.38857144117355302</v>
      </c>
      <c r="J13">
        <f>'Main Sheet'!J25</f>
        <v>0.83639883995056097</v>
      </c>
      <c r="K13" s="3">
        <f>'Main Sheet'!K25</f>
        <v>0.43921542167663502</v>
      </c>
      <c r="L13">
        <f>'Main Sheet'!S13</f>
        <v>0.33333334326744002</v>
      </c>
      <c r="M13">
        <f>'Main Sheet'!T13</f>
        <v>0.85286170244216897</v>
      </c>
      <c r="N13">
        <f>'Main Sheet'!U13</f>
        <v>0.33635324239730802</v>
      </c>
      <c r="O13">
        <f>'Main Sheet'!S25</f>
        <v>0.24561403691768599</v>
      </c>
      <c r="P13">
        <f>'Main Sheet'!T25</f>
        <v>0.79870134592056197</v>
      </c>
      <c r="Q13" s="3">
        <f>'Main Sheet'!U25</f>
        <v>0.25840446352958601</v>
      </c>
      <c r="R13">
        <f t="shared" si="1"/>
        <v>0.10101008415222196</v>
      </c>
      <c r="S13">
        <f t="shared" si="2"/>
        <v>2.8890192508697066E-2</v>
      </c>
      <c r="T13">
        <f t="shared" si="3"/>
        <v>0.12279897928237898</v>
      </c>
      <c r="U13">
        <f t="shared" si="4"/>
        <v>0.14295740425586703</v>
      </c>
      <c r="V13">
        <f t="shared" si="5"/>
        <v>3.7697494029999001E-2</v>
      </c>
      <c r="W13">
        <f t="shared" si="6"/>
        <v>0.18081095814704901</v>
      </c>
    </row>
    <row r="14" spans="1:28" x14ac:dyDescent="0.25">
      <c r="A14" s="105"/>
      <c r="B14" s="105"/>
      <c r="C14" s="3">
        <v>3</v>
      </c>
      <c r="D14">
        <f>'Main Sheet'!E14</f>
        <v>18</v>
      </c>
      <c r="E14" s="3">
        <f>'Main Sheet'!E26</f>
        <v>24</v>
      </c>
      <c r="F14">
        <f>'Main Sheet'!I14</f>
        <v>0.36559140682220398</v>
      </c>
      <c r="G14">
        <f>'Main Sheet'!J14</f>
        <v>0.82869464159011796</v>
      </c>
      <c r="H14">
        <f>'Main Sheet'!K14</f>
        <v>0.39162975549697798</v>
      </c>
      <c r="I14">
        <f>'Main Sheet'!I26</f>
        <v>0.40569394826888999</v>
      </c>
      <c r="J14">
        <f>'Main Sheet'!J26</f>
        <v>0.84645992517471302</v>
      </c>
      <c r="K14" s="3">
        <f>'Main Sheet'!K26</f>
        <v>0.36728855967521601</v>
      </c>
      <c r="L14">
        <f>'Main Sheet'!S14</f>
        <v>0.26744186878204301</v>
      </c>
      <c r="M14">
        <f>'Main Sheet'!T14</f>
        <v>0.84774994850158603</v>
      </c>
      <c r="N14">
        <f>'Main Sheet'!U14</f>
        <v>0.320197343826293</v>
      </c>
      <c r="O14">
        <f>'Main Sheet'!S26</f>
        <v>0.288808673620224</v>
      </c>
      <c r="P14">
        <f>'Main Sheet'!T26</f>
        <v>0.79241162538528398</v>
      </c>
      <c r="Q14" s="3">
        <f>'Main Sheet'!U26</f>
        <v>0.248978301882743</v>
      </c>
      <c r="R14">
        <f t="shared" si="1"/>
        <v>9.8149538040160966E-2</v>
      </c>
      <c r="S14">
        <f t="shared" si="2"/>
        <v>-1.9055306911468062E-2</v>
      </c>
      <c r="T14">
        <f t="shared" si="3"/>
        <v>7.1432411670684981E-2</v>
      </c>
      <c r="U14">
        <f t="shared" si="4"/>
        <v>0.11688527464866599</v>
      </c>
      <c r="V14">
        <f t="shared" si="5"/>
        <v>5.4048299789429044E-2</v>
      </c>
      <c r="W14">
        <f t="shared" si="6"/>
        <v>0.11831025779247301</v>
      </c>
    </row>
    <row r="15" spans="1:28" x14ac:dyDescent="0.25">
      <c r="A15" s="107"/>
      <c r="B15" s="107"/>
      <c r="C15" s="8">
        <v>4</v>
      </c>
      <c r="D15" s="7">
        <f>'Main Sheet'!E15</f>
        <v>16</v>
      </c>
      <c r="E15" s="8">
        <f>'Main Sheet'!E27</f>
        <v>24</v>
      </c>
      <c r="F15" s="7">
        <f>'Main Sheet'!I15</f>
        <v>0.450450450181961</v>
      </c>
      <c r="G15" s="7">
        <f>'Main Sheet'!J15</f>
        <v>0.86980807781219405</v>
      </c>
      <c r="H15" s="7">
        <f>'Main Sheet'!K15</f>
        <v>0.52274638414382901</v>
      </c>
      <c r="I15" s="7">
        <f>'Main Sheet'!I27</f>
        <v>0.52777779102325395</v>
      </c>
      <c r="J15" s="7">
        <f>'Main Sheet'!J27</f>
        <v>0.89623397588729803</v>
      </c>
      <c r="K15" s="8">
        <f>'Main Sheet'!K27</f>
        <v>0.50428050756454401</v>
      </c>
      <c r="L15" s="7">
        <f>'Main Sheet'!S15</f>
        <v>0.44343891739845198</v>
      </c>
      <c r="M15" s="7">
        <f>'Main Sheet'!T15</f>
        <v>0.85299003124237005</v>
      </c>
      <c r="N15" s="7">
        <f>'Main Sheet'!U15</f>
        <v>0.405628621578216</v>
      </c>
      <c r="O15" s="7">
        <f>'Main Sheet'!S27</f>
        <v>0.32307693362236001</v>
      </c>
      <c r="P15" s="7">
        <f>'Main Sheet'!T27</f>
        <v>0.82004678249359098</v>
      </c>
      <c r="Q15" s="8">
        <f>'Main Sheet'!U27</f>
        <v>0.25700038671493503</v>
      </c>
      <c r="R15">
        <f t="shared" si="1"/>
        <v>7.0115327835090224E-3</v>
      </c>
      <c r="S15">
        <f t="shared" si="2"/>
        <v>1.6818046569823997E-2</v>
      </c>
      <c r="T15">
        <f t="shared" si="3"/>
        <v>0.11711776256561302</v>
      </c>
      <c r="U15">
        <f t="shared" si="4"/>
        <v>0.20470085740089394</v>
      </c>
      <c r="V15">
        <f t="shared" si="5"/>
        <v>7.6187193393707053E-2</v>
      </c>
      <c r="W15">
        <f t="shared" si="6"/>
        <v>0.24728012084960899</v>
      </c>
    </row>
    <row r="16" spans="1:28" x14ac:dyDescent="0.25">
      <c r="A16" s="103" t="s">
        <v>22</v>
      </c>
      <c r="B16" s="103">
        <v>18</v>
      </c>
      <c r="C16" s="3">
        <v>1</v>
      </c>
      <c r="D16">
        <f>'Main Sheet'!E28</f>
        <v>18</v>
      </c>
      <c r="E16" s="3">
        <f>'Main Sheet'!E52</f>
        <v>6</v>
      </c>
      <c r="F16" s="9">
        <f>'Main Sheet'!I28</f>
        <v>0.41237112879753102</v>
      </c>
      <c r="G16" s="9">
        <f>'Main Sheet'!J28</f>
        <v>0.82613962888717596</v>
      </c>
      <c r="H16" s="9">
        <f>'Main Sheet'!K28</f>
        <v>0.37366023659706099</v>
      </c>
      <c r="I16" s="9">
        <f>'Main Sheet'!I52</f>
        <v>0.52173912525177002</v>
      </c>
      <c r="J16" s="9">
        <f>'Main Sheet'!J52</f>
        <v>0.84867036342620805</v>
      </c>
      <c r="K16" s="10">
        <f>'Main Sheet'!K52</f>
        <v>0.49701082706451399</v>
      </c>
      <c r="L16" s="9">
        <f>'Main Sheet'!S28</f>
        <v>0.40601503849029502</v>
      </c>
      <c r="M16" s="9">
        <f>'Main Sheet'!T28</f>
        <v>0.83245998620986905</v>
      </c>
      <c r="N16" s="9">
        <f>'Main Sheet'!U28</f>
        <v>0.38715964555740301</v>
      </c>
      <c r="O16" s="9">
        <f>'Main Sheet'!S52</f>
        <v>0.44370859861373901</v>
      </c>
      <c r="P16" s="9">
        <f>'Main Sheet'!T52</f>
        <v>0.85996675491332997</v>
      </c>
      <c r="Q16" s="10">
        <f>'Main Sheet'!U52</f>
        <v>0.39321514964103699</v>
      </c>
      <c r="R16">
        <f t="shared" si="1"/>
        <v>6.3560903072359953E-3</v>
      </c>
      <c r="S16">
        <f t="shared" si="2"/>
        <v>-6.3203573226930931E-3</v>
      </c>
      <c r="T16">
        <f t="shared" si="3"/>
        <v>-1.3499408960342019E-2</v>
      </c>
      <c r="U16">
        <f t="shared" si="4"/>
        <v>7.8030526638031006E-2</v>
      </c>
      <c r="V16">
        <f t="shared" si="5"/>
        <v>-1.1296391487121915E-2</v>
      </c>
      <c r="W16">
        <f t="shared" si="6"/>
        <v>0.10379567742347701</v>
      </c>
    </row>
    <row r="17" spans="1:23" x14ac:dyDescent="0.25">
      <c r="A17" s="105"/>
      <c r="B17" s="105"/>
      <c r="C17" s="3">
        <v>2</v>
      </c>
      <c r="D17">
        <f>'Main Sheet'!E29</f>
        <v>4</v>
      </c>
      <c r="E17" s="3">
        <f>'Main Sheet'!E53</f>
        <v>8</v>
      </c>
      <c r="F17">
        <f>'Main Sheet'!I29</f>
        <v>0.40336135029792702</v>
      </c>
      <c r="G17">
        <f>'Main Sheet'!J29</f>
        <v>0.85889452695846502</v>
      </c>
      <c r="H17">
        <f>'Main Sheet'!K29</f>
        <v>0.35103896260261502</v>
      </c>
      <c r="I17">
        <f>'Main Sheet'!I53</f>
        <v>0.41379311680793701</v>
      </c>
      <c r="J17">
        <f>'Main Sheet'!J53</f>
        <v>0.88900679349899203</v>
      </c>
      <c r="K17" s="3">
        <f>'Main Sheet'!K53</f>
        <v>0.54354256391525202</v>
      </c>
      <c r="L17">
        <f>'Main Sheet'!S29</f>
        <v>0.36213991045951799</v>
      </c>
      <c r="M17">
        <f>'Main Sheet'!T29</f>
        <v>0.813964784145355</v>
      </c>
      <c r="N17">
        <f>'Main Sheet'!U29</f>
        <v>0.27334547042846602</v>
      </c>
      <c r="O17">
        <f>'Main Sheet'!S53</f>
        <v>0.39779004454612699</v>
      </c>
      <c r="P17">
        <f>'Main Sheet'!T53</f>
        <v>0.86401391029357899</v>
      </c>
      <c r="Q17" s="3">
        <f>'Main Sheet'!U53</f>
        <v>0.44246089458465498</v>
      </c>
      <c r="R17">
        <f t="shared" si="1"/>
        <v>4.1221439838409035E-2</v>
      </c>
      <c r="S17">
        <f t="shared" si="2"/>
        <v>4.4929742813110018E-2</v>
      </c>
      <c r="T17">
        <f t="shared" si="3"/>
        <v>7.7693492174149004E-2</v>
      </c>
      <c r="U17">
        <f t="shared" si="4"/>
        <v>1.6003072261810025E-2</v>
      </c>
      <c r="V17">
        <f t="shared" si="5"/>
        <v>2.4992883205413041E-2</v>
      </c>
      <c r="W17">
        <f t="shared" si="6"/>
        <v>0.10108166933059703</v>
      </c>
    </row>
    <row r="18" spans="1:23" x14ac:dyDescent="0.25">
      <c r="A18" s="105"/>
      <c r="B18" s="105"/>
      <c r="C18" s="3">
        <v>3</v>
      </c>
      <c r="D18">
        <f>'Main Sheet'!E30</f>
        <v>24</v>
      </c>
      <c r="E18" s="3">
        <f>'Main Sheet'!E54</f>
        <v>6</v>
      </c>
      <c r="F18">
        <f>'Main Sheet'!I30</f>
        <v>0.37442922592163003</v>
      </c>
      <c r="G18">
        <f>'Main Sheet'!J30</f>
        <v>0.846088826656341</v>
      </c>
      <c r="H18">
        <f>'Main Sheet'!K30</f>
        <v>0.34211677312850902</v>
      </c>
      <c r="I18">
        <f>'Main Sheet'!I54</f>
        <v>0.46540880203246998</v>
      </c>
      <c r="J18">
        <f>'Main Sheet'!J54</f>
        <v>0.84707576036453203</v>
      </c>
      <c r="K18" s="3">
        <f>'Main Sheet'!K54</f>
        <v>0.42528277635574302</v>
      </c>
      <c r="L18">
        <f>'Main Sheet'!S30</f>
        <v>0.33333334326744002</v>
      </c>
      <c r="M18">
        <f>'Main Sheet'!T30</f>
        <v>0.82397317886352495</v>
      </c>
      <c r="N18">
        <f>'Main Sheet'!U30</f>
        <v>0.33387562632560702</v>
      </c>
      <c r="O18">
        <f>'Main Sheet'!S54</f>
        <v>0.401129931211471</v>
      </c>
      <c r="P18">
        <f>'Main Sheet'!T54</f>
        <v>0.86666423082351596</v>
      </c>
      <c r="Q18" s="3">
        <f>'Main Sheet'!U54</f>
        <v>0.392840266227722</v>
      </c>
      <c r="R18">
        <f t="shared" si="1"/>
        <v>4.1095882654190008E-2</v>
      </c>
      <c r="S18">
        <f t="shared" si="2"/>
        <v>2.2115647792816051E-2</v>
      </c>
      <c r="T18">
        <f t="shared" si="3"/>
        <v>8.2411468029019996E-3</v>
      </c>
      <c r="U18">
        <f t="shared" si="4"/>
        <v>6.4278870820998979E-2</v>
      </c>
      <c r="V18">
        <f t="shared" si="5"/>
        <v>-1.9588470458983931E-2</v>
      </c>
      <c r="W18">
        <f t="shared" si="6"/>
        <v>3.2442510128021018E-2</v>
      </c>
    </row>
    <row r="19" spans="1:23" x14ac:dyDescent="0.25">
      <c r="A19" s="105"/>
      <c r="B19" s="105"/>
      <c r="C19" s="3">
        <v>4</v>
      </c>
      <c r="D19">
        <f>'Main Sheet'!E31</f>
        <v>29</v>
      </c>
      <c r="E19" s="3">
        <f>'Main Sheet'!E55</f>
        <v>8</v>
      </c>
      <c r="F19">
        <f>'Main Sheet'!I31</f>
        <v>0.45497629046440102</v>
      </c>
      <c r="G19">
        <f>'Main Sheet'!J31</f>
        <v>0.86467093229293801</v>
      </c>
      <c r="H19">
        <f>'Main Sheet'!K31</f>
        <v>0.495308518409729</v>
      </c>
      <c r="I19">
        <f>'Main Sheet'!I55</f>
        <v>0.47164177894592202</v>
      </c>
      <c r="J19">
        <f>'Main Sheet'!J55</f>
        <v>0.88942408561706499</v>
      </c>
      <c r="K19" s="3">
        <f>'Main Sheet'!K55</f>
        <v>0.50199639797210605</v>
      </c>
      <c r="L19">
        <f>'Main Sheet'!S31</f>
        <v>0.374502003192901</v>
      </c>
      <c r="M19">
        <f>'Main Sheet'!T31</f>
        <v>0.812730312347412</v>
      </c>
      <c r="N19">
        <f>'Main Sheet'!U31</f>
        <v>0.34888857603073098</v>
      </c>
      <c r="O19">
        <f>'Main Sheet'!S55</f>
        <v>0.40000000596046398</v>
      </c>
      <c r="P19">
        <f>'Main Sheet'!T55</f>
        <v>0.87003928422927801</v>
      </c>
      <c r="Q19" s="3">
        <f>'Main Sheet'!U55</f>
        <v>0.42728608846664401</v>
      </c>
      <c r="R19">
        <f t="shared" si="1"/>
        <v>8.0474287271500022E-2</v>
      </c>
      <c r="S19">
        <f t="shared" si="2"/>
        <v>5.1940619945526012E-2</v>
      </c>
      <c r="T19">
        <f t="shared" si="3"/>
        <v>0.14641994237899802</v>
      </c>
      <c r="U19">
        <f t="shared" si="4"/>
        <v>7.1641772985458041E-2</v>
      </c>
      <c r="V19">
        <f t="shared" si="5"/>
        <v>1.9384801387786976E-2</v>
      </c>
      <c r="W19">
        <f t="shared" si="6"/>
        <v>7.4710309505462036E-2</v>
      </c>
    </row>
    <row r="20" spans="1:23" x14ac:dyDescent="0.25">
      <c r="A20" s="105"/>
      <c r="B20" s="105">
        <v>34</v>
      </c>
      <c r="C20" s="3">
        <v>1</v>
      </c>
      <c r="D20">
        <f>'Main Sheet'!E32</f>
        <v>24</v>
      </c>
      <c r="E20" s="3">
        <f>'Main Sheet'!E56</f>
        <v>3</v>
      </c>
      <c r="F20">
        <f>'Main Sheet'!I32</f>
        <v>0.43097642064094499</v>
      </c>
      <c r="G20">
        <f>'Main Sheet'!J32</f>
        <v>0.84165871143340998</v>
      </c>
      <c r="H20">
        <f>'Main Sheet'!K32</f>
        <v>0.37042039632797202</v>
      </c>
      <c r="I20">
        <f>'Main Sheet'!I56</f>
        <v>0.48135593533515902</v>
      </c>
      <c r="J20">
        <f>'Main Sheet'!J56</f>
        <v>0.85361671447753895</v>
      </c>
      <c r="K20" s="3">
        <f>'Main Sheet'!K56</f>
        <v>0.38477489352226202</v>
      </c>
      <c r="L20">
        <f>'Main Sheet'!S32</f>
        <v>0.44518271088600098</v>
      </c>
      <c r="M20">
        <f>'Main Sheet'!T32</f>
        <v>0.83746600151062001</v>
      </c>
      <c r="N20">
        <f>'Main Sheet'!U32</f>
        <v>0.35077840089797901</v>
      </c>
      <c r="O20">
        <f>'Main Sheet'!S56</f>
        <v>0.44444444775581299</v>
      </c>
      <c r="P20">
        <f>'Main Sheet'!T56</f>
        <v>0.84364998340606601</v>
      </c>
      <c r="Q20" s="3">
        <f>'Main Sheet'!U56</f>
        <v>0.351035356521606</v>
      </c>
      <c r="R20">
        <f t="shared" si="1"/>
        <v>-1.4206290245055986E-2</v>
      </c>
      <c r="S20">
        <f t="shared" si="2"/>
        <v>4.1927099227899722E-3</v>
      </c>
      <c r="T20">
        <f t="shared" si="3"/>
        <v>1.9641995429993009E-2</v>
      </c>
      <c r="U20">
        <f t="shared" si="4"/>
        <v>3.6911487579346036E-2</v>
      </c>
      <c r="V20">
        <f t="shared" si="5"/>
        <v>9.9667310714729451E-3</v>
      </c>
      <c r="W20">
        <f t="shared" si="6"/>
        <v>3.3739537000656017E-2</v>
      </c>
    </row>
    <row r="21" spans="1:23" x14ac:dyDescent="0.25">
      <c r="A21" s="105"/>
      <c r="B21" s="105"/>
      <c r="C21" s="3">
        <v>2</v>
      </c>
      <c r="D21">
        <f>'Main Sheet'!E33</f>
        <v>31</v>
      </c>
      <c r="E21" s="3">
        <f>'Main Sheet'!E57</f>
        <v>20</v>
      </c>
      <c r="F21">
        <f>'Main Sheet'!I33</f>
        <v>0.45736435055732699</v>
      </c>
      <c r="G21">
        <f>'Main Sheet'!J33</f>
        <v>0.86739140748977595</v>
      </c>
      <c r="H21">
        <f>'Main Sheet'!K33</f>
        <v>0.45576864480972201</v>
      </c>
      <c r="I21">
        <f>'Main Sheet'!I57</f>
        <v>0.48868778347969</v>
      </c>
      <c r="J21">
        <f>'Main Sheet'!J57</f>
        <v>0.89228439331054599</v>
      </c>
      <c r="K21" s="3">
        <f>'Main Sheet'!K57</f>
        <v>0.52881020307540805</v>
      </c>
      <c r="L21">
        <f>'Main Sheet'!S33</f>
        <v>0.33707866072654702</v>
      </c>
      <c r="M21">
        <f>'Main Sheet'!T33</f>
        <v>0.80572330951690596</v>
      </c>
      <c r="N21">
        <f>'Main Sheet'!U33</f>
        <v>0.30210384726524298</v>
      </c>
      <c r="O21">
        <f>'Main Sheet'!S57</f>
        <v>0.460317462682724</v>
      </c>
      <c r="P21">
        <f>'Main Sheet'!T57</f>
        <v>0.86284357309341397</v>
      </c>
      <c r="Q21" s="3">
        <f>'Main Sheet'!U57</f>
        <v>0.40798449516296298</v>
      </c>
      <c r="R21">
        <f t="shared" si="1"/>
        <v>0.12028568983077997</v>
      </c>
      <c r="S21">
        <f t="shared" si="2"/>
        <v>6.1668097972869984E-2</v>
      </c>
      <c r="T21">
        <f t="shared" si="3"/>
        <v>0.15366479754447904</v>
      </c>
      <c r="U21">
        <f t="shared" si="4"/>
        <v>2.8370320796965998E-2</v>
      </c>
      <c r="V21">
        <f t="shared" si="5"/>
        <v>2.9440820217132013E-2</v>
      </c>
      <c r="W21">
        <f t="shared" si="6"/>
        <v>0.12082570791244507</v>
      </c>
    </row>
    <row r="22" spans="1:23" x14ac:dyDescent="0.25">
      <c r="A22" s="105"/>
      <c r="B22" s="105"/>
      <c r="C22" s="3">
        <v>3</v>
      </c>
      <c r="D22">
        <f>'Main Sheet'!E34</f>
        <v>45</v>
      </c>
      <c r="E22" s="3">
        <f>'Main Sheet'!E58</f>
        <v>10</v>
      </c>
      <c r="F22">
        <f>'Main Sheet'!I34</f>
        <v>0.47926267981529203</v>
      </c>
      <c r="G22">
        <f>'Main Sheet'!J34</f>
        <v>0.85060513019561701</v>
      </c>
      <c r="H22">
        <f>'Main Sheet'!K34</f>
        <v>0.44406235218048001</v>
      </c>
      <c r="I22">
        <f>'Main Sheet'!I58</f>
        <v>0.37037035822868303</v>
      </c>
      <c r="J22">
        <f>'Main Sheet'!J58</f>
        <v>0.86327779293060303</v>
      </c>
      <c r="K22" s="3">
        <f>'Main Sheet'!K58</f>
        <v>0.42630520462989802</v>
      </c>
      <c r="L22">
        <f>'Main Sheet'!S34</f>
        <v>0.38709676265716497</v>
      </c>
      <c r="M22">
        <f>'Main Sheet'!T34</f>
        <v>0.82949256896972601</v>
      </c>
      <c r="N22">
        <f>'Main Sheet'!U34</f>
        <v>0.378551036119461</v>
      </c>
      <c r="O22">
        <f>'Main Sheet'!S58</f>
        <v>0.31707316637039101</v>
      </c>
      <c r="P22">
        <f>'Main Sheet'!T58</f>
        <v>0.85711264610290505</v>
      </c>
      <c r="Q22" s="3">
        <f>'Main Sheet'!U58</f>
        <v>0.405340135097503</v>
      </c>
      <c r="R22">
        <f t="shared" si="1"/>
        <v>9.2165917158127053E-2</v>
      </c>
      <c r="S22">
        <f t="shared" si="2"/>
        <v>2.1112561225891002E-2</v>
      </c>
      <c r="T22">
        <f t="shared" si="3"/>
        <v>6.5511316061019009E-2</v>
      </c>
      <c r="U22">
        <f t="shared" si="4"/>
        <v>5.3297191858292015E-2</v>
      </c>
      <c r="V22">
        <f t="shared" si="5"/>
        <v>6.165146827697976E-3</v>
      </c>
      <c r="W22">
        <f t="shared" si="6"/>
        <v>2.096506953239502E-2</v>
      </c>
    </row>
    <row r="23" spans="1:23" x14ac:dyDescent="0.25">
      <c r="A23" s="105"/>
      <c r="B23" s="105"/>
      <c r="C23" s="3">
        <v>4</v>
      </c>
      <c r="D23">
        <f>'Main Sheet'!E35</f>
        <v>20</v>
      </c>
      <c r="E23" s="3">
        <f>'Main Sheet'!E59</f>
        <v>31</v>
      </c>
      <c r="F23">
        <f>'Main Sheet'!I35</f>
        <v>0.46231156587600702</v>
      </c>
      <c r="G23">
        <f>'Main Sheet'!J35</f>
        <v>0.86663621664047197</v>
      </c>
      <c r="H23">
        <f>'Main Sheet'!K35</f>
        <v>0.51087421178817705</v>
      </c>
      <c r="I23">
        <f>'Main Sheet'!I59</f>
        <v>0.50847458839416504</v>
      </c>
      <c r="J23">
        <f>'Main Sheet'!J59</f>
        <v>0.89585912227630604</v>
      </c>
      <c r="K23" s="3">
        <f>'Main Sheet'!K59</f>
        <v>0.49422031641006398</v>
      </c>
      <c r="L23">
        <f>'Main Sheet'!S35</f>
        <v>0.370731711387634</v>
      </c>
      <c r="M23">
        <f>'Main Sheet'!T35</f>
        <v>0.83450627326965299</v>
      </c>
      <c r="N23">
        <f>'Main Sheet'!U35</f>
        <v>0.36765474081039401</v>
      </c>
      <c r="O23">
        <f>'Main Sheet'!S59</f>
        <v>0.431095391511917</v>
      </c>
      <c r="P23">
        <f>'Main Sheet'!T59</f>
        <v>0.84563577175140303</v>
      </c>
      <c r="Q23" s="3">
        <f>'Main Sheet'!U59</f>
        <v>0.38255935907363797</v>
      </c>
      <c r="R23">
        <f t="shared" si="1"/>
        <v>9.1579854488373025E-2</v>
      </c>
      <c r="S23">
        <f t="shared" si="2"/>
        <v>3.2129943370818981E-2</v>
      </c>
      <c r="T23">
        <f t="shared" si="3"/>
        <v>0.14321947097778304</v>
      </c>
      <c r="U23">
        <f t="shared" si="4"/>
        <v>7.7379196882248036E-2</v>
      </c>
      <c r="V23">
        <f t="shared" si="5"/>
        <v>5.022335052490301E-2</v>
      </c>
      <c r="W23">
        <f t="shared" si="6"/>
        <v>0.111660957336426</v>
      </c>
    </row>
    <row r="24" spans="1:23" x14ac:dyDescent="0.25">
      <c r="A24" s="105"/>
      <c r="B24" s="105">
        <v>50</v>
      </c>
      <c r="C24" s="3">
        <v>1</v>
      </c>
      <c r="D24">
        <f>'Main Sheet'!E36</f>
        <v>13</v>
      </c>
      <c r="E24" s="3">
        <f>'Main Sheet'!E60</f>
        <v>20</v>
      </c>
      <c r="F24">
        <f>'Main Sheet'!I36</f>
        <v>0.41481480002403198</v>
      </c>
      <c r="G24">
        <f>'Main Sheet'!J36</f>
        <v>0.825838923454284</v>
      </c>
      <c r="H24">
        <f>'Main Sheet'!K36</f>
        <v>0.42227467894554099</v>
      </c>
      <c r="I24">
        <f>'Main Sheet'!I60</f>
        <v>0.430894315242767</v>
      </c>
      <c r="J24">
        <f>'Main Sheet'!J60</f>
        <v>0.85489863157272294</v>
      </c>
      <c r="K24" s="3">
        <f>'Main Sheet'!K60</f>
        <v>0.382311850786209</v>
      </c>
      <c r="L24">
        <f>'Main Sheet'!S36</f>
        <v>0.40701752901077198</v>
      </c>
      <c r="M24">
        <f>'Main Sheet'!T36</f>
        <v>0.86419510841369596</v>
      </c>
      <c r="N24">
        <f>'Main Sheet'!U36</f>
        <v>0.38425895571708601</v>
      </c>
      <c r="O24">
        <f>'Main Sheet'!S60</f>
        <v>0.47191011905670099</v>
      </c>
      <c r="P24">
        <f>'Main Sheet'!T60</f>
        <v>0.85637271404266302</v>
      </c>
      <c r="Q24" s="3">
        <f>'Main Sheet'!U60</f>
        <v>0.49981117248535101</v>
      </c>
      <c r="R24">
        <f t="shared" si="1"/>
        <v>7.7972710132599987E-3</v>
      </c>
      <c r="S24">
        <f t="shared" si="2"/>
        <v>-3.8356184959411954E-2</v>
      </c>
      <c r="T24">
        <f t="shared" si="3"/>
        <v>3.8015723228454978E-2</v>
      </c>
      <c r="U24">
        <f t="shared" si="4"/>
        <v>-4.1015803813933993E-2</v>
      </c>
      <c r="V24">
        <f t="shared" si="5"/>
        <v>-1.4740824699400745E-3</v>
      </c>
      <c r="W24">
        <f t="shared" si="6"/>
        <v>-0.11749932169914201</v>
      </c>
    </row>
    <row r="25" spans="1:23" x14ac:dyDescent="0.25">
      <c r="A25" s="105"/>
      <c r="B25" s="105"/>
      <c r="C25" s="3">
        <v>2</v>
      </c>
      <c r="D25">
        <f>'Main Sheet'!E37</f>
        <v>25</v>
      </c>
      <c r="E25" s="3">
        <f>'Main Sheet'!E61</f>
        <v>4</v>
      </c>
      <c r="F25">
        <f>'Main Sheet'!I37</f>
        <v>0.34920635819435097</v>
      </c>
      <c r="G25">
        <f>'Main Sheet'!J37</f>
        <v>0.85023266077041604</v>
      </c>
      <c r="H25">
        <f>'Main Sheet'!K37</f>
        <v>0.41191568970680198</v>
      </c>
      <c r="I25">
        <f>'Main Sheet'!I61</f>
        <v>0.48760330677032399</v>
      </c>
      <c r="J25">
        <f>'Main Sheet'!J61</f>
        <v>0.90357160568237305</v>
      </c>
      <c r="K25" s="3">
        <f>'Main Sheet'!K61</f>
        <v>0.49297505617141701</v>
      </c>
      <c r="L25">
        <f>'Main Sheet'!S37</f>
        <v>0.34146341681480402</v>
      </c>
      <c r="M25">
        <f>'Main Sheet'!T37</f>
        <v>0.80423593521118097</v>
      </c>
      <c r="N25">
        <f>'Main Sheet'!U37</f>
        <v>0.30751499533653198</v>
      </c>
      <c r="O25">
        <f>'Main Sheet'!S61</f>
        <v>0.41245135664939803</v>
      </c>
      <c r="P25">
        <f>'Main Sheet'!T61</f>
        <v>0.85785257816314697</v>
      </c>
      <c r="Q25" s="3">
        <f>'Main Sheet'!U61</f>
        <v>0.37971735000610302</v>
      </c>
      <c r="R25">
        <f t="shared" si="1"/>
        <v>7.7429413795469526E-3</v>
      </c>
      <c r="S25">
        <f t="shared" si="2"/>
        <v>4.5996725559235063E-2</v>
      </c>
      <c r="T25">
        <f t="shared" si="3"/>
        <v>0.10440069437027</v>
      </c>
      <c r="U25">
        <f t="shared" si="4"/>
        <v>7.5151950120925959E-2</v>
      </c>
      <c r="V25">
        <f t="shared" si="5"/>
        <v>4.5719027519226074E-2</v>
      </c>
      <c r="W25">
        <f t="shared" si="6"/>
        <v>0.113257706165314</v>
      </c>
    </row>
    <row r="26" spans="1:23" x14ac:dyDescent="0.25">
      <c r="A26" s="105"/>
      <c r="B26" s="105"/>
      <c r="C26" s="3">
        <v>3</v>
      </c>
      <c r="D26">
        <f>'Main Sheet'!E38</f>
        <v>29</v>
      </c>
      <c r="E26" s="3">
        <f>'Main Sheet'!E62</f>
        <v>9</v>
      </c>
      <c r="F26">
        <f>'Main Sheet'!I38</f>
        <v>0.35532996058464</v>
      </c>
      <c r="G26">
        <f>'Main Sheet'!J38</f>
        <v>0.84073555469512895</v>
      </c>
      <c r="H26">
        <f>'Main Sheet'!K38</f>
        <v>0.41208741068839999</v>
      </c>
      <c r="I26">
        <f>'Main Sheet'!I62</f>
        <v>0.48068669438362099</v>
      </c>
      <c r="J26">
        <f>'Main Sheet'!J62</f>
        <v>0.85838246345519997</v>
      </c>
      <c r="K26" s="3">
        <f>'Main Sheet'!K62</f>
        <v>0.48779803514480502</v>
      </c>
      <c r="L26">
        <f>'Main Sheet'!S38</f>
        <v>0.31067961454391402</v>
      </c>
      <c r="M26">
        <f>'Main Sheet'!T38</f>
        <v>0.80970251560211104</v>
      </c>
      <c r="N26">
        <f>'Main Sheet'!U38</f>
        <v>0.29779574275016701</v>
      </c>
      <c r="O26">
        <f>'Main Sheet'!S62</f>
        <v>0.453237414360046</v>
      </c>
      <c r="P26">
        <f>'Main Sheet'!T62</f>
        <v>0.86078971624374301</v>
      </c>
      <c r="Q26" s="3">
        <f>'Main Sheet'!U62</f>
        <v>0.46594262123107899</v>
      </c>
      <c r="R26">
        <f t="shared" si="1"/>
        <v>4.4650346040725986E-2</v>
      </c>
      <c r="S26">
        <f t="shared" si="2"/>
        <v>3.1033039093017911E-2</v>
      </c>
      <c r="T26">
        <f t="shared" si="3"/>
        <v>0.11429166793823298</v>
      </c>
      <c r="U26">
        <f t="shared" si="4"/>
        <v>2.7449280023574996E-2</v>
      </c>
      <c r="V26">
        <f t="shared" si="5"/>
        <v>-2.407252788543035E-3</v>
      </c>
      <c r="W26">
        <f t="shared" si="6"/>
        <v>2.1855413913726029E-2</v>
      </c>
    </row>
    <row r="27" spans="1:23" x14ac:dyDescent="0.25">
      <c r="A27" s="107"/>
      <c r="B27" s="107"/>
      <c r="C27" s="8">
        <v>4</v>
      </c>
      <c r="D27" s="7">
        <f>'Main Sheet'!E39</f>
        <v>16</v>
      </c>
      <c r="E27" s="8">
        <f>'Main Sheet'!E63</f>
        <v>8</v>
      </c>
      <c r="F27" s="7">
        <f>'Main Sheet'!I39</f>
        <v>0.46486485004424999</v>
      </c>
      <c r="G27" s="7">
        <f>'Main Sheet'!J39</f>
        <v>0.88147175312042203</v>
      </c>
      <c r="H27" s="7">
        <f>'Main Sheet'!K39</f>
        <v>0.49897056818008401</v>
      </c>
      <c r="I27" s="7">
        <f>'Main Sheet'!I63</f>
        <v>0.47468355298042297</v>
      </c>
      <c r="J27" s="7">
        <f>'Main Sheet'!J63</f>
        <v>0.89904934167861905</v>
      </c>
      <c r="K27" s="8">
        <f>'Main Sheet'!K63</f>
        <v>0.48348343372344899</v>
      </c>
      <c r="L27" s="7">
        <f>'Main Sheet'!S39</f>
        <v>0.33980581164360002</v>
      </c>
      <c r="M27" s="7">
        <f>'Main Sheet'!T39</f>
        <v>0.83089709281921298</v>
      </c>
      <c r="N27" s="7">
        <f>'Main Sheet'!U39</f>
        <v>0.316507518291473</v>
      </c>
      <c r="O27" s="7">
        <f>'Main Sheet'!S63</f>
        <v>0.434782594442367</v>
      </c>
      <c r="P27" s="7">
        <f>'Main Sheet'!T63</f>
        <v>0.87798994779586703</v>
      </c>
      <c r="Q27" s="8">
        <f>'Main Sheet'!U63</f>
        <v>0.39214628934860202</v>
      </c>
      <c r="R27">
        <f t="shared" si="1"/>
        <v>0.12505903840064997</v>
      </c>
      <c r="S27">
        <f t="shared" si="2"/>
        <v>5.0574660301209051E-2</v>
      </c>
      <c r="T27">
        <f t="shared" si="3"/>
        <v>0.18246304988861101</v>
      </c>
      <c r="U27">
        <f t="shared" si="4"/>
        <v>3.9900958538055975E-2</v>
      </c>
      <c r="V27">
        <f t="shared" si="5"/>
        <v>2.105939388275202E-2</v>
      </c>
      <c r="W27">
        <f t="shared" si="6"/>
        <v>9.1337144374846968E-2</v>
      </c>
    </row>
    <row r="28" spans="1:23" x14ac:dyDescent="0.25">
      <c r="A28" s="103" t="s">
        <v>23</v>
      </c>
      <c r="B28" s="103">
        <v>18</v>
      </c>
      <c r="C28" s="3">
        <v>1</v>
      </c>
      <c r="D28">
        <f>'Main Sheet'!E40</f>
        <v>11</v>
      </c>
      <c r="E28" s="3">
        <f>'Main Sheet'!E52</f>
        <v>6</v>
      </c>
      <c r="F28" s="9">
        <f>'Main Sheet'!I40</f>
        <v>0.42804428935050898</v>
      </c>
      <c r="G28" s="9">
        <f>'Main Sheet'!J40</f>
        <v>0.84235513210296598</v>
      </c>
      <c r="H28" s="9">
        <f>'Main Sheet'!K40</f>
        <v>0.397595584392547</v>
      </c>
      <c r="I28" s="9">
        <f>'Main Sheet'!I52</f>
        <v>0.52173912525177002</v>
      </c>
      <c r="J28" s="9">
        <f>'Main Sheet'!J52</f>
        <v>0.84867036342620805</v>
      </c>
      <c r="K28" s="10">
        <f>'Main Sheet'!K52</f>
        <v>0.49701082706451399</v>
      </c>
      <c r="L28" s="9">
        <f>'Main Sheet'!S40</f>
        <v>0.35687732696533198</v>
      </c>
      <c r="M28" s="9">
        <f>'Main Sheet'!T40</f>
        <v>0.84149795770645097</v>
      </c>
      <c r="N28" s="9">
        <f>'Main Sheet'!U40</f>
        <v>0.35585039854049599</v>
      </c>
      <c r="O28" s="9">
        <f>'Main Sheet'!S52</f>
        <v>0.44370859861373901</v>
      </c>
      <c r="P28" s="9">
        <f>'Main Sheet'!T52</f>
        <v>0.85996675491332997</v>
      </c>
      <c r="Q28" s="10">
        <f>'Main Sheet'!U52</f>
        <v>0.39321514964103699</v>
      </c>
      <c r="R28">
        <f t="shared" si="1"/>
        <v>7.1166962385177002E-2</v>
      </c>
      <c r="S28">
        <f t="shared" si="2"/>
        <v>8.571743965150036E-4</v>
      </c>
      <c r="T28">
        <f t="shared" si="3"/>
        <v>4.1745185852051003E-2</v>
      </c>
      <c r="U28">
        <f t="shared" si="4"/>
        <v>7.8030526638031006E-2</v>
      </c>
      <c r="V28">
        <f t="shared" si="5"/>
        <v>-1.1296391487121915E-2</v>
      </c>
      <c r="W28">
        <f t="shared" si="6"/>
        <v>0.10379567742347701</v>
      </c>
    </row>
    <row r="29" spans="1:23" x14ac:dyDescent="0.25">
      <c r="A29" s="105"/>
      <c r="B29" s="105"/>
      <c r="C29" s="3">
        <v>2</v>
      </c>
      <c r="D29">
        <f>'Main Sheet'!E41</f>
        <v>7</v>
      </c>
      <c r="E29" s="3">
        <f>'Main Sheet'!E53</f>
        <v>8</v>
      </c>
      <c r="F29">
        <f>'Main Sheet'!I41</f>
        <v>0.37864077091217002</v>
      </c>
      <c r="G29">
        <f>'Main Sheet'!J41</f>
        <v>0.85435140132903997</v>
      </c>
      <c r="H29">
        <f>'Main Sheet'!K41</f>
        <v>0.363403290510177</v>
      </c>
      <c r="I29">
        <f>'Main Sheet'!I53</f>
        <v>0.41379311680793701</v>
      </c>
      <c r="J29">
        <f>'Main Sheet'!J53</f>
        <v>0.88900679349899203</v>
      </c>
      <c r="K29" s="3">
        <f>'Main Sheet'!K53</f>
        <v>0.54354256391525202</v>
      </c>
      <c r="L29">
        <f>'Main Sheet'!S41</f>
        <v>0.33777776360511702</v>
      </c>
      <c r="M29">
        <f>'Main Sheet'!T41</f>
        <v>0.80677282810211104</v>
      </c>
      <c r="N29">
        <f>'Main Sheet'!U41</f>
        <v>0.269260644912719</v>
      </c>
      <c r="O29">
        <f>'Main Sheet'!S53</f>
        <v>0.39779004454612699</v>
      </c>
      <c r="P29">
        <f>'Main Sheet'!T53</f>
        <v>0.86401391029357899</v>
      </c>
      <c r="Q29" s="3">
        <f>'Main Sheet'!U53</f>
        <v>0.44246089458465498</v>
      </c>
      <c r="R29">
        <f t="shared" si="1"/>
        <v>4.0863007307053001E-2</v>
      </c>
      <c r="S29">
        <f t="shared" si="2"/>
        <v>4.7578573226928933E-2</v>
      </c>
      <c r="T29">
        <f t="shared" si="3"/>
        <v>9.4142645597457997E-2</v>
      </c>
      <c r="U29">
        <f t="shared" si="4"/>
        <v>1.6003072261810025E-2</v>
      </c>
      <c r="V29">
        <f t="shared" si="5"/>
        <v>2.4992883205413041E-2</v>
      </c>
      <c r="W29">
        <f t="shared" si="6"/>
        <v>0.10108166933059703</v>
      </c>
    </row>
    <row r="30" spans="1:23" x14ac:dyDescent="0.25">
      <c r="A30" s="105"/>
      <c r="B30" s="105"/>
      <c r="C30" s="3">
        <v>3</v>
      </c>
      <c r="D30">
        <f>'Main Sheet'!E42</f>
        <v>25</v>
      </c>
      <c r="E30" s="3">
        <f>'Main Sheet'!E54</f>
        <v>6</v>
      </c>
      <c r="F30">
        <f>'Main Sheet'!I42</f>
        <v>0.380952388048172</v>
      </c>
      <c r="G30">
        <f>'Main Sheet'!J42</f>
        <v>0.84852075576782204</v>
      </c>
      <c r="H30">
        <f>'Main Sheet'!K42</f>
        <v>0.37949493527412398</v>
      </c>
      <c r="I30">
        <f>'Main Sheet'!I54</f>
        <v>0.46540880203246998</v>
      </c>
      <c r="J30">
        <f>'Main Sheet'!J54</f>
        <v>0.84707576036453203</v>
      </c>
      <c r="K30" s="3">
        <f>'Main Sheet'!K54</f>
        <v>0.42528277635574302</v>
      </c>
      <c r="L30">
        <f>'Main Sheet'!S42</f>
        <v>0.35051545500755299</v>
      </c>
      <c r="M30">
        <f>'Main Sheet'!T42</f>
        <v>0.83388704061508101</v>
      </c>
      <c r="N30">
        <f>'Main Sheet'!U42</f>
        <v>0.32921004295349099</v>
      </c>
      <c r="O30">
        <f>'Main Sheet'!S54</f>
        <v>0.401129931211471</v>
      </c>
      <c r="P30">
        <f>'Main Sheet'!T54</f>
        <v>0.86666423082351596</v>
      </c>
      <c r="Q30" s="3">
        <f>'Main Sheet'!U54</f>
        <v>0.392840266227722</v>
      </c>
      <c r="R30">
        <f t="shared" si="1"/>
        <v>3.0436933040619008E-2</v>
      </c>
      <c r="S30">
        <f t="shared" si="2"/>
        <v>1.4633715152741034E-2</v>
      </c>
      <c r="T30">
        <f t="shared" si="3"/>
        <v>5.028489232063299E-2</v>
      </c>
      <c r="U30">
        <f t="shared" si="4"/>
        <v>6.4278870820998979E-2</v>
      </c>
      <c r="V30">
        <f t="shared" si="5"/>
        <v>-1.9588470458983931E-2</v>
      </c>
      <c r="W30">
        <f t="shared" si="6"/>
        <v>3.2442510128021018E-2</v>
      </c>
    </row>
    <row r="31" spans="1:23" x14ac:dyDescent="0.25">
      <c r="A31" s="105"/>
      <c r="B31" s="105"/>
      <c r="C31" s="3">
        <v>4</v>
      </c>
      <c r="D31">
        <f>'Main Sheet'!E43</f>
        <v>19</v>
      </c>
      <c r="E31" s="3">
        <f>'Main Sheet'!E55</f>
        <v>8</v>
      </c>
      <c r="F31">
        <f>'Main Sheet'!I43</f>
        <v>0.46896553039550698</v>
      </c>
      <c r="G31">
        <f>'Main Sheet'!J43</f>
        <v>0.87818098068237305</v>
      </c>
      <c r="H31">
        <f>'Main Sheet'!K43</f>
        <v>0.48726895451545699</v>
      </c>
      <c r="I31">
        <f>'Main Sheet'!I55</f>
        <v>0.47164177894592202</v>
      </c>
      <c r="J31">
        <f>'Main Sheet'!J55</f>
        <v>0.88942408561706499</v>
      </c>
      <c r="K31" s="3">
        <f>'Main Sheet'!K55</f>
        <v>0.50199639797210605</v>
      </c>
      <c r="L31">
        <f>'Main Sheet'!S43</f>
        <v>0.37900874018669101</v>
      </c>
      <c r="M31">
        <f>'Main Sheet'!T43</f>
        <v>0.84830111265182495</v>
      </c>
      <c r="N31">
        <f>'Main Sheet'!U43</f>
        <v>0.36820226907730103</v>
      </c>
      <c r="O31">
        <f>'Main Sheet'!S55</f>
        <v>0.40000000596046398</v>
      </c>
      <c r="P31">
        <f>'Main Sheet'!T55</f>
        <v>0.87003928422927801</v>
      </c>
      <c r="Q31" s="3">
        <f>'Main Sheet'!U55</f>
        <v>0.42728608846664401</v>
      </c>
      <c r="R31">
        <f t="shared" si="1"/>
        <v>8.9956790208815973E-2</v>
      </c>
      <c r="S31">
        <f t="shared" si="2"/>
        <v>2.9879868030548096E-2</v>
      </c>
      <c r="T31">
        <f t="shared" si="3"/>
        <v>0.11906668543815596</v>
      </c>
      <c r="U31">
        <f t="shared" si="4"/>
        <v>7.1641772985458041E-2</v>
      </c>
      <c r="V31">
        <f t="shared" si="5"/>
        <v>1.9384801387786976E-2</v>
      </c>
      <c r="W31">
        <f t="shared" si="6"/>
        <v>7.4710309505462036E-2</v>
      </c>
    </row>
    <row r="32" spans="1:23" x14ac:dyDescent="0.25">
      <c r="A32" s="105"/>
      <c r="B32" s="105">
        <v>34</v>
      </c>
      <c r="C32" s="3">
        <v>1</v>
      </c>
      <c r="D32">
        <f>'Main Sheet'!E44</f>
        <v>24</v>
      </c>
      <c r="E32" s="3">
        <f>'Main Sheet'!E56</f>
        <v>3</v>
      </c>
      <c r="F32">
        <f>'Main Sheet'!I44</f>
        <v>0.44303798675537098</v>
      </c>
      <c r="G32">
        <f>'Main Sheet'!J44</f>
        <v>0.85094964504241899</v>
      </c>
      <c r="H32">
        <f>'Main Sheet'!K44</f>
        <v>0.37610369920730502</v>
      </c>
      <c r="I32">
        <f>'Main Sheet'!I56</f>
        <v>0.48135593533515902</v>
      </c>
      <c r="J32">
        <f>'Main Sheet'!J56</f>
        <v>0.85361671447753895</v>
      </c>
      <c r="K32" s="3">
        <f>'Main Sheet'!K56</f>
        <v>0.38477489352226202</v>
      </c>
      <c r="L32">
        <f>'Main Sheet'!S44</f>
        <v>0.422712922096252</v>
      </c>
      <c r="M32">
        <f>'Main Sheet'!T44</f>
        <v>0.842426717281341</v>
      </c>
      <c r="N32">
        <f>'Main Sheet'!U44</f>
        <v>0.362184077501297</v>
      </c>
      <c r="O32">
        <f>'Main Sheet'!S56</f>
        <v>0.44444444775581299</v>
      </c>
      <c r="P32">
        <f>'Main Sheet'!T56</f>
        <v>0.84364998340606601</v>
      </c>
      <c r="Q32" s="3">
        <f>'Main Sheet'!U56</f>
        <v>0.351035356521606</v>
      </c>
      <c r="R32">
        <f t="shared" si="1"/>
        <v>2.0325064659118985E-2</v>
      </c>
      <c r="S32">
        <f t="shared" si="2"/>
        <v>8.5229277610779919E-3</v>
      </c>
      <c r="T32">
        <f t="shared" si="3"/>
        <v>1.3919621706008023E-2</v>
      </c>
      <c r="U32">
        <f t="shared" si="4"/>
        <v>3.6911487579346036E-2</v>
      </c>
      <c r="V32">
        <f t="shared" si="5"/>
        <v>9.9667310714729451E-3</v>
      </c>
      <c r="W32">
        <f t="shared" si="6"/>
        <v>3.3739537000656017E-2</v>
      </c>
    </row>
    <row r="33" spans="1:23" x14ac:dyDescent="0.25">
      <c r="A33" s="105"/>
      <c r="B33" s="105"/>
      <c r="C33" s="3">
        <v>2</v>
      </c>
      <c r="D33">
        <f>'Main Sheet'!E45</f>
        <v>21</v>
      </c>
      <c r="E33" s="3">
        <f>'Main Sheet'!E57</f>
        <v>20</v>
      </c>
      <c r="F33">
        <f>'Main Sheet'!I45</f>
        <v>0.45945945382118197</v>
      </c>
      <c r="G33">
        <f>'Main Sheet'!J45</f>
        <v>0.87553453445434504</v>
      </c>
      <c r="H33">
        <f>'Main Sheet'!K45</f>
        <v>0.44040283560752802</v>
      </c>
      <c r="I33">
        <f>'Main Sheet'!I57</f>
        <v>0.48868778347969</v>
      </c>
      <c r="J33">
        <f>'Main Sheet'!J57</f>
        <v>0.89228439331054599</v>
      </c>
      <c r="K33" s="3">
        <f>'Main Sheet'!K57</f>
        <v>0.52881020307540805</v>
      </c>
      <c r="L33">
        <f>'Main Sheet'!S45</f>
        <v>0.35102039575576699</v>
      </c>
      <c r="M33">
        <f>'Main Sheet'!T45</f>
        <v>0.83720934391021695</v>
      </c>
      <c r="N33">
        <f>'Main Sheet'!U45</f>
        <v>0.345467388629913</v>
      </c>
      <c r="O33">
        <f>'Main Sheet'!S57</f>
        <v>0.460317462682724</v>
      </c>
      <c r="P33">
        <f>'Main Sheet'!T57</f>
        <v>0.86284357309341397</v>
      </c>
      <c r="Q33" s="3">
        <f>'Main Sheet'!U57</f>
        <v>0.40798449516296298</v>
      </c>
      <c r="R33">
        <f t="shared" si="1"/>
        <v>0.10843905806541498</v>
      </c>
      <c r="S33">
        <f t="shared" si="2"/>
        <v>3.8325190544128085E-2</v>
      </c>
      <c r="T33">
        <f t="shared" si="3"/>
        <v>9.4935446977615023E-2</v>
      </c>
      <c r="U33">
        <f t="shared" si="4"/>
        <v>2.8370320796965998E-2</v>
      </c>
      <c r="V33">
        <f t="shared" si="5"/>
        <v>2.9440820217132013E-2</v>
      </c>
      <c r="W33">
        <f t="shared" si="6"/>
        <v>0.12082570791244507</v>
      </c>
    </row>
    <row r="34" spans="1:23" x14ac:dyDescent="0.25">
      <c r="A34" s="105"/>
      <c r="B34" s="105"/>
      <c r="C34" s="3">
        <v>3</v>
      </c>
      <c r="D34">
        <f>'Main Sheet'!E46</f>
        <v>48</v>
      </c>
      <c r="E34" s="3">
        <f>'Main Sheet'!E58</f>
        <v>10</v>
      </c>
      <c r="F34">
        <f>'Main Sheet'!I46</f>
        <v>0.41904762387275601</v>
      </c>
      <c r="G34">
        <f>'Main Sheet'!J46</f>
        <v>0.85144215822219804</v>
      </c>
      <c r="H34">
        <f>'Main Sheet'!K46</f>
        <v>0.40989235043525601</v>
      </c>
      <c r="I34">
        <f>'Main Sheet'!I58</f>
        <v>0.37037035822868303</v>
      </c>
      <c r="J34">
        <f>'Main Sheet'!J58</f>
        <v>0.86327779293060303</v>
      </c>
      <c r="K34" s="3">
        <f>'Main Sheet'!K58</f>
        <v>0.42630520462989802</v>
      </c>
      <c r="L34">
        <f>'Main Sheet'!S46</f>
        <v>0.33497536182403498</v>
      </c>
      <c r="M34">
        <f>'Main Sheet'!T46</f>
        <v>0.796375691890716</v>
      </c>
      <c r="N34">
        <f>'Main Sheet'!U46</f>
        <v>0.305653095245361</v>
      </c>
      <c r="O34">
        <f>'Main Sheet'!S58</f>
        <v>0.31707316637039101</v>
      </c>
      <c r="P34">
        <f>'Main Sheet'!T58</f>
        <v>0.85711264610290505</v>
      </c>
      <c r="Q34" s="3">
        <f>'Main Sheet'!U58</f>
        <v>0.405340135097503</v>
      </c>
      <c r="R34">
        <f t="shared" si="1"/>
        <v>8.4072262048721036E-2</v>
      </c>
      <c r="S34">
        <f t="shared" si="2"/>
        <v>5.5066466331482045E-2</v>
      </c>
      <c r="T34">
        <f t="shared" si="3"/>
        <v>0.10423925518989502</v>
      </c>
      <c r="U34">
        <f t="shared" si="4"/>
        <v>5.3297191858292015E-2</v>
      </c>
      <c r="V34">
        <f t="shared" si="5"/>
        <v>6.165146827697976E-3</v>
      </c>
      <c r="W34">
        <f t="shared" si="6"/>
        <v>2.096506953239502E-2</v>
      </c>
    </row>
    <row r="35" spans="1:23" x14ac:dyDescent="0.25">
      <c r="A35" s="105"/>
      <c r="B35" s="105"/>
      <c r="C35" s="3">
        <v>4</v>
      </c>
      <c r="D35">
        <f>'Main Sheet'!E47</f>
        <v>33</v>
      </c>
      <c r="E35" s="3">
        <f>'Main Sheet'!E59</f>
        <v>31</v>
      </c>
      <c r="F35">
        <f>'Main Sheet'!I47</f>
        <v>0.487394958734512</v>
      </c>
      <c r="G35">
        <f>'Main Sheet'!J47</f>
        <v>0.86129802465438798</v>
      </c>
      <c r="H35">
        <f>'Main Sheet'!K47</f>
        <v>0.50594079494476296</v>
      </c>
      <c r="I35">
        <f>'Main Sheet'!I59</f>
        <v>0.50847458839416504</v>
      </c>
      <c r="J35">
        <f>'Main Sheet'!J59</f>
        <v>0.89585912227630604</v>
      </c>
      <c r="K35" s="3">
        <f>'Main Sheet'!K59</f>
        <v>0.49422031641006398</v>
      </c>
      <c r="L35">
        <f>'Main Sheet'!S47</f>
        <v>0.38951310515403698</v>
      </c>
      <c r="M35">
        <f>'Main Sheet'!T47</f>
        <v>0.83793413639068604</v>
      </c>
      <c r="N35">
        <f>'Main Sheet'!U47</f>
        <v>0.357453793287277</v>
      </c>
      <c r="O35">
        <f>'Main Sheet'!S59</f>
        <v>0.431095391511917</v>
      </c>
      <c r="P35">
        <f>'Main Sheet'!T59</f>
        <v>0.84563577175140303</v>
      </c>
      <c r="Q35" s="3">
        <f>'Main Sheet'!U59</f>
        <v>0.38255935907363797</v>
      </c>
      <c r="R35">
        <f t="shared" si="1"/>
        <v>9.788185358047502E-2</v>
      </c>
      <c r="S35">
        <f t="shared" si="2"/>
        <v>2.3363888263701948E-2</v>
      </c>
      <c r="T35">
        <f t="shared" si="3"/>
        <v>0.14848700165748596</v>
      </c>
      <c r="U35">
        <f t="shared" si="4"/>
        <v>7.7379196882248036E-2</v>
      </c>
      <c r="V35">
        <f t="shared" si="5"/>
        <v>5.022335052490301E-2</v>
      </c>
      <c r="W35">
        <f t="shared" si="6"/>
        <v>0.111660957336426</v>
      </c>
    </row>
    <row r="36" spans="1:23" x14ac:dyDescent="0.25">
      <c r="A36" s="105"/>
      <c r="B36" s="105">
        <v>50</v>
      </c>
      <c r="C36" s="3">
        <v>1</v>
      </c>
      <c r="D36">
        <f>'Main Sheet'!E48</f>
        <v>8</v>
      </c>
      <c r="E36" s="3">
        <f>'Main Sheet'!E60</f>
        <v>20</v>
      </c>
      <c r="F36">
        <f>'Main Sheet'!I48</f>
        <v>0.20408163964748299</v>
      </c>
      <c r="G36">
        <f>'Main Sheet'!J48</f>
        <v>0.81001901626586903</v>
      </c>
      <c r="H36">
        <f>'Main Sheet'!K48</f>
        <v>0.39950579404830899</v>
      </c>
      <c r="I36">
        <f>'Main Sheet'!I60</f>
        <v>0.430894315242767</v>
      </c>
      <c r="J36">
        <f>'Main Sheet'!J60</f>
        <v>0.85489863157272294</v>
      </c>
      <c r="K36" s="3">
        <f>'Main Sheet'!K60</f>
        <v>0.382311850786209</v>
      </c>
      <c r="L36">
        <f>'Main Sheet'!S48</f>
        <v>0.170542642474174</v>
      </c>
      <c r="M36">
        <f>'Main Sheet'!T48</f>
        <v>0.80191028118133501</v>
      </c>
      <c r="N36">
        <f>'Main Sheet'!U48</f>
        <v>0.330825746059417</v>
      </c>
      <c r="O36">
        <f>'Main Sheet'!S60</f>
        <v>0.47191011905670099</v>
      </c>
      <c r="P36">
        <f>'Main Sheet'!T60</f>
        <v>0.85637271404266302</v>
      </c>
      <c r="Q36" s="3">
        <f>'Main Sheet'!U60</f>
        <v>0.49981117248535101</v>
      </c>
      <c r="R36">
        <f t="shared" si="1"/>
        <v>3.3538997173308993E-2</v>
      </c>
      <c r="S36">
        <f t="shared" si="2"/>
        <v>8.1087350845340245E-3</v>
      </c>
      <c r="T36">
        <f t="shared" si="3"/>
        <v>6.868004798889199E-2</v>
      </c>
      <c r="U36">
        <f t="shared" si="4"/>
        <v>-4.1015803813933993E-2</v>
      </c>
      <c r="V36">
        <f t="shared" si="5"/>
        <v>-1.4740824699400745E-3</v>
      </c>
      <c r="W36">
        <f t="shared" si="6"/>
        <v>-0.11749932169914201</v>
      </c>
    </row>
    <row r="37" spans="1:23" x14ac:dyDescent="0.25">
      <c r="A37" s="105"/>
      <c r="B37" s="105"/>
      <c r="C37" s="3">
        <v>2</v>
      </c>
      <c r="D37">
        <f>'Main Sheet'!E49</f>
        <v>15</v>
      </c>
      <c r="E37" s="3">
        <f>'Main Sheet'!E61</f>
        <v>4</v>
      </c>
      <c r="F37">
        <f>'Main Sheet'!I49</f>
        <v>0.33333334326744002</v>
      </c>
      <c r="G37">
        <f>'Main Sheet'!J49</f>
        <v>0.87028390169143599</v>
      </c>
      <c r="H37">
        <f>'Main Sheet'!K49</f>
        <v>0.48008829355239802</v>
      </c>
      <c r="I37">
        <f>'Main Sheet'!I61</f>
        <v>0.48760330677032399</v>
      </c>
      <c r="J37">
        <f>'Main Sheet'!J61</f>
        <v>0.90357160568237305</v>
      </c>
      <c r="K37" s="3">
        <f>'Main Sheet'!K61</f>
        <v>0.49297505617141701</v>
      </c>
      <c r="L37">
        <f>'Main Sheet'!S49</f>
        <v>0.22972972691059099</v>
      </c>
      <c r="M37">
        <f>'Main Sheet'!T49</f>
        <v>0.821707904338836</v>
      </c>
      <c r="N37">
        <f>'Main Sheet'!U49</f>
        <v>0.33657336235046298</v>
      </c>
      <c r="O37">
        <f>'Main Sheet'!S61</f>
        <v>0.41245135664939803</v>
      </c>
      <c r="P37">
        <f>'Main Sheet'!T61</f>
        <v>0.85785257816314697</v>
      </c>
      <c r="Q37" s="3">
        <f>'Main Sheet'!U61</f>
        <v>0.37971735000610302</v>
      </c>
      <c r="R37">
        <f t="shared" si="1"/>
        <v>0.10360361635684903</v>
      </c>
      <c r="S37">
        <f t="shared" si="2"/>
        <v>4.8575997352599987E-2</v>
      </c>
      <c r="T37">
        <f t="shared" si="3"/>
        <v>0.14351493120193504</v>
      </c>
      <c r="U37">
        <f t="shared" si="4"/>
        <v>7.5151950120925959E-2</v>
      </c>
      <c r="V37">
        <f t="shared" si="5"/>
        <v>4.5719027519226074E-2</v>
      </c>
      <c r="W37">
        <f t="shared" si="6"/>
        <v>0.113257706165314</v>
      </c>
    </row>
    <row r="38" spans="1:23" x14ac:dyDescent="0.25">
      <c r="A38" s="105"/>
      <c r="B38" s="105"/>
      <c r="C38" s="3">
        <v>3</v>
      </c>
      <c r="D38">
        <f>'Main Sheet'!E50</f>
        <v>14</v>
      </c>
      <c r="E38" s="3">
        <f>'Main Sheet'!E62</f>
        <v>9</v>
      </c>
      <c r="F38">
        <f>'Main Sheet'!I50</f>
        <v>0.27586206793785001</v>
      </c>
      <c r="G38">
        <f>'Main Sheet'!J50</f>
        <v>0.84948408603668202</v>
      </c>
      <c r="H38">
        <f>'Main Sheet'!K50</f>
        <v>0.395836651325225</v>
      </c>
      <c r="I38">
        <f>'Main Sheet'!I62</f>
        <v>0.48068669438362099</v>
      </c>
      <c r="J38">
        <f>'Main Sheet'!J62</f>
        <v>0.85838246345519997</v>
      </c>
      <c r="K38" s="3">
        <f>'Main Sheet'!K62</f>
        <v>0.48779803514480502</v>
      </c>
      <c r="L38">
        <f>'Main Sheet'!S50</f>
        <v>0.272727280855178</v>
      </c>
      <c r="M38">
        <f>'Main Sheet'!T50</f>
        <v>0.844623982906341</v>
      </c>
      <c r="N38">
        <f>'Main Sheet'!U50</f>
        <v>0.33928376436233498</v>
      </c>
      <c r="O38">
        <f>'Main Sheet'!S62</f>
        <v>0.453237414360046</v>
      </c>
      <c r="P38">
        <f>'Main Sheet'!T62</f>
        <v>0.86078971624374301</v>
      </c>
      <c r="Q38" s="3">
        <f>'Main Sheet'!U62</f>
        <v>0.46594262123107899</v>
      </c>
      <c r="R38">
        <f t="shared" si="1"/>
        <v>3.1347870826720081E-3</v>
      </c>
      <c r="S38">
        <f t="shared" si="2"/>
        <v>4.8601031303410203E-3</v>
      </c>
      <c r="T38">
        <f t="shared" si="3"/>
        <v>5.6552886962890014E-2</v>
      </c>
      <c r="U38">
        <f t="shared" si="4"/>
        <v>2.7449280023574996E-2</v>
      </c>
      <c r="V38">
        <f t="shared" si="5"/>
        <v>-2.407252788543035E-3</v>
      </c>
      <c r="W38">
        <f t="shared" si="6"/>
        <v>2.1855413913726029E-2</v>
      </c>
    </row>
    <row r="39" spans="1:23" x14ac:dyDescent="0.25">
      <c r="A39" s="107"/>
      <c r="B39" s="107"/>
      <c r="C39" s="8">
        <v>4</v>
      </c>
      <c r="D39" s="7">
        <f>'Main Sheet'!E51</f>
        <v>17</v>
      </c>
      <c r="E39" s="8">
        <f>'Main Sheet'!E63</f>
        <v>8</v>
      </c>
      <c r="F39" s="7">
        <f>'Main Sheet'!I51</f>
        <v>0.404109597206115</v>
      </c>
      <c r="G39" s="7">
        <f>'Main Sheet'!J51</f>
        <v>0.85933279991149902</v>
      </c>
      <c r="H39" s="7">
        <f>'Main Sheet'!K51</f>
        <v>0.43972122669219899</v>
      </c>
      <c r="I39" s="7">
        <f>'Main Sheet'!I63</f>
        <v>0.47468355298042297</v>
      </c>
      <c r="J39" s="7">
        <f>'Main Sheet'!J63</f>
        <v>0.89904934167861905</v>
      </c>
      <c r="K39" s="8">
        <f>'Main Sheet'!K63</f>
        <v>0.48348343372344899</v>
      </c>
      <c r="L39" s="7">
        <f>'Main Sheet'!S51</f>
        <v>0.37209302186965898</v>
      </c>
      <c r="M39" s="7">
        <f>'Main Sheet'!T51</f>
        <v>0.84529596567153897</v>
      </c>
      <c r="N39" s="7">
        <f>'Main Sheet'!U51</f>
        <v>0.28834438323974598</v>
      </c>
      <c r="O39" s="7">
        <f>'Main Sheet'!S63</f>
        <v>0.434782594442367</v>
      </c>
      <c r="P39" s="7">
        <f>'Main Sheet'!T63</f>
        <v>0.87798994779586703</v>
      </c>
      <c r="Q39" s="8">
        <f>'Main Sheet'!U63</f>
        <v>0.39214628934860202</v>
      </c>
      <c r="R39">
        <f t="shared" si="1"/>
        <v>3.2016575336456021E-2</v>
      </c>
      <c r="S39">
        <f t="shared" si="2"/>
        <v>1.403683423996005E-2</v>
      </c>
      <c r="T39">
        <f t="shared" si="3"/>
        <v>0.151376843452453</v>
      </c>
      <c r="U39">
        <f t="shared" si="4"/>
        <v>3.9900958538055975E-2</v>
      </c>
      <c r="V39">
        <f t="shared" si="5"/>
        <v>2.105939388275202E-2</v>
      </c>
      <c r="W39">
        <f t="shared" si="6"/>
        <v>9.1337144374846968E-2</v>
      </c>
    </row>
    <row r="40" spans="1:23" x14ac:dyDescent="0.25">
      <c r="A40" s="103" t="s">
        <v>25</v>
      </c>
      <c r="B40" s="103"/>
      <c r="C40" s="10">
        <v>1</v>
      </c>
      <c r="D40">
        <f>'Main Sheet'!E64</f>
        <v>38</v>
      </c>
      <c r="E40" s="10">
        <f>'Main Sheet'!E72</f>
        <v>45</v>
      </c>
      <c r="F40" s="9">
        <f>'Main Sheet'!I64</f>
        <v>0</v>
      </c>
      <c r="G40" s="9">
        <f>'Main Sheet'!J64</f>
        <v>0.69873368740081698</v>
      </c>
      <c r="H40" s="9">
        <f>'Main Sheet'!K64</f>
        <v>0.19846300780773099</v>
      </c>
      <c r="I40" s="9">
        <f>'Main Sheet'!I72</f>
        <v>0.318407952785491</v>
      </c>
      <c r="J40" s="9">
        <f>'Main Sheet'!J72</f>
        <v>0.81348526477813698</v>
      </c>
      <c r="K40" s="10">
        <f>'Main Sheet'!K72</f>
        <v>0.33723288774490301</v>
      </c>
      <c r="L40" s="9">
        <f>'Main Sheet'!S64</f>
        <v>0</v>
      </c>
      <c r="M40" s="9">
        <f>'Main Sheet'!T64</f>
        <v>0.68266385793685902</v>
      </c>
      <c r="N40" s="9">
        <f>'Main Sheet'!U64</f>
        <v>0.178153902292251</v>
      </c>
      <c r="O40" s="9">
        <f>'Main Sheet'!S72</f>
        <v>0.39252337813377303</v>
      </c>
      <c r="P40" s="9">
        <f>'Main Sheet'!T72</f>
        <v>0.81936728954315097</v>
      </c>
      <c r="Q40" s="10">
        <f>'Main Sheet'!U72</f>
        <v>0.32699429988861001</v>
      </c>
      <c r="R40">
        <f t="shared" si="1"/>
        <v>0</v>
      </c>
      <c r="S40">
        <f t="shared" si="2"/>
        <v>1.6069829463957963E-2</v>
      </c>
      <c r="T40">
        <f t="shared" si="3"/>
        <v>2.0309105515479986E-2</v>
      </c>
      <c r="U40">
        <f t="shared" si="4"/>
        <v>-7.4115425348282027E-2</v>
      </c>
      <c r="V40">
        <f>J40-P40</f>
        <v>-5.8820247650139823E-3</v>
      </c>
      <c r="W40">
        <f t="shared" si="6"/>
        <v>1.0238587856293002E-2</v>
      </c>
    </row>
    <row r="41" spans="1:23" x14ac:dyDescent="0.25">
      <c r="A41" s="105"/>
      <c r="B41" s="105"/>
      <c r="C41" s="3">
        <v>2</v>
      </c>
      <c r="D41">
        <f>'Main Sheet'!E65</f>
        <v>46</v>
      </c>
      <c r="E41" s="3">
        <f>'Main Sheet'!E73</f>
        <v>4</v>
      </c>
      <c r="F41">
        <f>'Main Sheet'!I65</f>
        <v>0</v>
      </c>
      <c r="G41">
        <f>'Main Sheet'!J65</f>
        <v>0.74301230907440097</v>
      </c>
      <c r="H41">
        <f>'Main Sheet'!K65</f>
        <v>0.22170831263065299</v>
      </c>
      <c r="I41">
        <f>'Main Sheet'!I73</f>
        <v>0.34482759237289401</v>
      </c>
      <c r="J41">
        <f>'Main Sheet'!J73</f>
        <v>0.85689806938171298</v>
      </c>
      <c r="K41" s="3">
        <f>'Main Sheet'!K73</f>
        <v>0.39140477776527399</v>
      </c>
      <c r="L41">
        <f>'Main Sheet'!S65</f>
        <v>0</v>
      </c>
      <c r="M41">
        <f>'Main Sheet'!T65</f>
        <v>0.67980223894119196</v>
      </c>
      <c r="N41">
        <f>'Main Sheet'!U65</f>
        <v>0.13317538797855299</v>
      </c>
      <c r="O41">
        <f>'Main Sheet'!S73</f>
        <v>0.229508191347122</v>
      </c>
      <c r="P41">
        <f>'Main Sheet'!T73</f>
        <v>0.76944279670715299</v>
      </c>
      <c r="Q41" s="3">
        <f>'Main Sheet'!U73</f>
        <v>0.230017140507698</v>
      </c>
      <c r="R41">
        <f t="shared" si="1"/>
        <v>0</v>
      </c>
      <c r="S41">
        <f t="shared" si="2"/>
        <v>6.3210070133209006E-2</v>
      </c>
      <c r="T41">
        <f t="shared" si="3"/>
        <v>8.8532924652099998E-2</v>
      </c>
      <c r="U41">
        <f t="shared" si="4"/>
        <v>0.11531940102577201</v>
      </c>
      <c r="V41">
        <f t="shared" si="5"/>
        <v>8.7455272674559992E-2</v>
      </c>
      <c r="W41">
        <f t="shared" si="6"/>
        <v>0.16138763725757599</v>
      </c>
    </row>
    <row r="42" spans="1:23" x14ac:dyDescent="0.25">
      <c r="A42" s="105"/>
      <c r="B42" s="105"/>
      <c r="C42" s="3">
        <v>3</v>
      </c>
      <c r="D42">
        <f>'Main Sheet'!E66</f>
        <v>48</v>
      </c>
      <c r="E42" s="3">
        <f>'Main Sheet'!E74</f>
        <v>6</v>
      </c>
      <c r="F42">
        <f>'Main Sheet'!I66</f>
        <v>0</v>
      </c>
      <c r="G42">
        <f>'Main Sheet'!J66</f>
        <v>0.65843927860259999</v>
      </c>
      <c r="H42">
        <f>'Main Sheet'!K66</f>
        <v>0.13704247772693601</v>
      </c>
      <c r="I42">
        <f>'Main Sheet'!I74</f>
        <v>0.38977634906768799</v>
      </c>
      <c r="J42">
        <f>'Main Sheet'!J74</f>
        <v>0.81745111942291204</v>
      </c>
      <c r="K42" s="3">
        <f>'Main Sheet'!K74</f>
        <v>0.33580386638641302</v>
      </c>
      <c r="L42">
        <f>'Main Sheet'!S66</f>
        <v>0</v>
      </c>
      <c r="M42">
        <f>'Main Sheet'!T66</f>
        <v>0.65945333242416304</v>
      </c>
      <c r="N42">
        <f>'Main Sheet'!U66</f>
        <v>0.12829360365867601</v>
      </c>
      <c r="O42">
        <f>'Main Sheet'!S74</f>
        <v>0.347305387258529</v>
      </c>
      <c r="P42">
        <f>'Main Sheet'!T74</f>
        <v>0.80030208826064997</v>
      </c>
      <c r="Q42" s="3">
        <f>'Main Sheet'!U74</f>
        <v>0.27865141630172702</v>
      </c>
      <c r="R42">
        <f t="shared" si="1"/>
        <v>0</v>
      </c>
      <c r="S42">
        <f t="shared" si="2"/>
        <v>-1.0140538215630546E-3</v>
      </c>
      <c r="T42">
        <f t="shared" si="3"/>
        <v>8.7488740682599986E-3</v>
      </c>
      <c r="U42">
        <f t="shared" si="4"/>
        <v>4.2470961809158991E-2</v>
      </c>
      <c r="V42">
        <f t="shared" si="5"/>
        <v>1.7149031162262074E-2</v>
      </c>
      <c r="W42">
        <f t="shared" si="6"/>
        <v>5.7152450084686002E-2</v>
      </c>
    </row>
    <row r="43" spans="1:23" x14ac:dyDescent="0.25">
      <c r="A43" s="107"/>
      <c r="B43" s="107"/>
      <c r="C43" s="8">
        <v>4</v>
      </c>
      <c r="D43" s="7">
        <f>'Main Sheet'!E67</f>
        <v>50</v>
      </c>
      <c r="E43" s="8">
        <f>'Main Sheet'!E75</f>
        <v>17</v>
      </c>
      <c r="F43" s="7">
        <f>'Main Sheet'!I67</f>
        <v>0</v>
      </c>
      <c r="G43" s="7">
        <f>'Main Sheet'!J67</f>
        <v>0.757659971714019</v>
      </c>
      <c r="H43" s="7">
        <f>'Main Sheet'!K67</f>
        <v>0.22631020843982599</v>
      </c>
      <c r="I43" s="7">
        <f>'Main Sheet'!I75</f>
        <v>0.41249999403953502</v>
      </c>
      <c r="J43" s="7">
        <f>'Main Sheet'!J75</f>
        <v>0.87033820152282704</v>
      </c>
      <c r="K43" s="8">
        <f>'Main Sheet'!K75</f>
        <v>0.38080042600631703</v>
      </c>
      <c r="L43" s="7">
        <f>'Main Sheet'!S67</f>
        <v>0</v>
      </c>
      <c r="M43" s="7">
        <f>'Main Sheet'!T67</f>
        <v>0.71057081222534102</v>
      </c>
      <c r="N43" s="7">
        <f>'Main Sheet'!U67</f>
        <v>0.17822530865669201</v>
      </c>
      <c r="O43" s="7">
        <f>'Main Sheet'!S75</f>
        <v>0.38461539149284302</v>
      </c>
      <c r="P43" s="7">
        <f>'Main Sheet'!T75</f>
        <v>0.84190577268600397</v>
      </c>
      <c r="Q43" s="8">
        <f>'Main Sheet'!U75</f>
        <v>0.31651219725608798</v>
      </c>
      <c r="R43">
        <f t="shared" si="1"/>
        <v>0</v>
      </c>
      <c r="S43">
        <f t="shared" si="2"/>
        <v>4.7089159488677979E-2</v>
      </c>
      <c r="T43">
        <f t="shared" si="3"/>
        <v>4.8084899783133989E-2</v>
      </c>
      <c r="U43">
        <f t="shared" si="4"/>
        <v>2.7884602546692006E-2</v>
      </c>
      <c r="V43">
        <f t="shared" si="5"/>
        <v>2.8432428836823065E-2</v>
      </c>
      <c r="W43">
        <f t="shared" si="6"/>
        <v>6.4288228750229048E-2</v>
      </c>
    </row>
    <row r="44" spans="1:23" x14ac:dyDescent="0.25">
      <c r="A44" s="103" t="s">
        <v>26</v>
      </c>
      <c r="B44" s="103"/>
      <c r="C44" s="10">
        <v>1</v>
      </c>
      <c r="D44">
        <f>'Main Sheet'!E68</f>
        <v>16</v>
      </c>
      <c r="E44" s="10">
        <f>'Main Sheet'!E72</f>
        <v>45</v>
      </c>
      <c r="F44" s="9">
        <f>'Main Sheet'!I68</f>
        <v>0</v>
      </c>
      <c r="G44" s="9">
        <f>'Main Sheet'!J68</f>
        <v>0.70262742042541504</v>
      </c>
      <c r="H44" s="9">
        <f>'Main Sheet'!K68</f>
        <v>0.183729007840156</v>
      </c>
      <c r="I44" s="9">
        <f>'Main Sheet'!I72</f>
        <v>0.318407952785491</v>
      </c>
      <c r="J44" s="9">
        <f>'Main Sheet'!J72</f>
        <v>0.81348526477813698</v>
      </c>
      <c r="K44" s="10">
        <f>'Main Sheet'!K72</f>
        <v>0.33723288774490301</v>
      </c>
      <c r="L44" s="9">
        <f>'Main Sheet'!S68</f>
        <v>0</v>
      </c>
      <c r="M44" s="9">
        <f>'Main Sheet'!T68</f>
        <v>0.67237246036529497</v>
      </c>
      <c r="N44" s="9">
        <f>'Main Sheet'!U68</f>
        <v>0.140773341059684</v>
      </c>
      <c r="O44" s="9">
        <f>'Main Sheet'!S72</f>
        <v>0.39252337813377303</v>
      </c>
      <c r="P44" s="9">
        <f>'Main Sheet'!T72</f>
        <v>0.81936728954315097</v>
      </c>
      <c r="Q44" s="10">
        <f>'Main Sheet'!U72</f>
        <v>0.32699429988861001</v>
      </c>
      <c r="R44">
        <f t="shared" si="1"/>
        <v>0</v>
      </c>
      <c r="S44">
        <f t="shared" si="2"/>
        <v>3.0254960060120073E-2</v>
      </c>
      <c r="T44">
        <f t="shared" si="3"/>
        <v>4.2955666780471996E-2</v>
      </c>
      <c r="U44">
        <f t="shared" si="4"/>
        <v>-7.4115425348282027E-2</v>
      </c>
      <c r="V44">
        <f t="shared" si="5"/>
        <v>-5.8820247650139823E-3</v>
      </c>
      <c r="W44">
        <f t="shared" si="6"/>
        <v>1.0238587856293002E-2</v>
      </c>
    </row>
    <row r="45" spans="1:23" x14ac:dyDescent="0.25">
      <c r="A45" s="105"/>
      <c r="B45" s="105"/>
      <c r="C45" s="3">
        <v>2</v>
      </c>
      <c r="D45">
        <f>'Main Sheet'!E69</f>
        <v>34</v>
      </c>
      <c r="E45" s="3">
        <f>'Main Sheet'!E73</f>
        <v>4</v>
      </c>
      <c r="F45">
        <f>'Main Sheet'!I69</f>
        <v>0</v>
      </c>
      <c r="G45">
        <f>'Main Sheet'!J69</f>
        <v>0.73716443777084295</v>
      </c>
      <c r="H45">
        <f>'Main Sheet'!K69</f>
        <v>0.22935152053832999</v>
      </c>
      <c r="I45">
        <f>'Main Sheet'!I73</f>
        <v>0.34482759237289401</v>
      </c>
      <c r="J45">
        <f>'Main Sheet'!J73</f>
        <v>0.85689806938171298</v>
      </c>
      <c r="K45" s="3">
        <f>'Main Sheet'!K73</f>
        <v>0.39140477776527399</v>
      </c>
      <c r="L45">
        <f>'Main Sheet'!S69</f>
        <v>0</v>
      </c>
      <c r="M45">
        <f>'Main Sheet'!T69</f>
        <v>0.682497799396514</v>
      </c>
      <c r="N45">
        <f>'Main Sheet'!U69</f>
        <v>0.139206692576408</v>
      </c>
      <c r="O45">
        <f>'Main Sheet'!S73</f>
        <v>0.229508191347122</v>
      </c>
      <c r="P45">
        <f>'Main Sheet'!T73</f>
        <v>0.76944279670715299</v>
      </c>
      <c r="Q45" s="3">
        <f>'Main Sheet'!U73</f>
        <v>0.230017140507698</v>
      </c>
      <c r="R45">
        <f t="shared" si="1"/>
        <v>0</v>
      </c>
      <c r="S45">
        <f t="shared" si="2"/>
        <v>5.4666638374328946E-2</v>
      </c>
      <c r="T45">
        <f t="shared" si="3"/>
        <v>9.0144827961921997E-2</v>
      </c>
      <c r="U45">
        <f t="shared" si="4"/>
        <v>0.11531940102577201</v>
      </c>
      <c r="V45">
        <f t="shared" si="5"/>
        <v>8.7455272674559992E-2</v>
      </c>
      <c r="W45">
        <f t="shared" si="6"/>
        <v>0.16138763725757599</v>
      </c>
    </row>
    <row r="46" spans="1:23" x14ac:dyDescent="0.25">
      <c r="A46" s="105"/>
      <c r="B46" s="105"/>
      <c r="C46" s="3">
        <v>3</v>
      </c>
      <c r="D46">
        <f>'Main Sheet'!E70</f>
        <v>31</v>
      </c>
      <c r="E46" s="3">
        <f>'Main Sheet'!E74</f>
        <v>6</v>
      </c>
      <c r="F46">
        <f>'Main Sheet'!I70</f>
        <v>0</v>
      </c>
      <c r="G46">
        <f>'Main Sheet'!J70</f>
        <v>0.67117512226104703</v>
      </c>
      <c r="H46">
        <f>'Main Sheet'!K70</f>
        <v>0.14150363206863401</v>
      </c>
      <c r="I46">
        <f>'Main Sheet'!I74</f>
        <v>0.38977634906768799</v>
      </c>
      <c r="J46">
        <f>'Main Sheet'!J74</f>
        <v>0.81745111942291204</v>
      </c>
      <c r="K46" s="3">
        <f>'Main Sheet'!K74</f>
        <v>0.33580386638641302</v>
      </c>
      <c r="L46">
        <f>'Main Sheet'!S70</f>
        <v>0</v>
      </c>
      <c r="M46">
        <f>'Main Sheet'!T70</f>
        <v>0.63686954975128096</v>
      </c>
      <c r="N46">
        <f>'Main Sheet'!U70</f>
        <v>0.124480061233043</v>
      </c>
      <c r="O46">
        <f>'Main Sheet'!S74</f>
        <v>0.347305387258529</v>
      </c>
      <c r="P46">
        <f>'Main Sheet'!T74</f>
        <v>0.80030208826064997</v>
      </c>
      <c r="Q46" s="3">
        <f>'Main Sheet'!U74</f>
        <v>0.27865141630172702</v>
      </c>
      <c r="R46">
        <f t="shared" si="1"/>
        <v>0</v>
      </c>
      <c r="S46">
        <f t="shared" si="2"/>
        <v>3.4305572509766069E-2</v>
      </c>
      <c r="T46">
        <f t="shared" si="3"/>
        <v>1.7023570835591001E-2</v>
      </c>
      <c r="U46">
        <f t="shared" si="4"/>
        <v>4.2470961809158991E-2</v>
      </c>
      <c r="V46">
        <f t="shared" si="5"/>
        <v>1.7149031162262074E-2</v>
      </c>
      <c r="W46">
        <f t="shared" si="6"/>
        <v>5.7152450084686002E-2</v>
      </c>
    </row>
    <row r="47" spans="1:23" x14ac:dyDescent="0.25">
      <c r="A47" s="107"/>
      <c r="B47" s="107"/>
      <c r="C47" s="8">
        <v>4</v>
      </c>
      <c r="D47" s="7">
        <f>'Main Sheet'!E71</f>
        <v>45</v>
      </c>
      <c r="E47" s="8">
        <f>'Main Sheet'!E75</f>
        <v>17</v>
      </c>
      <c r="F47" s="7">
        <f>'Main Sheet'!I71</f>
        <v>0</v>
      </c>
      <c r="G47" s="7">
        <f>'Main Sheet'!J71</f>
        <v>0.72410422563552801</v>
      </c>
      <c r="H47" s="7">
        <f>'Main Sheet'!K71</f>
        <v>0.21840052306652</v>
      </c>
      <c r="I47" s="7">
        <f>'Main Sheet'!I75</f>
        <v>0.41249999403953502</v>
      </c>
      <c r="J47" s="7">
        <f>'Main Sheet'!J75</f>
        <v>0.87033820152282704</v>
      </c>
      <c r="K47" s="8">
        <f>'Main Sheet'!K75</f>
        <v>0.38080042600631703</v>
      </c>
      <c r="L47" s="7">
        <f>'Main Sheet'!S71</f>
        <v>0</v>
      </c>
      <c r="M47" s="7">
        <f>'Main Sheet'!T71</f>
        <v>0.68302631378173795</v>
      </c>
      <c r="N47" s="7">
        <f>'Main Sheet'!U71</f>
        <v>0.149020060896873</v>
      </c>
      <c r="O47" s="7">
        <f>'Main Sheet'!S75</f>
        <v>0.38461539149284302</v>
      </c>
      <c r="P47" s="7">
        <f>'Main Sheet'!T75</f>
        <v>0.84190577268600397</v>
      </c>
      <c r="Q47" s="8">
        <f>'Main Sheet'!U75</f>
        <v>0.31651219725608798</v>
      </c>
      <c r="R47">
        <f t="shared" si="1"/>
        <v>0</v>
      </c>
      <c r="S47">
        <f t="shared" si="2"/>
        <v>4.1077911853790061E-2</v>
      </c>
      <c r="T47">
        <f t="shared" si="3"/>
        <v>6.9380462169646995E-2</v>
      </c>
      <c r="U47">
        <f t="shared" si="4"/>
        <v>2.7884602546692006E-2</v>
      </c>
      <c r="V47">
        <f t="shared" si="5"/>
        <v>2.8432428836823065E-2</v>
      </c>
      <c r="W47">
        <f t="shared" si="6"/>
        <v>6.4288228750229048E-2</v>
      </c>
    </row>
  </sheetData>
  <mergeCells count="30">
    <mergeCell ref="R2:T2"/>
    <mergeCell ref="U2:W2"/>
    <mergeCell ref="R1:W1"/>
    <mergeCell ref="A1:B1"/>
    <mergeCell ref="C1:C3"/>
    <mergeCell ref="A2:A3"/>
    <mergeCell ref="B2:B3"/>
    <mergeCell ref="L1:Q1"/>
    <mergeCell ref="L2:N2"/>
    <mergeCell ref="O2:Q2"/>
    <mergeCell ref="F1:K1"/>
    <mergeCell ref="D1:E1"/>
    <mergeCell ref="D2:D3"/>
    <mergeCell ref="F2:H2"/>
    <mergeCell ref="I2:K2"/>
    <mergeCell ref="A40:B43"/>
    <mergeCell ref="A44:B47"/>
    <mergeCell ref="E2:E3"/>
    <mergeCell ref="A16:A27"/>
    <mergeCell ref="B16:B19"/>
    <mergeCell ref="B20:B23"/>
    <mergeCell ref="B24:B27"/>
    <mergeCell ref="A28:A39"/>
    <mergeCell ref="B28:B31"/>
    <mergeCell ref="B32:B35"/>
    <mergeCell ref="B36:B39"/>
    <mergeCell ref="A4:A15"/>
    <mergeCell ref="B4:B7"/>
    <mergeCell ref="B8:B11"/>
    <mergeCell ref="B12:B15"/>
  </mergeCells>
  <pageMargins left="0.25" right="0.25" top="0.75" bottom="0.75" header="0.3" footer="0.3"/>
  <pageSetup paperSize="9" scale="5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4668-70AC-481A-8719-8116FA30AA93}">
  <sheetPr>
    <tabColor theme="8" tint="0.39997558519241921"/>
  </sheetPr>
  <dimension ref="A1:AE112"/>
  <sheetViews>
    <sheetView tabSelected="1" topLeftCell="A67" workbookViewId="0">
      <selection activeCell="U117" sqref="U117"/>
    </sheetView>
  </sheetViews>
  <sheetFormatPr defaultRowHeight="15" x14ac:dyDescent="0.25"/>
  <cols>
    <col min="1" max="1" width="20.42578125" customWidth="1"/>
    <col min="2" max="2" width="13.42578125" customWidth="1"/>
    <col min="7" max="13" width="9.140625" customWidth="1"/>
    <col min="16" max="16" width="14.140625" customWidth="1"/>
    <col min="17" max="17" width="18.140625" customWidth="1"/>
    <col min="21" max="21" width="20.85546875" customWidth="1"/>
    <col min="25" max="25" width="17.5703125" customWidth="1"/>
    <col min="29" max="29" width="16" customWidth="1"/>
  </cols>
  <sheetData>
    <row r="1" spans="1:31" ht="18" thickBot="1" x14ac:dyDescent="0.35">
      <c r="A1" s="126" t="s">
        <v>15</v>
      </c>
      <c r="B1" s="191" t="s">
        <v>0</v>
      </c>
      <c r="C1" s="192"/>
      <c r="D1" s="140" t="s">
        <v>12</v>
      </c>
      <c r="E1" s="179" t="s">
        <v>19</v>
      </c>
      <c r="F1" s="180"/>
      <c r="G1" s="180"/>
      <c r="H1" s="181" t="s">
        <v>71</v>
      </c>
      <c r="I1" s="182"/>
      <c r="J1" s="182"/>
      <c r="K1" s="183" t="s">
        <v>148</v>
      </c>
      <c r="L1" s="184"/>
      <c r="M1" s="184"/>
      <c r="P1" s="151" t="s">
        <v>118</v>
      </c>
      <c r="Q1" s="175" t="s">
        <v>5</v>
      </c>
      <c r="R1" s="175"/>
      <c r="S1" s="175"/>
      <c r="T1" s="175"/>
      <c r="U1" s="175"/>
      <c r="V1" s="175"/>
      <c r="W1" s="175"/>
      <c r="X1" s="175"/>
      <c r="Y1" s="175"/>
      <c r="Z1" s="175"/>
      <c r="AA1" s="176"/>
      <c r="AC1" s="170" t="s">
        <v>150</v>
      </c>
      <c r="AD1" s="170"/>
      <c r="AE1" s="170"/>
    </row>
    <row r="2" spans="1:31" ht="16.5" thickTop="1" thickBot="1" x14ac:dyDescent="0.3">
      <c r="A2" s="126"/>
      <c r="B2" s="126" t="s">
        <v>16</v>
      </c>
      <c r="C2" s="126" t="s">
        <v>17</v>
      </c>
      <c r="D2" s="140"/>
      <c r="E2" s="189" t="s">
        <v>4</v>
      </c>
      <c r="F2" s="189" t="s">
        <v>5</v>
      </c>
      <c r="G2" s="189" t="s">
        <v>70</v>
      </c>
      <c r="H2" s="185" t="s">
        <v>4</v>
      </c>
      <c r="I2" s="185" t="s">
        <v>5</v>
      </c>
      <c r="J2" s="185" t="s">
        <v>70</v>
      </c>
      <c r="K2" s="187" t="s">
        <v>4</v>
      </c>
      <c r="L2" s="187" t="s">
        <v>5</v>
      </c>
      <c r="M2" s="187" t="s">
        <v>70</v>
      </c>
      <c r="P2" s="152"/>
      <c r="Q2" s="173">
        <v>18</v>
      </c>
      <c r="R2" s="173"/>
      <c r="S2" s="173"/>
      <c r="U2" s="173">
        <v>34</v>
      </c>
      <c r="V2" s="173"/>
      <c r="W2" s="173"/>
      <c r="Y2" s="173">
        <v>50</v>
      </c>
      <c r="Z2" s="173"/>
      <c r="AA2" s="174"/>
    </row>
    <row r="3" spans="1:31" ht="15.75" thickBot="1" x14ac:dyDescent="0.3">
      <c r="A3" s="127"/>
      <c r="B3" s="127"/>
      <c r="C3" s="127"/>
      <c r="D3" s="141"/>
      <c r="E3" s="190"/>
      <c r="F3" s="190"/>
      <c r="G3" s="190"/>
      <c r="H3" s="186"/>
      <c r="I3" s="186"/>
      <c r="J3" s="186"/>
      <c r="K3" s="188"/>
      <c r="L3" s="188"/>
      <c r="M3" s="188"/>
      <c r="P3" s="152"/>
      <c r="Q3" s="17"/>
      <c r="R3" s="17" t="s">
        <v>71</v>
      </c>
      <c r="S3" s="17" t="s">
        <v>149</v>
      </c>
      <c r="U3" s="17"/>
      <c r="V3" s="17" t="s">
        <v>71</v>
      </c>
      <c r="W3" s="17" t="s">
        <v>149</v>
      </c>
      <c r="Y3" s="17"/>
      <c r="Z3" s="17" t="s">
        <v>71</v>
      </c>
      <c r="AA3" s="102" t="s">
        <v>149</v>
      </c>
      <c r="AC3" s="17"/>
      <c r="AD3" s="17" t="s">
        <v>19</v>
      </c>
      <c r="AE3" s="17" t="s">
        <v>149</v>
      </c>
    </row>
    <row r="4" spans="1:31" x14ac:dyDescent="0.25">
      <c r="A4" s="103" t="s">
        <v>20</v>
      </c>
      <c r="B4" s="103" t="s">
        <v>18</v>
      </c>
      <c r="C4" s="103">
        <v>18</v>
      </c>
      <c r="D4" s="10">
        <v>1</v>
      </c>
      <c r="E4" s="80">
        <f>'Main Sheet'!S4</f>
        <v>0.40540540218353199</v>
      </c>
      <c r="F4" s="81">
        <f>'Main Sheet'!T4</f>
        <v>0.84757626056671098</v>
      </c>
      <c r="G4" s="82">
        <f>'Main Sheet'!U4</f>
        <v>0.37488147616386402</v>
      </c>
      <c r="H4" s="86">
        <f>'Main Sheet'!S16</f>
        <v>0.39464882016181901</v>
      </c>
      <c r="I4" s="87">
        <f>'Main Sheet'!T16</f>
        <v>0.81551653146743697</v>
      </c>
      <c r="J4" s="88">
        <f>'Main Sheet'!U16</f>
        <v>0.35379672050476002</v>
      </c>
      <c r="K4" s="92">
        <f>'Luna16-25 Sheet'!N4</f>
        <v>0.37611940503120422</v>
      </c>
      <c r="L4" s="45">
        <f>'Luna16-25 Sheet'!O4</f>
        <v>0.84143012762069702</v>
      </c>
      <c r="M4" s="46">
        <f>'Luna16-25 Sheet'!P4</f>
        <v>0.30523020029067993</v>
      </c>
      <c r="P4" s="152"/>
      <c r="Q4" t="s">
        <v>75</v>
      </c>
      <c r="R4">
        <v>0.83020238578319505</v>
      </c>
      <c r="S4">
        <v>0.82655163109302521</v>
      </c>
      <c r="U4" t="s">
        <v>75</v>
      </c>
      <c r="V4">
        <v>0.84667015075683549</v>
      </c>
      <c r="W4">
        <v>0.85135537385940552</v>
      </c>
      <c r="Y4" t="s">
        <v>75</v>
      </c>
      <c r="Z4">
        <v>0.81143158674240068</v>
      </c>
      <c r="AA4" s="3">
        <v>0.84224367141723633</v>
      </c>
      <c r="AC4" t="s">
        <v>75</v>
      </c>
      <c r="AD4">
        <v>0.85186120867729132</v>
      </c>
      <c r="AE4">
        <v>0.84224367141723633</v>
      </c>
    </row>
    <row r="5" spans="1:31" x14ac:dyDescent="0.25">
      <c r="A5" s="105"/>
      <c r="B5" s="105"/>
      <c r="C5" s="105"/>
      <c r="D5" s="3">
        <v>2</v>
      </c>
      <c r="E5" s="83">
        <f>'Main Sheet'!S5</f>
        <v>0.34055727720260598</v>
      </c>
      <c r="F5" s="84">
        <f>'Main Sheet'!T5</f>
        <v>0.78593331575393599</v>
      </c>
      <c r="G5" s="85">
        <f>'Main Sheet'!U5</f>
        <v>0.299771457910537</v>
      </c>
      <c r="H5" s="89">
        <f>'Main Sheet'!S17</f>
        <v>0.273291915655136</v>
      </c>
      <c r="I5" s="90">
        <f>'Main Sheet'!T17</f>
        <v>0.82139086723327603</v>
      </c>
      <c r="J5" s="91">
        <f>'Main Sheet'!U17</f>
        <v>0.32400599122047402</v>
      </c>
      <c r="K5" s="93">
        <f>'Luna16-25 Sheet'!N5</f>
        <v>0.19178082048892975</v>
      </c>
      <c r="L5" s="94">
        <f>'Luna16-25 Sheet'!O5</f>
        <v>0.82495474815368652</v>
      </c>
      <c r="M5" s="48">
        <f>'Luna16-25 Sheet'!P5</f>
        <v>0.31585291028022766</v>
      </c>
      <c r="P5" s="152"/>
      <c r="Q5" t="s">
        <v>76</v>
      </c>
      <c r="R5">
        <v>2.6354589902499677E-4</v>
      </c>
      <c r="S5">
        <v>1.3034988733403216E-4</v>
      </c>
      <c r="U5" t="s">
        <v>76</v>
      </c>
      <c r="V5">
        <v>4.0617919116668844E-4</v>
      </c>
      <c r="W5">
        <v>2.6079723462639021E-4</v>
      </c>
      <c r="Y5" t="s">
        <v>76</v>
      </c>
      <c r="Z5">
        <v>3.7775602721743071E-4</v>
      </c>
      <c r="AA5" s="3">
        <v>2.7391037330441275E-5</v>
      </c>
      <c r="AC5" t="s">
        <v>76</v>
      </c>
      <c r="AD5">
        <v>7.7019299323437807E-6</v>
      </c>
      <c r="AE5">
        <v>2.7391037330441275E-5</v>
      </c>
    </row>
    <row r="6" spans="1:31" x14ac:dyDescent="0.25">
      <c r="A6" s="105"/>
      <c r="B6" s="105"/>
      <c r="C6" s="105"/>
      <c r="D6" s="3">
        <v>3</v>
      </c>
      <c r="E6" s="83">
        <f>'Main Sheet'!S6</f>
        <v>0.39543727040290799</v>
      </c>
      <c r="F6" s="84">
        <f>'Main Sheet'!T6</f>
        <v>0.814791560173034</v>
      </c>
      <c r="G6" s="85">
        <f>'Main Sheet'!U6</f>
        <v>0.29309141635894698</v>
      </c>
      <c r="H6" s="89">
        <f>'Main Sheet'!S18</f>
        <v>0.36437246203422502</v>
      </c>
      <c r="I6" s="90">
        <f>'Main Sheet'!T18</f>
        <v>0.83143305778503396</v>
      </c>
      <c r="J6" s="91">
        <f>'Main Sheet'!U18</f>
        <v>0.318134725093841</v>
      </c>
      <c r="K6" s="93">
        <f>'Luna16-25 Sheet'!N6</f>
        <v>0.3333333432674408</v>
      </c>
      <c r="L6" s="94">
        <f>'Luna16-25 Sheet'!O6</f>
        <v>0.82619291543960571</v>
      </c>
      <c r="M6" s="48">
        <f>'Luna16-25 Sheet'!P6</f>
        <v>0.33812522888183594</v>
      </c>
      <c r="P6" s="152"/>
      <c r="Q6" t="s">
        <v>77</v>
      </c>
      <c r="R6">
        <v>4</v>
      </c>
      <c r="S6">
        <v>4</v>
      </c>
      <c r="U6" t="s">
        <v>77</v>
      </c>
      <c r="V6">
        <v>4</v>
      </c>
      <c r="W6">
        <v>4</v>
      </c>
      <c r="Y6" t="s">
        <v>77</v>
      </c>
      <c r="Z6">
        <v>4</v>
      </c>
      <c r="AA6" s="3">
        <v>4</v>
      </c>
      <c r="AC6" t="s">
        <v>77</v>
      </c>
      <c r="AD6">
        <v>4</v>
      </c>
      <c r="AE6">
        <v>4</v>
      </c>
    </row>
    <row r="7" spans="1:31" x14ac:dyDescent="0.25">
      <c r="A7" s="105"/>
      <c r="B7" s="105"/>
      <c r="C7" s="105"/>
      <c r="D7" s="3">
        <v>4</v>
      </c>
      <c r="E7" s="83">
        <f>'Main Sheet'!S7</f>
        <v>0.40000000596046398</v>
      </c>
      <c r="F7" s="84">
        <f>'Main Sheet'!T7</f>
        <v>0.85419058799743597</v>
      </c>
      <c r="G7" s="85">
        <f>'Main Sheet'!U7</f>
        <v>0.35654956102371199</v>
      </c>
      <c r="H7" s="89">
        <f>'Main Sheet'!S19</f>
        <v>0.38910505175590498</v>
      </c>
      <c r="I7" s="90">
        <f>'Main Sheet'!T19</f>
        <v>0.85246908664703303</v>
      </c>
      <c r="J7" s="91">
        <f>'Main Sheet'!U19</f>
        <v>0.37204933166503901</v>
      </c>
      <c r="K7" s="93">
        <f>'Luna16-25 Sheet'!N7</f>
        <v>0.3888888955116272</v>
      </c>
      <c r="L7" s="94">
        <f>'Luna16-25 Sheet'!O7</f>
        <v>0.81362873315811157</v>
      </c>
      <c r="M7" s="48">
        <f>'Luna16-25 Sheet'!P7</f>
        <v>0.35676214098930359</v>
      </c>
      <c r="P7" s="152"/>
      <c r="Q7" t="s">
        <v>78</v>
      </c>
      <c r="R7">
        <v>-0.8859537593979997</v>
      </c>
      <c r="U7" t="s">
        <v>78</v>
      </c>
      <c r="V7">
        <v>0.58530494735200955</v>
      </c>
      <c r="Y7" t="s">
        <v>78</v>
      </c>
      <c r="Z7">
        <v>0.12320431377427808</v>
      </c>
      <c r="AA7" s="3"/>
      <c r="AC7" t="s">
        <v>78</v>
      </c>
      <c r="AD7">
        <v>0.69555118312111608</v>
      </c>
    </row>
    <row r="8" spans="1:31" x14ac:dyDescent="0.25">
      <c r="A8" s="105"/>
      <c r="B8" s="105"/>
      <c r="C8" s="105">
        <v>34</v>
      </c>
      <c r="D8" s="3">
        <v>1</v>
      </c>
      <c r="E8" s="83">
        <f>'Main Sheet'!S8</f>
        <v>0.395904451608657</v>
      </c>
      <c r="F8" s="84">
        <f>'Main Sheet'!T8</f>
        <v>0.842698574066162</v>
      </c>
      <c r="G8" s="85">
        <f>'Main Sheet'!U8</f>
        <v>0.35345256328582703</v>
      </c>
      <c r="H8" s="89">
        <f>'Main Sheet'!S20</f>
        <v>0.361581921577453</v>
      </c>
      <c r="I8" s="90">
        <f>'Main Sheet'!T20</f>
        <v>0.83520078659057595</v>
      </c>
      <c r="J8" s="91">
        <f>'Main Sheet'!U20</f>
        <v>0.38183352351188599</v>
      </c>
      <c r="K8" s="93">
        <f>'Luna16-25 Sheet'!N8</f>
        <v>0.41403508186340332</v>
      </c>
      <c r="L8" s="94">
        <f>'Luna16-25 Sheet'!O8</f>
        <v>0.8464210033416748</v>
      </c>
      <c r="M8" s="48">
        <f>'Luna16-25 Sheet'!P8</f>
        <v>0.32204467058181763</v>
      </c>
      <c r="P8" s="152"/>
      <c r="Q8" t="s">
        <v>79</v>
      </c>
      <c r="R8">
        <v>0</v>
      </c>
      <c r="U8" t="s">
        <v>79</v>
      </c>
      <c r="V8">
        <v>0</v>
      </c>
      <c r="Y8" t="s">
        <v>79</v>
      </c>
      <c r="Z8">
        <v>0</v>
      </c>
      <c r="AA8" s="3"/>
      <c r="AC8" t="s">
        <v>79</v>
      </c>
      <c r="AD8">
        <v>0</v>
      </c>
    </row>
    <row r="9" spans="1:31" x14ac:dyDescent="0.25">
      <c r="A9" s="105"/>
      <c r="B9" s="105"/>
      <c r="C9" s="105"/>
      <c r="D9" s="3">
        <v>2</v>
      </c>
      <c r="E9" s="83">
        <f>'Main Sheet'!S9</f>
        <v>0.25414365530013999</v>
      </c>
      <c r="F9" s="84">
        <f>'Main Sheet'!T9</f>
        <v>0.78586530685424805</v>
      </c>
      <c r="G9" s="85">
        <f>'Main Sheet'!U9</f>
        <v>0.270405113697052</v>
      </c>
      <c r="H9" s="89">
        <f>'Main Sheet'!S21</f>
        <v>0.21656051278114299</v>
      </c>
      <c r="I9" s="90">
        <f>'Main Sheet'!T21</f>
        <v>0.82518118619918801</v>
      </c>
      <c r="J9" s="91">
        <f>'Main Sheet'!U21</f>
        <v>0.26359781622886602</v>
      </c>
      <c r="K9" s="93">
        <f>'Luna16-25 Sheet'!N9</f>
        <v>0.32954546809196472</v>
      </c>
      <c r="L9" s="94">
        <f>'Luna16-25 Sheet'!O9</f>
        <v>0.84615683555603027</v>
      </c>
      <c r="M9" s="48">
        <f>'Luna16-25 Sheet'!P9</f>
        <v>0.33921819925308228</v>
      </c>
      <c r="P9" s="152"/>
      <c r="Q9" t="s">
        <v>80</v>
      </c>
      <c r="R9">
        <v>3</v>
      </c>
      <c r="U9" t="s">
        <v>80</v>
      </c>
      <c r="V9">
        <v>3</v>
      </c>
      <c r="Y9" t="s">
        <v>80</v>
      </c>
      <c r="Z9">
        <v>3</v>
      </c>
      <c r="AA9" s="3"/>
      <c r="AC9" t="s">
        <v>80</v>
      </c>
      <c r="AD9">
        <v>3</v>
      </c>
    </row>
    <row r="10" spans="1:31" x14ac:dyDescent="0.25">
      <c r="A10" s="105"/>
      <c r="B10" s="105"/>
      <c r="C10" s="105"/>
      <c r="D10" s="3">
        <v>3</v>
      </c>
      <c r="E10" s="83">
        <f>'Main Sheet'!S10</f>
        <v>0.32478633522987299</v>
      </c>
      <c r="F10" s="84">
        <f>'Main Sheet'!T10</f>
        <v>0.81576555967330899</v>
      </c>
      <c r="G10" s="85">
        <f>'Main Sheet'!U10</f>
        <v>0.30284184217452997</v>
      </c>
      <c r="H10" s="89">
        <f>'Main Sheet'!S22</f>
        <v>0.43727597594261097</v>
      </c>
      <c r="I10" s="90">
        <f>'Main Sheet'!T22</f>
        <v>0.86955595016479403</v>
      </c>
      <c r="J10" s="91">
        <f>'Main Sheet'!U22</f>
        <v>0.38694450259208601</v>
      </c>
      <c r="K10" s="93">
        <f>'Luna16-25 Sheet'!N10</f>
        <v>0.35869565606117249</v>
      </c>
      <c r="L10" s="94">
        <f>'Luna16-25 Sheet'!O10</f>
        <v>0.87485659122467041</v>
      </c>
      <c r="M10" s="48">
        <f>'Luna16-25 Sheet'!P10</f>
        <v>0.37571907043457031</v>
      </c>
      <c r="P10" s="152"/>
      <c r="Q10" t="s">
        <v>81</v>
      </c>
      <c r="R10">
        <v>0.27167535928429598</v>
      </c>
      <c r="U10" t="s">
        <v>81</v>
      </c>
      <c r="V10">
        <v>-0.5541068473330979</v>
      </c>
      <c r="Y10" t="s">
        <v>81</v>
      </c>
      <c r="Z10">
        <v>-3.1609114441946109</v>
      </c>
      <c r="AA10" s="3"/>
      <c r="AC10" t="s">
        <v>81</v>
      </c>
      <c r="AD10">
        <v>4.9851595070307715</v>
      </c>
    </row>
    <row r="11" spans="1:31" x14ac:dyDescent="0.25">
      <c r="A11" s="105"/>
      <c r="B11" s="105"/>
      <c r="C11" s="105"/>
      <c r="D11" s="3">
        <v>4</v>
      </c>
      <c r="E11" s="83">
        <f>'Main Sheet'!S11</f>
        <v>0.182857140898704</v>
      </c>
      <c r="F11" s="84">
        <f>'Main Sheet'!T11</f>
        <v>0.83652973175048795</v>
      </c>
      <c r="G11" s="85">
        <f>'Main Sheet'!U11</f>
        <v>0.27166512608528098</v>
      </c>
      <c r="H11" s="89">
        <f>'Main Sheet'!S23</f>
        <v>0.19402985274791701</v>
      </c>
      <c r="I11" s="90">
        <f>'Main Sheet'!T23</f>
        <v>0.85674268007278398</v>
      </c>
      <c r="J11" s="91">
        <f>'Main Sheet'!U23</f>
        <v>0.37238350510597201</v>
      </c>
      <c r="K11" s="93">
        <f>'Luna16-25 Sheet'!N11</f>
        <v>0.24657534062862396</v>
      </c>
      <c r="L11" s="94">
        <f>'Luna16-25 Sheet'!O11</f>
        <v>0.83798706531524658</v>
      </c>
      <c r="M11" s="48">
        <f>'Luna16-25 Sheet'!P11</f>
        <v>0.32807037234306335</v>
      </c>
      <c r="P11" s="152"/>
      <c r="Q11" t="s">
        <v>82</v>
      </c>
      <c r="R11">
        <v>0.40174736989363113</v>
      </c>
      <c r="U11" t="s">
        <v>82</v>
      </c>
      <c r="V11">
        <v>0.30906603656197962</v>
      </c>
      <c r="Y11" t="s">
        <v>82</v>
      </c>
      <c r="Z11">
        <v>2.5417692974845436E-2</v>
      </c>
      <c r="AA11" s="3"/>
      <c r="AC11" t="s">
        <v>82</v>
      </c>
      <c r="AD11">
        <v>7.759169645700492E-3</v>
      </c>
    </row>
    <row r="12" spans="1:31" x14ac:dyDescent="0.25">
      <c r="A12" s="105"/>
      <c r="B12" s="105"/>
      <c r="C12" s="105">
        <v>50</v>
      </c>
      <c r="D12" s="3">
        <v>1</v>
      </c>
      <c r="E12" s="83">
        <f>'Main Sheet'!S12</f>
        <v>0.41176471114158603</v>
      </c>
      <c r="F12" s="84">
        <f>'Main Sheet'!T12</f>
        <v>0.85384315252303999</v>
      </c>
      <c r="G12" s="85">
        <f>'Main Sheet'!U12</f>
        <v>0.37506282329559298</v>
      </c>
      <c r="H12" s="89">
        <f>'Main Sheet'!S24</f>
        <v>0.36417910456657399</v>
      </c>
      <c r="I12" s="90">
        <f>'Main Sheet'!T24</f>
        <v>0.83456659317016602</v>
      </c>
      <c r="J12" s="91">
        <f>'Main Sheet'!U24</f>
        <v>0.35174927115440302</v>
      </c>
      <c r="K12" s="93">
        <f>'Luna16-25 Sheet'!N12</f>
        <v>0.37984496355056763</v>
      </c>
      <c r="L12" s="94">
        <f>'Luna16-25 Sheet'!O12</f>
        <v>0.84356689453125</v>
      </c>
      <c r="M12" s="48">
        <f>'Luna16-25 Sheet'!P12</f>
        <v>0.35837206244468689</v>
      </c>
      <c r="P12" s="152"/>
      <c r="Q12" t="s">
        <v>83</v>
      </c>
      <c r="R12">
        <v>2.3533634348018233</v>
      </c>
      <c r="U12" t="s">
        <v>83</v>
      </c>
      <c r="V12">
        <v>2.3533634348018233</v>
      </c>
      <c r="Y12" t="s">
        <v>83</v>
      </c>
      <c r="Z12">
        <v>2.3533634348018233</v>
      </c>
      <c r="AA12" s="3"/>
      <c r="AC12" t="s">
        <v>83</v>
      </c>
      <c r="AD12">
        <v>2.3533634348018233</v>
      </c>
    </row>
    <row r="13" spans="1:31" x14ac:dyDescent="0.25">
      <c r="A13" s="105"/>
      <c r="B13" s="105"/>
      <c r="C13" s="105"/>
      <c r="D13" s="3">
        <v>2</v>
      </c>
      <c r="E13" s="83">
        <f>'Main Sheet'!S13</f>
        <v>0.33333334326744002</v>
      </c>
      <c r="F13" s="84">
        <f>'Main Sheet'!T13</f>
        <v>0.85286170244216897</v>
      </c>
      <c r="G13" s="85">
        <f>'Main Sheet'!U13</f>
        <v>0.33635324239730802</v>
      </c>
      <c r="H13" s="89">
        <f>'Main Sheet'!S25</f>
        <v>0.24561403691768599</v>
      </c>
      <c r="I13" s="90">
        <f>'Main Sheet'!T25</f>
        <v>0.79870134592056197</v>
      </c>
      <c r="J13" s="91">
        <f>'Main Sheet'!U25</f>
        <v>0.25840446352958601</v>
      </c>
      <c r="K13" s="93">
        <f>'Luna16-25 Sheet'!N13</f>
        <v>0.32038834691047668</v>
      </c>
      <c r="L13" s="94">
        <f>'Luna16-25 Sheet'!O13</f>
        <v>0.84879946708679199</v>
      </c>
      <c r="M13" s="48">
        <f>'Luna16-25 Sheet'!P13</f>
        <v>0.32130381464958191</v>
      </c>
      <c r="P13" s="152"/>
      <c r="Q13" t="s">
        <v>84</v>
      </c>
      <c r="R13">
        <v>0.80349473978726227</v>
      </c>
      <c r="U13" t="s">
        <v>84</v>
      </c>
      <c r="V13">
        <v>0.61813207312395924</v>
      </c>
      <c r="Y13" t="s">
        <v>84</v>
      </c>
      <c r="Z13">
        <v>5.0835385949690871E-2</v>
      </c>
      <c r="AA13" s="3"/>
      <c r="AC13" t="s">
        <v>84</v>
      </c>
      <c r="AD13">
        <v>1.5518339291400984E-2</v>
      </c>
    </row>
    <row r="14" spans="1:31" ht="15.75" thickBot="1" x14ac:dyDescent="0.3">
      <c r="A14" s="105"/>
      <c r="B14" s="105"/>
      <c r="C14" s="105"/>
      <c r="D14" s="3">
        <v>3</v>
      </c>
      <c r="E14" s="83">
        <f>'Main Sheet'!S14</f>
        <v>0.26744186878204301</v>
      </c>
      <c r="F14" s="84">
        <f>'Main Sheet'!T14</f>
        <v>0.84774994850158603</v>
      </c>
      <c r="G14" s="85">
        <f>'Main Sheet'!U14</f>
        <v>0.320197343826293</v>
      </c>
      <c r="H14" s="89">
        <f>'Main Sheet'!S26</f>
        <v>0.288808673620224</v>
      </c>
      <c r="I14" s="90">
        <f>'Main Sheet'!T26</f>
        <v>0.79241162538528398</v>
      </c>
      <c r="J14" s="91">
        <f>'Main Sheet'!U26</f>
        <v>0.248978301882743</v>
      </c>
      <c r="K14" s="93">
        <f>'Luna16-25 Sheet'!N14</f>
        <v>0.37599998712539673</v>
      </c>
      <c r="L14" s="94">
        <f>'Luna16-25 Sheet'!O14</f>
        <v>0.83651471138000488</v>
      </c>
      <c r="M14" s="48">
        <f>'Luna16-25 Sheet'!P14</f>
        <v>0.32147696614265442</v>
      </c>
      <c r="P14" s="152"/>
      <c r="Q14" s="16" t="s">
        <v>85</v>
      </c>
      <c r="R14" s="16">
        <v>3.1824463052837091</v>
      </c>
      <c r="S14" s="16"/>
      <c r="U14" s="16" t="s">
        <v>85</v>
      </c>
      <c r="V14" s="16">
        <v>3.1824463052837091</v>
      </c>
      <c r="W14" s="16"/>
      <c r="Y14" s="16" t="s">
        <v>85</v>
      </c>
      <c r="Z14" s="16">
        <v>3.1824463052837091</v>
      </c>
      <c r="AA14" s="68"/>
      <c r="AC14" s="16" t="s">
        <v>85</v>
      </c>
      <c r="AD14" s="16">
        <v>3.1824463052837091</v>
      </c>
      <c r="AE14" s="16"/>
    </row>
    <row r="15" spans="1:31" x14ac:dyDescent="0.25">
      <c r="A15" s="107"/>
      <c r="B15" s="107"/>
      <c r="C15" s="107"/>
      <c r="D15" s="8">
        <v>4</v>
      </c>
      <c r="E15" s="95">
        <f>'Main Sheet'!S15</f>
        <v>0.44343891739845198</v>
      </c>
      <c r="F15" s="96">
        <f>'Main Sheet'!T15</f>
        <v>0.85299003124237005</v>
      </c>
      <c r="G15" s="97">
        <f>'Main Sheet'!U15</f>
        <v>0.405628621578216</v>
      </c>
      <c r="H15" s="98">
        <f>'Main Sheet'!S27</f>
        <v>0.32307693362236001</v>
      </c>
      <c r="I15" s="99">
        <f>'Main Sheet'!T27</f>
        <v>0.82004678249359098</v>
      </c>
      <c r="J15" s="100">
        <f>'Main Sheet'!U27</f>
        <v>0.25700038671493503</v>
      </c>
      <c r="K15" s="101">
        <f>'Luna16-25 Sheet'!N15</f>
        <v>0.32773110270500183</v>
      </c>
      <c r="L15" s="49">
        <f>'Luna16-25 Sheet'!O15</f>
        <v>0.84009361267089844</v>
      </c>
      <c r="M15" s="50">
        <f>'Luna16-25 Sheet'!P15</f>
        <v>0.31534093618392944</v>
      </c>
      <c r="P15" s="152"/>
      <c r="Q15" t="str">
        <f>IF(S4 &gt; R4, "Double &gt; Pretrained", "Double &lt; Pretrained")</f>
        <v>Double &lt; Pretrained</v>
      </c>
      <c r="R15" s="171" t="str">
        <f>IF(R11 &lt; 0.05, "Significant", "Not Significant")</f>
        <v>Not Significant</v>
      </c>
      <c r="S15" s="171"/>
      <c r="U15" t="str">
        <f>IF(W4 &gt; V4, "Double &gt; Pretrained", "Double &lt; Pretrained")</f>
        <v>Double &gt; Pretrained</v>
      </c>
      <c r="V15" s="171" t="str">
        <f>IF(V11 &lt; 0.05, "Significant", "Not Significant")</f>
        <v>Not Significant</v>
      </c>
      <c r="W15" s="171"/>
      <c r="Y15" t="str">
        <f>IF(AA4 &gt; Z4, "Double &gt; Pretrained", "Double &lt; Pretrained")</f>
        <v>Double &gt; Pretrained</v>
      </c>
      <c r="Z15" s="171" t="str">
        <f>IF(Z11 &lt; 0.05, "Significant", "Not Significant")</f>
        <v>Significant</v>
      </c>
      <c r="AA15" s="172"/>
      <c r="AC15" t="str">
        <f>IF(AE4 &gt; AD4, "Double &gt; Fresh", "Double &lt; Fresh")</f>
        <v>Double &lt; Fresh</v>
      </c>
      <c r="AD15" s="171" t="str">
        <f>IF(AD11 &lt; 0.05, "Significant", "Not Significant")</f>
        <v>Significant</v>
      </c>
      <c r="AE15" s="172"/>
    </row>
    <row r="16" spans="1:31" x14ac:dyDescent="0.25">
      <c r="A16" s="103" t="s">
        <v>24</v>
      </c>
      <c r="B16" s="103" t="s">
        <v>21</v>
      </c>
      <c r="C16" s="105">
        <v>18</v>
      </c>
      <c r="D16" s="3">
        <v>1</v>
      </c>
      <c r="E16" s="83">
        <f>'Main Sheet'!S28</f>
        <v>0.40601503849029502</v>
      </c>
      <c r="F16" s="84">
        <f>'Main Sheet'!T28</f>
        <v>0.83245998620986905</v>
      </c>
      <c r="G16" s="85">
        <f>'Main Sheet'!U28</f>
        <v>0.38715964555740301</v>
      </c>
      <c r="H16" s="89">
        <f>'Main Sheet'!S52</f>
        <v>0.44370859861373901</v>
      </c>
      <c r="I16" s="90">
        <f>'Main Sheet'!T52</f>
        <v>0.85996675491332997</v>
      </c>
      <c r="J16" s="91">
        <f>'Main Sheet'!U52</f>
        <v>0.39321514964103699</v>
      </c>
      <c r="K16" s="93">
        <f>'Luna16-25 Sheet'!N16</f>
        <v>0.39393940567970276</v>
      </c>
      <c r="L16" s="94">
        <f>'Luna16-25 Sheet'!O16</f>
        <v>0.86011022329330444</v>
      </c>
      <c r="M16" s="48">
        <f>'Luna16-25 Sheet'!P16</f>
        <v>0.41020861268043518</v>
      </c>
      <c r="P16" s="152"/>
      <c r="Q16">
        <f>R11</f>
        <v>0.40174736989363113</v>
      </c>
      <c r="U16">
        <f>V11</f>
        <v>0.30906603656197962</v>
      </c>
      <c r="Y16">
        <f>Z11</f>
        <v>2.5417692974845436E-2</v>
      </c>
      <c r="AA16" s="3"/>
      <c r="AC16">
        <f>AD11</f>
        <v>7.759169645700492E-3</v>
      </c>
      <c r="AE16" s="3"/>
    </row>
    <row r="17" spans="1:31" ht="18" thickBot="1" x14ac:dyDescent="0.35">
      <c r="A17" s="105"/>
      <c r="B17" s="105"/>
      <c r="C17" s="105"/>
      <c r="D17" s="3">
        <v>2</v>
      </c>
      <c r="E17" s="83">
        <f>'Main Sheet'!S29</f>
        <v>0.36213991045951799</v>
      </c>
      <c r="F17" s="84">
        <f>'Main Sheet'!T29</f>
        <v>0.813964784145355</v>
      </c>
      <c r="G17" s="85">
        <f>'Main Sheet'!U29</f>
        <v>0.27334547042846602</v>
      </c>
      <c r="H17" s="89">
        <f>'Main Sheet'!S53</f>
        <v>0.39779004454612699</v>
      </c>
      <c r="I17" s="90">
        <f>'Main Sheet'!T53</f>
        <v>0.86401391029357899</v>
      </c>
      <c r="J17" s="91">
        <f>'Main Sheet'!U53</f>
        <v>0.44246089458465498</v>
      </c>
      <c r="K17" s="93">
        <f>'Luna16-25 Sheet'!N17</f>
        <v>0.42307692766189575</v>
      </c>
      <c r="L17" s="94">
        <f>'Luna16-25 Sheet'!O17</f>
        <v>0.85652369260787964</v>
      </c>
      <c r="M17" s="48">
        <f>'Luna16-25 Sheet'!P17</f>
        <v>0.41629785299301147</v>
      </c>
      <c r="P17" s="152"/>
      <c r="Q17" s="177" t="s">
        <v>70</v>
      </c>
      <c r="R17" s="177"/>
      <c r="S17" s="177"/>
      <c r="T17" s="177"/>
      <c r="U17" s="177"/>
      <c r="V17" s="177"/>
      <c r="W17" s="177"/>
      <c r="X17" s="177"/>
      <c r="Y17" s="177"/>
      <c r="Z17" s="177"/>
      <c r="AA17" s="178"/>
      <c r="AC17" s="170" t="s">
        <v>151</v>
      </c>
      <c r="AD17" s="170"/>
      <c r="AE17" s="170"/>
    </row>
    <row r="18" spans="1:31" ht="16.5" thickTop="1" thickBot="1" x14ac:dyDescent="0.3">
      <c r="A18" s="105"/>
      <c r="B18" s="105"/>
      <c r="C18" s="105"/>
      <c r="D18" s="3">
        <v>3</v>
      </c>
      <c r="E18" s="83">
        <f>'Main Sheet'!S30</f>
        <v>0.33333334326744002</v>
      </c>
      <c r="F18" s="84">
        <f>'Main Sheet'!T30</f>
        <v>0.82397317886352495</v>
      </c>
      <c r="G18" s="85">
        <f>'Main Sheet'!U30</f>
        <v>0.33387562632560702</v>
      </c>
      <c r="H18" s="89">
        <f>'Main Sheet'!S54</f>
        <v>0.401129931211471</v>
      </c>
      <c r="I18" s="90">
        <f>'Main Sheet'!T54</f>
        <v>0.86666423082351596</v>
      </c>
      <c r="J18" s="91">
        <f>'Main Sheet'!U54</f>
        <v>0.392840266227722</v>
      </c>
      <c r="K18" s="93">
        <f>'Luna16-25 Sheet'!N18</f>
        <v>0.39490446448326111</v>
      </c>
      <c r="L18" s="94">
        <f>'Luna16-25 Sheet'!O18</f>
        <v>0.85362428426742554</v>
      </c>
      <c r="M18" s="48">
        <f>'Luna16-25 Sheet'!P18</f>
        <v>0.42625048756599426</v>
      </c>
      <c r="P18" s="152"/>
      <c r="Q18" s="173">
        <v>18</v>
      </c>
      <c r="R18" s="173"/>
      <c r="S18" s="173"/>
      <c r="U18" s="173">
        <v>34</v>
      </c>
      <c r="V18" s="173"/>
      <c r="W18" s="173"/>
      <c r="Y18" s="173">
        <v>50</v>
      </c>
      <c r="Z18" s="173"/>
      <c r="AA18" s="174"/>
    </row>
    <row r="19" spans="1:31" x14ac:dyDescent="0.25">
      <c r="A19" s="105"/>
      <c r="B19" s="105"/>
      <c r="C19" s="105"/>
      <c r="D19" s="3">
        <v>4</v>
      </c>
      <c r="E19" s="83">
        <f>'Main Sheet'!S31</f>
        <v>0.374502003192901</v>
      </c>
      <c r="F19" s="84">
        <f>'Main Sheet'!T31</f>
        <v>0.812730312347412</v>
      </c>
      <c r="G19" s="85">
        <f>'Main Sheet'!U31</f>
        <v>0.34888857603073098</v>
      </c>
      <c r="H19" s="89">
        <f>'Main Sheet'!S55</f>
        <v>0.40000000596046398</v>
      </c>
      <c r="I19" s="90">
        <f>'Main Sheet'!T55</f>
        <v>0.87003928422927801</v>
      </c>
      <c r="J19" s="91">
        <f>'Main Sheet'!U55</f>
        <v>0.42728608846664401</v>
      </c>
      <c r="K19" s="93">
        <f>'Luna16-25 Sheet'!N19</f>
        <v>0.44534412026405334</v>
      </c>
      <c r="L19" s="94">
        <f>'Luna16-25 Sheet'!O19</f>
        <v>0.87231200933456421</v>
      </c>
      <c r="M19" s="48">
        <f>'Luna16-25 Sheet'!P19</f>
        <v>0.45742598176002502</v>
      </c>
      <c r="P19" s="152"/>
      <c r="Q19" s="17"/>
      <c r="R19" s="17" t="s">
        <v>71</v>
      </c>
      <c r="S19" s="17" t="s">
        <v>149</v>
      </c>
      <c r="U19" s="17"/>
      <c r="V19" s="17" t="s">
        <v>71</v>
      </c>
      <c r="W19" s="17" t="s">
        <v>149</v>
      </c>
      <c r="Y19" s="17"/>
      <c r="Z19" s="17" t="s">
        <v>71</v>
      </c>
      <c r="AA19" s="102" t="s">
        <v>149</v>
      </c>
      <c r="AC19" s="17"/>
      <c r="AD19" s="17" t="s">
        <v>19</v>
      </c>
      <c r="AE19" s="17" t="s">
        <v>149</v>
      </c>
    </row>
    <row r="20" spans="1:31" x14ac:dyDescent="0.25">
      <c r="A20" s="105"/>
      <c r="B20" s="105"/>
      <c r="C20" s="105">
        <v>34</v>
      </c>
      <c r="D20" s="3">
        <v>1</v>
      </c>
      <c r="E20" s="83">
        <f>'Main Sheet'!S32</f>
        <v>0.44518271088600098</v>
      </c>
      <c r="F20" s="84">
        <f>'Main Sheet'!T32</f>
        <v>0.83746600151062001</v>
      </c>
      <c r="G20" s="85">
        <f>'Main Sheet'!U32</f>
        <v>0.35077840089797901</v>
      </c>
      <c r="H20" s="89">
        <f>'Main Sheet'!S56</f>
        <v>0.44444444775581299</v>
      </c>
      <c r="I20" s="90">
        <f>'Main Sheet'!T56</f>
        <v>0.84364998340606601</v>
      </c>
      <c r="J20" s="91">
        <f>'Main Sheet'!U56</f>
        <v>0.351035356521606</v>
      </c>
      <c r="K20" s="93">
        <f>'Luna16-25 Sheet'!N20</f>
        <v>0.40909090638160706</v>
      </c>
      <c r="L20" s="94">
        <f>'Luna16-25 Sheet'!O20</f>
        <v>0.84395194053649902</v>
      </c>
      <c r="M20" s="48">
        <f>'Luna16-25 Sheet'!P20</f>
        <v>0.36986622214317322</v>
      </c>
      <c r="P20" s="152"/>
      <c r="Q20" t="s">
        <v>75</v>
      </c>
      <c r="R20">
        <v>0.34199669212102851</v>
      </c>
      <c r="S20">
        <v>0.32899262011051178</v>
      </c>
      <c r="U20" t="s">
        <v>75</v>
      </c>
      <c r="V20">
        <v>0.35118983685970256</v>
      </c>
      <c r="W20">
        <v>0.34126307815313339</v>
      </c>
      <c r="Y20" t="s">
        <v>75</v>
      </c>
      <c r="Z20">
        <v>0.27903310582041679</v>
      </c>
      <c r="AA20" s="3">
        <v>0.32912344485521317</v>
      </c>
      <c r="AC20" t="s">
        <v>75</v>
      </c>
      <c r="AD20">
        <v>0.35931050777435247</v>
      </c>
      <c r="AE20">
        <v>0.32912344485521317</v>
      </c>
    </row>
    <row r="21" spans="1:31" x14ac:dyDescent="0.25">
      <c r="A21" s="105"/>
      <c r="B21" s="105"/>
      <c r="C21" s="105"/>
      <c r="D21" s="3">
        <v>2</v>
      </c>
      <c r="E21" s="83">
        <f>'Main Sheet'!S33</f>
        <v>0.33707866072654702</v>
      </c>
      <c r="F21" s="84">
        <f>'Main Sheet'!T33</f>
        <v>0.80572330951690596</v>
      </c>
      <c r="G21" s="85">
        <f>'Main Sheet'!U33</f>
        <v>0.30210384726524298</v>
      </c>
      <c r="H21" s="89">
        <f>'Main Sheet'!S57</f>
        <v>0.460317462682724</v>
      </c>
      <c r="I21" s="90">
        <f>'Main Sheet'!T57</f>
        <v>0.86284357309341397</v>
      </c>
      <c r="J21" s="91">
        <f>'Main Sheet'!U57</f>
        <v>0.40798449516296298</v>
      </c>
      <c r="K21" s="93">
        <f>'Luna16-25 Sheet'!N21</f>
        <v>0.40163934230804443</v>
      </c>
      <c r="L21" s="94">
        <f>'Luna16-25 Sheet'!O21</f>
        <v>0.86241310834884644</v>
      </c>
      <c r="M21" s="48">
        <f>'Luna16-25 Sheet'!P21</f>
        <v>0.42060226202011108</v>
      </c>
      <c r="P21" s="152"/>
      <c r="Q21" t="s">
        <v>76</v>
      </c>
      <c r="R21">
        <v>6.4515353423962951E-4</v>
      </c>
      <c r="S21">
        <v>5.306184676419079E-4</v>
      </c>
      <c r="U21" t="s">
        <v>76</v>
      </c>
      <c r="V21">
        <v>3.4463217683991152E-3</v>
      </c>
      <c r="W21">
        <v>5.7826386999419255E-4</v>
      </c>
      <c r="Y21" t="s">
        <v>76</v>
      </c>
      <c r="Z21">
        <v>2.3673045115185642E-3</v>
      </c>
      <c r="AA21" s="3">
        <v>3.8835147647457252E-4</v>
      </c>
      <c r="AC21" t="s">
        <v>76</v>
      </c>
      <c r="AD21">
        <v>1.4834595794160634E-3</v>
      </c>
      <c r="AE21">
        <v>3.8835147647457252E-4</v>
      </c>
    </row>
    <row r="22" spans="1:31" x14ac:dyDescent="0.25">
      <c r="A22" s="105"/>
      <c r="B22" s="105"/>
      <c r="C22" s="105"/>
      <c r="D22" s="3">
        <v>3</v>
      </c>
      <c r="E22" s="83">
        <f>'Main Sheet'!S34</f>
        <v>0.38709676265716497</v>
      </c>
      <c r="F22" s="84">
        <f>'Main Sheet'!T34</f>
        <v>0.82949256896972601</v>
      </c>
      <c r="G22" s="85">
        <f>'Main Sheet'!U34</f>
        <v>0.378551036119461</v>
      </c>
      <c r="H22" s="89">
        <f>'Main Sheet'!S58</f>
        <v>0.31707316637039101</v>
      </c>
      <c r="I22" s="90">
        <f>'Main Sheet'!T58</f>
        <v>0.85711264610290505</v>
      </c>
      <c r="J22" s="91">
        <f>'Main Sheet'!U58</f>
        <v>0.405340135097503</v>
      </c>
      <c r="K22" s="93">
        <f>'Luna16-25 Sheet'!N22</f>
        <v>0.44537815451622009</v>
      </c>
      <c r="L22" s="94">
        <f>'Luna16-25 Sheet'!O22</f>
        <v>0.876517653465271</v>
      </c>
      <c r="M22" s="48">
        <f>'Luna16-25 Sheet'!P22</f>
        <v>0.44919180870056152</v>
      </c>
      <c r="P22" s="152"/>
      <c r="Q22" t="s">
        <v>77</v>
      </c>
      <c r="R22">
        <v>4</v>
      </c>
      <c r="S22">
        <v>4</v>
      </c>
      <c r="U22" t="s">
        <v>77</v>
      </c>
      <c r="V22">
        <v>4</v>
      </c>
      <c r="W22">
        <v>4</v>
      </c>
      <c r="Y22" t="s">
        <v>77</v>
      </c>
      <c r="Z22">
        <v>4</v>
      </c>
      <c r="AA22" s="3">
        <v>4</v>
      </c>
      <c r="AC22" t="s">
        <v>77</v>
      </c>
      <c r="AD22">
        <v>4</v>
      </c>
      <c r="AE22">
        <v>4</v>
      </c>
    </row>
    <row r="23" spans="1:31" x14ac:dyDescent="0.25">
      <c r="A23" s="105"/>
      <c r="B23" s="105"/>
      <c r="C23" s="105"/>
      <c r="D23" s="3">
        <v>4</v>
      </c>
      <c r="E23" s="83">
        <f>'Main Sheet'!S35</f>
        <v>0.370731711387634</v>
      </c>
      <c r="F23" s="84">
        <f>'Main Sheet'!T35</f>
        <v>0.83450627326965299</v>
      </c>
      <c r="G23" s="85">
        <f>'Main Sheet'!U35</f>
        <v>0.36765474081039401</v>
      </c>
      <c r="H23" s="89">
        <f>'Main Sheet'!S59</f>
        <v>0.431095391511917</v>
      </c>
      <c r="I23" s="90">
        <f>'Main Sheet'!T59</f>
        <v>0.84563577175140303</v>
      </c>
      <c r="J23" s="91">
        <f>'Main Sheet'!U59</f>
        <v>0.38255935907363797</v>
      </c>
      <c r="K23" s="93">
        <f>'Luna16-25 Sheet'!N23</f>
        <v>0.39867109060287476</v>
      </c>
      <c r="L23" s="94">
        <f>'Luna16-25 Sheet'!O23</f>
        <v>0.83094233274459839</v>
      </c>
      <c r="M23" s="48">
        <f>'Luna16-25 Sheet'!P23</f>
        <v>0.35366618633270264</v>
      </c>
      <c r="P23" s="152"/>
      <c r="Q23" t="s">
        <v>78</v>
      </c>
      <c r="R23">
        <v>0.32622940808724876</v>
      </c>
      <c r="U23" t="s">
        <v>78</v>
      </c>
      <c r="V23">
        <v>0.12810906775383701</v>
      </c>
      <c r="Y23" t="s">
        <v>78</v>
      </c>
      <c r="Z23">
        <v>0.98093463926334346</v>
      </c>
      <c r="AA23" s="3"/>
      <c r="AC23" t="s">
        <v>78</v>
      </c>
      <c r="AD23">
        <v>0.13216645372976465</v>
      </c>
    </row>
    <row r="24" spans="1:31" x14ac:dyDescent="0.25">
      <c r="A24" s="105"/>
      <c r="B24" s="105"/>
      <c r="C24" s="105">
        <v>50</v>
      </c>
      <c r="D24" s="3">
        <v>1</v>
      </c>
      <c r="E24" s="83">
        <f>'Main Sheet'!S36</f>
        <v>0.40701752901077198</v>
      </c>
      <c r="F24" s="84">
        <f>'Main Sheet'!T36</f>
        <v>0.86419510841369596</v>
      </c>
      <c r="G24" s="85">
        <f>'Main Sheet'!U36</f>
        <v>0.38425895571708601</v>
      </c>
      <c r="H24" s="89">
        <f>'Main Sheet'!S60</f>
        <v>0.47191011905670099</v>
      </c>
      <c r="I24" s="90">
        <f>'Main Sheet'!T60</f>
        <v>0.85637271404266302</v>
      </c>
      <c r="J24" s="91">
        <f>'Main Sheet'!U60</f>
        <v>0.49981117248535101</v>
      </c>
      <c r="K24" s="93">
        <f>'Luna16-25 Sheet'!N24</f>
        <v>0.41085270047187805</v>
      </c>
      <c r="L24" s="94">
        <f>'Luna16-25 Sheet'!O24</f>
        <v>0.86763060092926025</v>
      </c>
      <c r="M24" s="48">
        <f>'Luna16-25 Sheet'!P24</f>
        <v>0.41785532236099243</v>
      </c>
      <c r="P24" s="152"/>
      <c r="Q24" t="s">
        <v>79</v>
      </c>
      <c r="R24">
        <v>0</v>
      </c>
      <c r="U24" t="s">
        <v>79</v>
      </c>
      <c r="V24">
        <v>0</v>
      </c>
      <c r="Y24" t="s">
        <v>79</v>
      </c>
      <c r="Z24">
        <v>0</v>
      </c>
      <c r="AA24" s="3"/>
      <c r="AC24" t="s">
        <v>79</v>
      </c>
      <c r="AD24">
        <v>0</v>
      </c>
    </row>
    <row r="25" spans="1:31" x14ac:dyDescent="0.25">
      <c r="A25" s="105"/>
      <c r="B25" s="105"/>
      <c r="C25" s="105"/>
      <c r="D25" s="3">
        <v>2</v>
      </c>
      <c r="E25" s="83">
        <f>'Main Sheet'!S37</f>
        <v>0.34146341681480402</v>
      </c>
      <c r="F25" s="84">
        <f>'Main Sheet'!T37</f>
        <v>0.80423593521118097</v>
      </c>
      <c r="G25" s="85">
        <f>'Main Sheet'!U37</f>
        <v>0.30751499533653198</v>
      </c>
      <c r="H25" s="89">
        <f>'Main Sheet'!S61</f>
        <v>0.41245135664939803</v>
      </c>
      <c r="I25" s="90">
        <f>'Main Sheet'!T61</f>
        <v>0.85785257816314697</v>
      </c>
      <c r="J25" s="91">
        <f>'Main Sheet'!U61</f>
        <v>0.37971735000610302</v>
      </c>
      <c r="K25" s="93">
        <f>'Luna16-25 Sheet'!N25</f>
        <v>0.41040462255477905</v>
      </c>
      <c r="L25" s="94">
        <f>'Luna16-25 Sheet'!O25</f>
        <v>0.85516464710235596</v>
      </c>
      <c r="M25" s="48">
        <f>'Luna16-25 Sheet'!P25</f>
        <v>0.41472384333610535</v>
      </c>
      <c r="P25" s="152"/>
      <c r="Q25" t="s">
        <v>80</v>
      </c>
      <c r="R25">
        <v>3</v>
      </c>
      <c r="U25" t="s">
        <v>80</v>
      </c>
      <c r="V25">
        <v>3</v>
      </c>
      <c r="Y25" t="s">
        <v>80</v>
      </c>
      <c r="Z25">
        <v>3</v>
      </c>
      <c r="AA25" s="3"/>
      <c r="AC25" t="s">
        <v>80</v>
      </c>
      <c r="AD25">
        <v>3</v>
      </c>
    </row>
    <row r="26" spans="1:31" x14ac:dyDescent="0.25">
      <c r="A26" s="105"/>
      <c r="B26" s="105"/>
      <c r="C26" s="105"/>
      <c r="D26" s="3">
        <v>3</v>
      </c>
      <c r="E26" s="83">
        <f>'Main Sheet'!S38</f>
        <v>0.31067961454391402</v>
      </c>
      <c r="F26" s="84">
        <f>'Main Sheet'!T38</f>
        <v>0.80970251560211104</v>
      </c>
      <c r="G26" s="85">
        <f>'Main Sheet'!U38</f>
        <v>0.29779574275016701</v>
      </c>
      <c r="H26" s="89">
        <f>'Main Sheet'!S62</f>
        <v>0.453237414360046</v>
      </c>
      <c r="I26" s="90">
        <f>'Main Sheet'!T62</f>
        <v>0.86078971624374301</v>
      </c>
      <c r="J26" s="91">
        <f>'Main Sheet'!U62</f>
        <v>0.46594262123107899</v>
      </c>
      <c r="K26" s="93">
        <f>'Luna16-25 Sheet'!N26</f>
        <v>0.42763158679008484</v>
      </c>
      <c r="L26" s="94">
        <f>'Luna16-25 Sheet'!O26</f>
        <v>0.85499846935272217</v>
      </c>
      <c r="M26" s="48">
        <f>'Luna16-25 Sheet'!P26</f>
        <v>0.40342152118682861</v>
      </c>
      <c r="P26" s="152"/>
      <c r="Q26" t="s">
        <v>81</v>
      </c>
      <c r="R26">
        <v>0.922980060301826</v>
      </c>
      <c r="U26" t="s">
        <v>81</v>
      </c>
      <c r="V26">
        <v>0.32803931388855168</v>
      </c>
      <c r="Y26" t="s">
        <v>81</v>
      </c>
      <c r="Z26">
        <v>-3.3875655897677377</v>
      </c>
      <c r="AA26" s="3"/>
      <c r="AC26" t="s">
        <v>81</v>
      </c>
      <c r="AD26">
        <v>1.4768604003215637</v>
      </c>
    </row>
    <row r="27" spans="1:31" x14ac:dyDescent="0.25">
      <c r="A27" s="107"/>
      <c r="B27" s="107"/>
      <c r="C27" s="107"/>
      <c r="D27" s="8">
        <v>4</v>
      </c>
      <c r="E27" s="95">
        <f>'Main Sheet'!S39</f>
        <v>0.33980581164360002</v>
      </c>
      <c r="F27" s="96">
        <f>'Main Sheet'!T39</f>
        <v>0.83089709281921298</v>
      </c>
      <c r="G27" s="97">
        <f>'Main Sheet'!U39</f>
        <v>0.316507518291473</v>
      </c>
      <c r="H27" s="98">
        <f>'Main Sheet'!S63</f>
        <v>0.434782594442367</v>
      </c>
      <c r="I27" s="99">
        <f>'Main Sheet'!T63</f>
        <v>0.87798994779586703</v>
      </c>
      <c r="J27" s="100">
        <f>'Main Sheet'!U63</f>
        <v>0.39214628934860202</v>
      </c>
      <c r="K27" s="101">
        <f>'Luna16-25 Sheet'!N27</f>
        <v>0.40277779102325439</v>
      </c>
      <c r="L27" s="49">
        <f>'Luna16-25 Sheet'!O27</f>
        <v>0.84113562107086182</v>
      </c>
      <c r="M27" s="50">
        <f>'Luna16-25 Sheet'!P27</f>
        <v>0.2953987717628479</v>
      </c>
      <c r="P27" s="152"/>
      <c r="Q27" t="s">
        <v>82</v>
      </c>
      <c r="R27">
        <v>0.21204546532615134</v>
      </c>
      <c r="U27" t="s">
        <v>82</v>
      </c>
      <c r="V27">
        <v>0.38222155637384125</v>
      </c>
      <c r="Y27" t="s">
        <v>82</v>
      </c>
      <c r="Z27">
        <v>2.1425821735485535E-2</v>
      </c>
      <c r="AA27" s="3"/>
      <c r="AC27" t="s">
        <v>82</v>
      </c>
      <c r="AD27">
        <v>0.11810610072052738</v>
      </c>
    </row>
    <row r="28" spans="1:31" x14ac:dyDescent="0.25">
      <c r="A28" s="103" t="s">
        <v>24</v>
      </c>
      <c r="B28" s="103" t="s">
        <v>27</v>
      </c>
      <c r="C28" s="103"/>
      <c r="D28" s="10">
        <v>1</v>
      </c>
      <c r="E28" s="83">
        <f>'Main Sheet'!S64</f>
        <v>0</v>
      </c>
      <c r="F28" s="84">
        <f>'Main Sheet'!T64</f>
        <v>0.68266385793685902</v>
      </c>
      <c r="G28" s="85">
        <f>'Main Sheet'!U64</f>
        <v>0.178153902292251</v>
      </c>
      <c r="H28" s="89">
        <f>'Main Sheet'!S72</f>
        <v>0.39252337813377303</v>
      </c>
      <c r="I28" s="90">
        <f>'Main Sheet'!T72</f>
        <v>0.81936728954315097</v>
      </c>
      <c r="J28" s="91">
        <f>'Main Sheet'!U72</f>
        <v>0.32699429988861001</v>
      </c>
      <c r="K28" s="93">
        <f>'Luna16-25 Sheet'!N28</f>
        <v>0.34228187799453735</v>
      </c>
      <c r="L28" s="94">
        <f>'Luna16-25 Sheet'!O28</f>
        <v>0.81119757890701294</v>
      </c>
      <c r="M28" s="48">
        <f>'Luna16-25 Sheet'!P28</f>
        <v>0.25189876556396484</v>
      </c>
      <c r="P28" s="152"/>
      <c r="Q28" t="s">
        <v>83</v>
      </c>
      <c r="R28">
        <v>2.3533634348018233</v>
      </c>
      <c r="U28" t="s">
        <v>83</v>
      </c>
      <c r="V28">
        <v>2.3533634348018233</v>
      </c>
      <c r="Y28" t="s">
        <v>83</v>
      </c>
      <c r="Z28">
        <v>2.3533634348018233</v>
      </c>
      <c r="AA28" s="3"/>
      <c r="AC28" t="s">
        <v>83</v>
      </c>
      <c r="AD28">
        <v>2.3533634348018233</v>
      </c>
    </row>
    <row r="29" spans="1:31" x14ac:dyDescent="0.25">
      <c r="A29" s="105"/>
      <c r="B29" s="105"/>
      <c r="C29" s="105"/>
      <c r="D29" s="3">
        <v>2</v>
      </c>
      <c r="E29" s="83">
        <f>'Main Sheet'!S65</f>
        <v>0</v>
      </c>
      <c r="F29" s="84">
        <f>'Main Sheet'!T65</f>
        <v>0.67980223894119196</v>
      </c>
      <c r="G29" s="85">
        <f>'Main Sheet'!U65</f>
        <v>0.13317538797855299</v>
      </c>
      <c r="H29" s="89">
        <f>'Main Sheet'!S73</f>
        <v>0.229508191347122</v>
      </c>
      <c r="I29" s="90">
        <f>'Main Sheet'!T73</f>
        <v>0.76944279670715299</v>
      </c>
      <c r="J29" s="91">
        <f>'Main Sheet'!U73</f>
        <v>0.230017140507698</v>
      </c>
      <c r="K29" s="93">
        <f>'Luna16-25 Sheet'!N29</f>
        <v>0.19480518996715546</v>
      </c>
      <c r="L29" s="94">
        <f>'Luna16-25 Sheet'!O29</f>
        <v>0.77353519201278687</v>
      </c>
      <c r="M29" s="48">
        <f>'Luna16-25 Sheet'!P29</f>
        <v>0.25516399741172791</v>
      </c>
      <c r="P29" s="152"/>
      <c r="Q29" t="s">
        <v>84</v>
      </c>
      <c r="R29">
        <v>0.42409093065230269</v>
      </c>
      <c r="U29" t="s">
        <v>84</v>
      </c>
      <c r="V29">
        <v>0.76444311274768251</v>
      </c>
      <c r="Y29" t="s">
        <v>84</v>
      </c>
      <c r="Z29">
        <v>4.2851643470971069E-2</v>
      </c>
      <c r="AA29" s="3"/>
      <c r="AC29" t="s">
        <v>84</v>
      </c>
      <c r="AD29">
        <v>0.23621220144105476</v>
      </c>
    </row>
    <row r="30" spans="1:31" ht="15.75" thickBot="1" x14ac:dyDescent="0.3">
      <c r="A30" s="105"/>
      <c r="B30" s="105"/>
      <c r="C30" s="105"/>
      <c r="D30" s="3">
        <v>3</v>
      </c>
      <c r="E30" s="83">
        <f>'Main Sheet'!S66</f>
        <v>0</v>
      </c>
      <c r="F30" s="84">
        <f>'Main Sheet'!T66</f>
        <v>0.65945333242416304</v>
      </c>
      <c r="G30" s="85">
        <f>'Main Sheet'!U66</f>
        <v>0.12829360365867601</v>
      </c>
      <c r="H30" s="89">
        <f>'Main Sheet'!S74</f>
        <v>0.347305387258529</v>
      </c>
      <c r="I30" s="90">
        <f>'Main Sheet'!T74</f>
        <v>0.80030208826064997</v>
      </c>
      <c r="J30" s="91">
        <f>'Main Sheet'!U74</f>
        <v>0.27865141630172702</v>
      </c>
      <c r="K30" s="93">
        <f>'Luna16-25 Sheet'!N30</f>
        <v>0.25210085511207581</v>
      </c>
      <c r="L30" s="94">
        <f>'Luna16-25 Sheet'!O30</f>
        <v>0.74747055768966675</v>
      </c>
      <c r="M30" s="48">
        <f>'Luna16-25 Sheet'!P30</f>
        <v>0.23095114529132843</v>
      </c>
      <c r="P30" s="152"/>
      <c r="Q30" s="16" t="s">
        <v>85</v>
      </c>
      <c r="R30" s="16">
        <v>3.1824463052837091</v>
      </c>
      <c r="S30" s="16"/>
      <c r="U30" s="16" t="s">
        <v>85</v>
      </c>
      <c r="V30" s="16">
        <v>3.1824463052837091</v>
      </c>
      <c r="W30" s="16"/>
      <c r="Y30" s="16" t="s">
        <v>85</v>
      </c>
      <c r="Z30" s="16">
        <v>3.1824463052837091</v>
      </c>
      <c r="AA30" s="68"/>
      <c r="AC30" s="16" t="s">
        <v>85</v>
      </c>
      <c r="AD30" s="16">
        <v>3.1824463052837091</v>
      </c>
      <c r="AE30" s="16"/>
    </row>
    <row r="31" spans="1:31" x14ac:dyDescent="0.25">
      <c r="A31" s="107"/>
      <c r="B31" s="107"/>
      <c r="C31" s="107"/>
      <c r="D31" s="8">
        <v>4</v>
      </c>
      <c r="E31" s="95">
        <f>'Main Sheet'!S67</f>
        <v>0</v>
      </c>
      <c r="F31" s="96">
        <f>'Main Sheet'!T67</f>
        <v>0.71057081222534102</v>
      </c>
      <c r="G31" s="97">
        <f>'Main Sheet'!U67</f>
        <v>0.17822530865669201</v>
      </c>
      <c r="H31" s="98">
        <f>'Main Sheet'!S75</f>
        <v>0.38461539149284302</v>
      </c>
      <c r="I31" s="99">
        <f>'Main Sheet'!T75</f>
        <v>0.84190577268600397</v>
      </c>
      <c r="J31" s="100">
        <f>'Main Sheet'!U75</f>
        <v>0.31651219725608798</v>
      </c>
      <c r="K31" s="101">
        <f>'Luna16-25 Sheet'!N31</f>
        <v>0.27135679125785828</v>
      </c>
      <c r="L31" s="49">
        <f>'Luna16-25 Sheet'!O31</f>
        <v>0.81559956073760986</v>
      </c>
      <c r="M31" s="50">
        <f>'Luna16-25 Sheet'!P31</f>
        <v>0.27385705709457397</v>
      </c>
      <c r="P31" s="152"/>
      <c r="Q31" t="str">
        <f>IF(S20 &gt; R20, "Double &gt; Pretrained", "Double &lt; Pretrained")</f>
        <v>Double &lt; Pretrained</v>
      </c>
      <c r="R31" s="171" t="str">
        <f>IF(R27 &lt; 0.05, "Significant", "Not Significant")</f>
        <v>Not Significant</v>
      </c>
      <c r="S31" s="171"/>
      <c r="U31" t="str">
        <f>IF(W20 &gt; V20, "Double &gt; Pretrained", "Double &lt; Pretrained")</f>
        <v>Double &lt; Pretrained</v>
      </c>
      <c r="V31" s="171" t="str">
        <f>IF(V27 &lt; 0.05, "Significant", "Not Significant")</f>
        <v>Not Significant</v>
      </c>
      <c r="W31" s="171"/>
      <c r="Y31" t="str">
        <f>IF(AA20 &gt; Z20, "Double &gt; Pretrained", "Double &lt; Pretrained")</f>
        <v>Double &gt; Pretrained</v>
      </c>
      <c r="Z31" s="171" t="str">
        <f>IF(Z27 &lt; 0.05, "Significant", "Not Significant")</f>
        <v>Significant</v>
      </c>
      <c r="AA31" s="172"/>
      <c r="AC31" t="str">
        <f>IF(AE20 &gt; AD20, "Double &gt; Fresh", "Double &lt; Fresh")</f>
        <v>Double &lt; Fresh</v>
      </c>
      <c r="AD31" s="171" t="str">
        <f>IF(AD27 &lt; 0.05, "Significant", "Not Significant")</f>
        <v>Not Significant</v>
      </c>
      <c r="AE31" s="172"/>
    </row>
    <row r="32" spans="1:31" x14ac:dyDescent="0.25">
      <c r="P32" s="152"/>
      <c r="Q32" s="7">
        <f>R27</f>
        <v>0.21204546532615134</v>
      </c>
      <c r="R32" s="7"/>
      <c r="S32" s="7"/>
      <c r="T32" s="7"/>
      <c r="U32" s="7">
        <f>V27</f>
        <v>0.38222155637384125</v>
      </c>
      <c r="V32" s="7"/>
      <c r="W32" s="7"/>
      <c r="X32" s="7"/>
      <c r="Y32" s="7">
        <f>Z27</f>
        <v>2.1425821735485535E-2</v>
      </c>
      <c r="Z32" s="7"/>
      <c r="AA32" s="8"/>
      <c r="AC32">
        <f>AD27</f>
        <v>0.11810610072052738</v>
      </c>
      <c r="AE32" s="3"/>
    </row>
    <row r="33" spans="16:27" ht="18" thickBot="1" x14ac:dyDescent="0.35">
      <c r="P33" s="152"/>
      <c r="Q33" s="177" t="s">
        <v>4</v>
      </c>
      <c r="R33" s="177"/>
      <c r="S33" s="177"/>
      <c r="T33" s="177"/>
      <c r="U33" s="177"/>
      <c r="V33" s="177"/>
      <c r="W33" s="177"/>
      <c r="X33" s="177"/>
      <c r="Y33" s="177"/>
      <c r="Z33" s="177"/>
      <c r="AA33" s="178"/>
    </row>
    <row r="34" spans="16:27" ht="16.5" thickTop="1" thickBot="1" x14ac:dyDescent="0.3">
      <c r="P34" s="152"/>
      <c r="Q34" s="173">
        <v>18</v>
      </c>
      <c r="R34" s="173"/>
      <c r="S34" s="173"/>
      <c r="U34" s="173">
        <v>34</v>
      </c>
      <c r="V34" s="173"/>
      <c r="W34" s="173"/>
      <c r="Y34" s="173">
        <v>50</v>
      </c>
      <c r="Z34" s="173"/>
      <c r="AA34" s="174"/>
    </row>
    <row r="35" spans="16:27" x14ac:dyDescent="0.25">
      <c r="P35" s="152"/>
      <c r="Q35" s="17"/>
      <c r="R35" s="17" t="s">
        <v>71</v>
      </c>
      <c r="S35" s="17" t="s">
        <v>149</v>
      </c>
      <c r="U35" s="17"/>
      <c r="V35" s="17" t="s">
        <v>71</v>
      </c>
      <c r="W35" s="17" t="s">
        <v>149</v>
      </c>
      <c r="Y35" s="17"/>
      <c r="Z35" s="17" t="s">
        <v>71</v>
      </c>
      <c r="AA35" s="102" t="s">
        <v>149</v>
      </c>
    </row>
    <row r="36" spans="16:27" x14ac:dyDescent="0.25">
      <c r="P36" s="152"/>
      <c r="Q36" t="s">
        <v>75</v>
      </c>
      <c r="R36">
        <v>0.35535456240177127</v>
      </c>
      <c r="S36">
        <v>0.32253061607480049</v>
      </c>
      <c r="U36" t="s">
        <v>75</v>
      </c>
      <c r="V36">
        <v>0.30236206576228097</v>
      </c>
      <c r="W36">
        <v>0.33721288666129112</v>
      </c>
      <c r="Y36" t="s">
        <v>75</v>
      </c>
      <c r="Z36">
        <v>0.30541968718171097</v>
      </c>
      <c r="AA36" s="3">
        <v>0.35099110007286072</v>
      </c>
    </row>
    <row r="37" spans="16:27" x14ac:dyDescent="0.25">
      <c r="P37" s="152"/>
      <c r="Q37" t="s">
        <v>76</v>
      </c>
      <c r="R37">
        <v>3.166244909800183E-3</v>
      </c>
      <c r="S37">
        <v>8.1624625040585177E-3</v>
      </c>
      <c r="U37" t="s">
        <v>76</v>
      </c>
      <c r="V37">
        <v>1.3602176451160167E-2</v>
      </c>
      <c r="W37">
        <v>4.8790377050336731E-3</v>
      </c>
      <c r="Y37" t="s">
        <v>76</v>
      </c>
      <c r="Z37">
        <v>2.5390296861057351E-3</v>
      </c>
      <c r="AA37" s="3">
        <v>9.7851528262242016E-4</v>
      </c>
    </row>
    <row r="38" spans="16:27" x14ac:dyDescent="0.25">
      <c r="P38" s="152"/>
      <c r="Q38" t="s">
        <v>77</v>
      </c>
      <c r="R38">
        <v>4</v>
      </c>
      <c r="S38">
        <v>4</v>
      </c>
      <c r="U38" t="s">
        <v>77</v>
      </c>
      <c r="V38">
        <v>4</v>
      </c>
      <c r="W38">
        <v>4</v>
      </c>
      <c r="Y38" t="s">
        <v>77</v>
      </c>
      <c r="Z38">
        <v>4</v>
      </c>
      <c r="AA38" s="3">
        <v>4</v>
      </c>
    </row>
    <row r="39" spans="16:27" x14ac:dyDescent="0.25">
      <c r="P39" s="152"/>
      <c r="Q39" t="s">
        <v>78</v>
      </c>
      <c r="R39">
        <v>0.99483615264977154</v>
      </c>
      <c r="U39" t="s">
        <v>78</v>
      </c>
      <c r="V39">
        <v>0.73342567237369249</v>
      </c>
      <c r="Y39" t="s">
        <v>78</v>
      </c>
      <c r="Z39">
        <v>0.57088433810123673</v>
      </c>
      <c r="AA39" s="3"/>
    </row>
    <row r="40" spans="16:27" x14ac:dyDescent="0.25">
      <c r="P40" s="152"/>
      <c r="Q40" t="s">
        <v>79</v>
      </c>
      <c r="R40">
        <v>0</v>
      </c>
      <c r="U40" t="s">
        <v>79</v>
      </c>
      <c r="V40">
        <v>0</v>
      </c>
      <c r="Y40" t="s">
        <v>79</v>
      </c>
      <c r="Z40">
        <v>0</v>
      </c>
      <c r="AA40" s="3"/>
    </row>
    <row r="41" spans="16:27" x14ac:dyDescent="0.25">
      <c r="P41" s="152"/>
      <c r="Q41" t="s">
        <v>80</v>
      </c>
      <c r="R41">
        <v>3</v>
      </c>
      <c r="U41" t="s">
        <v>80</v>
      </c>
      <c r="V41">
        <v>3</v>
      </c>
      <c r="Y41" t="s">
        <v>80</v>
      </c>
      <c r="Z41">
        <v>3</v>
      </c>
      <c r="AA41" s="3"/>
    </row>
    <row r="42" spans="16:27" x14ac:dyDescent="0.25">
      <c r="P42" s="152"/>
      <c r="Q42" t="s">
        <v>81</v>
      </c>
      <c r="R42">
        <v>1.8843328488808244</v>
      </c>
      <c r="U42" t="s">
        <v>81</v>
      </c>
      <c r="V42">
        <v>-0.8624549689676434</v>
      </c>
      <c r="Y42" t="s">
        <v>81</v>
      </c>
      <c r="Z42">
        <v>-2.199015319854654</v>
      </c>
      <c r="AA42" s="3"/>
    </row>
    <row r="43" spans="16:27" x14ac:dyDescent="0.25">
      <c r="P43" s="152"/>
      <c r="Q43" t="s">
        <v>82</v>
      </c>
      <c r="R43">
        <v>7.8012698437295733E-2</v>
      </c>
      <c r="U43" t="s">
        <v>82</v>
      </c>
      <c r="V43">
        <v>0.225933699778335</v>
      </c>
      <c r="Y43" t="s">
        <v>82</v>
      </c>
      <c r="Z43">
        <v>5.7638999085642295E-2</v>
      </c>
      <c r="AA43" s="3"/>
    </row>
    <row r="44" spans="16:27" x14ac:dyDescent="0.25">
      <c r="P44" s="152"/>
      <c r="Q44" t="s">
        <v>83</v>
      </c>
      <c r="R44">
        <v>2.3533634348018233</v>
      </c>
      <c r="U44" t="s">
        <v>83</v>
      </c>
      <c r="V44">
        <v>2.3533634348018233</v>
      </c>
      <c r="Y44" t="s">
        <v>83</v>
      </c>
      <c r="Z44">
        <v>2.3533634348018233</v>
      </c>
      <c r="AA44" s="3"/>
    </row>
    <row r="45" spans="16:27" x14ac:dyDescent="0.25">
      <c r="P45" s="152"/>
      <c r="Q45" t="s">
        <v>84</v>
      </c>
      <c r="R45">
        <v>0.15602539687459147</v>
      </c>
      <c r="U45" t="s">
        <v>84</v>
      </c>
      <c r="V45">
        <v>0.45186739955666999</v>
      </c>
      <c r="Y45" t="s">
        <v>84</v>
      </c>
      <c r="Z45">
        <v>0.11527799817128459</v>
      </c>
      <c r="AA45" s="3"/>
    </row>
    <row r="46" spans="16:27" ht="15.75" thickBot="1" x14ac:dyDescent="0.3">
      <c r="P46" s="152"/>
      <c r="Q46" s="16" t="s">
        <v>85</v>
      </c>
      <c r="R46" s="16">
        <v>3.1824463052837091</v>
      </c>
      <c r="S46" s="16"/>
      <c r="U46" s="16" t="s">
        <v>85</v>
      </c>
      <c r="V46" s="16">
        <v>3.1824463052837091</v>
      </c>
      <c r="W46" s="16"/>
      <c r="Y46" s="16" t="s">
        <v>85</v>
      </c>
      <c r="Z46" s="16">
        <v>3.1824463052837091</v>
      </c>
      <c r="AA46" s="68"/>
    </row>
    <row r="47" spans="16:27" x14ac:dyDescent="0.25">
      <c r="P47" s="152"/>
      <c r="Q47" t="str">
        <f>IF(S36 &gt; R36, "Double &gt; Pretrained", "Double &lt; Pretrained")</f>
        <v>Double &lt; Pretrained</v>
      </c>
      <c r="R47" s="171" t="str">
        <f>IF(R43 &lt; 0.05, "Significant", "Not Significant")</f>
        <v>Not Significant</v>
      </c>
      <c r="S47" s="171"/>
      <c r="U47" t="str">
        <f>IF(W36 &gt; V36, "Double &gt; Pretrained", "Double &lt; Pretrained")</f>
        <v>Double &gt; Pretrained</v>
      </c>
      <c r="V47" s="171" t="str">
        <f>IF(V43 &lt; 0.05, "Significant", "Not Significant")</f>
        <v>Not Significant</v>
      </c>
      <c r="W47" s="171"/>
      <c r="Y47" t="str">
        <f>IF(AA36 &gt; Z36, "Double &gt; Pretrained", "Double &lt; Pretrained")</f>
        <v>Double &gt; Pretrained</v>
      </c>
      <c r="Z47" s="171" t="str">
        <f>IF(Z43 &lt; 0.05, "Significant", "Not Significant")</f>
        <v>Not Significant</v>
      </c>
      <c r="AA47" s="172"/>
    </row>
    <row r="48" spans="16:27" x14ac:dyDescent="0.25">
      <c r="P48" s="153"/>
      <c r="Q48" s="7">
        <f>R43</f>
        <v>7.8012698437295733E-2</v>
      </c>
      <c r="R48" s="7"/>
      <c r="S48" s="7"/>
      <c r="T48" s="7"/>
      <c r="U48" s="7">
        <f>V43</f>
        <v>0.225933699778335</v>
      </c>
      <c r="V48" s="7"/>
      <c r="W48" s="7"/>
      <c r="X48" s="7"/>
      <c r="Y48" s="7">
        <f>Z43</f>
        <v>5.7638999085642295E-2</v>
      </c>
      <c r="Z48" s="7"/>
      <c r="AA48" s="8"/>
    </row>
    <row r="49" spans="16:31" ht="18" thickBot="1" x14ac:dyDescent="0.35">
      <c r="P49" s="151" t="s">
        <v>132</v>
      </c>
      <c r="Q49" s="175" t="s">
        <v>5</v>
      </c>
      <c r="R49" s="175"/>
      <c r="S49" s="175"/>
      <c r="T49" s="175"/>
      <c r="U49" s="175"/>
      <c r="V49" s="175"/>
      <c r="W49" s="175"/>
      <c r="X49" s="175"/>
      <c r="Y49" s="175"/>
      <c r="Z49" s="175"/>
      <c r="AA49" s="176"/>
      <c r="AC49" s="170" t="s">
        <v>156</v>
      </c>
      <c r="AD49" s="170"/>
      <c r="AE49" s="170"/>
    </row>
    <row r="50" spans="16:31" ht="16.5" thickTop="1" thickBot="1" x14ac:dyDescent="0.3">
      <c r="P50" s="152"/>
      <c r="Q50" s="173">
        <v>18</v>
      </c>
      <c r="R50" s="173"/>
      <c r="S50" s="173"/>
      <c r="U50" s="173">
        <v>34</v>
      </c>
      <c r="V50" s="173"/>
      <c r="W50" s="173"/>
      <c r="Y50" s="173">
        <v>50</v>
      </c>
      <c r="Z50" s="173"/>
      <c r="AA50" s="174"/>
    </row>
    <row r="51" spans="16:31" x14ac:dyDescent="0.25">
      <c r="P51" s="152"/>
      <c r="Q51" s="17"/>
      <c r="R51" s="17" t="s">
        <v>71</v>
      </c>
      <c r="S51" s="17" t="s">
        <v>149</v>
      </c>
      <c r="U51" s="17"/>
      <c r="V51" s="17" t="s">
        <v>71</v>
      </c>
      <c r="W51" s="17" t="s">
        <v>149</v>
      </c>
      <c r="Y51" s="17"/>
      <c r="Z51" s="17" t="s">
        <v>71</v>
      </c>
      <c r="AA51" s="102" t="s">
        <v>149</v>
      </c>
      <c r="AC51" s="17"/>
      <c r="AD51" s="17" t="s">
        <v>152</v>
      </c>
      <c r="AE51" s="17" t="s">
        <v>153</v>
      </c>
    </row>
    <row r="52" spans="16:31" x14ac:dyDescent="0.25">
      <c r="P52" s="152"/>
      <c r="Q52" t="s">
        <v>75</v>
      </c>
      <c r="R52">
        <v>0.86517104506492581</v>
      </c>
      <c r="S52">
        <v>0.86064255237579346</v>
      </c>
      <c r="U52" t="s">
        <v>75</v>
      </c>
      <c r="V52">
        <v>0.8523104935884469</v>
      </c>
      <c r="W52">
        <v>0.85345625877380371</v>
      </c>
      <c r="Y52" t="s">
        <v>75</v>
      </c>
      <c r="Z52">
        <v>0.86325123906135504</v>
      </c>
      <c r="AA52" s="3">
        <v>0.85473233461380005</v>
      </c>
      <c r="AC52" t="s">
        <v>75</v>
      </c>
      <c r="AD52">
        <v>0.82725766301155024</v>
      </c>
      <c r="AE52">
        <v>0.85473233461380005</v>
      </c>
    </row>
    <row r="53" spans="16:31" x14ac:dyDescent="0.25">
      <c r="P53" s="152"/>
      <c r="Q53" t="s">
        <v>76</v>
      </c>
      <c r="R53">
        <v>1.8117651044015458E-5</v>
      </c>
      <c r="S53">
        <v>6.756023099778001E-5</v>
      </c>
      <c r="U53" t="s">
        <v>76</v>
      </c>
      <c r="V53">
        <v>8.4520926950369188E-5</v>
      </c>
      <c r="W53">
        <v>4.0308733661002333E-4</v>
      </c>
      <c r="Y53" t="s">
        <v>76</v>
      </c>
      <c r="Z53">
        <v>9.9916091889672531E-5</v>
      </c>
      <c r="AA53" s="3">
        <v>1.1716453830009262E-4</v>
      </c>
      <c r="AC53" t="s">
        <v>76</v>
      </c>
      <c r="AD53">
        <v>7.3860115788094494E-4</v>
      </c>
      <c r="AE53">
        <v>1.1716453830009262E-4</v>
      </c>
    </row>
    <row r="54" spans="16:31" x14ac:dyDescent="0.25">
      <c r="P54" s="152"/>
      <c r="Q54" t="s">
        <v>77</v>
      </c>
      <c r="R54">
        <v>4</v>
      </c>
      <c r="S54">
        <v>4</v>
      </c>
      <c r="U54" t="s">
        <v>77</v>
      </c>
      <c r="V54">
        <v>4</v>
      </c>
      <c r="W54">
        <v>4</v>
      </c>
      <c r="Y54" t="s">
        <v>77</v>
      </c>
      <c r="Z54">
        <v>4</v>
      </c>
      <c r="AA54" s="3">
        <v>4</v>
      </c>
      <c r="AC54" t="s">
        <v>77</v>
      </c>
      <c r="AD54">
        <v>4</v>
      </c>
      <c r="AE54">
        <v>4</v>
      </c>
    </row>
    <row r="55" spans="16:31" x14ac:dyDescent="0.25">
      <c r="P55" s="152"/>
      <c r="Q55" t="s">
        <v>78</v>
      </c>
      <c r="R55">
        <v>0.51321790957306612</v>
      </c>
      <c r="U55" t="s">
        <v>78</v>
      </c>
      <c r="V55">
        <v>0.79040153019207859</v>
      </c>
      <c r="Y55" t="s">
        <v>78</v>
      </c>
      <c r="Z55">
        <v>-0.89992530492422651</v>
      </c>
      <c r="AA55" s="3"/>
      <c r="AC55" t="s">
        <v>78</v>
      </c>
      <c r="AD55">
        <v>0.46720789790861322</v>
      </c>
    </row>
    <row r="56" spans="16:31" x14ac:dyDescent="0.25">
      <c r="P56" s="152"/>
      <c r="Q56" t="s">
        <v>79</v>
      </c>
      <c r="R56">
        <v>0</v>
      </c>
      <c r="U56" t="s">
        <v>79</v>
      </c>
      <c r="V56">
        <v>0</v>
      </c>
      <c r="Y56" t="s">
        <v>79</v>
      </c>
      <c r="Z56">
        <v>0</v>
      </c>
      <c r="AA56" s="3"/>
      <c r="AC56" t="s">
        <v>79</v>
      </c>
      <c r="AD56">
        <v>0</v>
      </c>
    </row>
    <row r="57" spans="16:31" x14ac:dyDescent="0.25">
      <c r="P57" s="152"/>
      <c r="Q57" t="s">
        <v>80</v>
      </c>
      <c r="R57">
        <v>3</v>
      </c>
      <c r="U57" t="s">
        <v>80</v>
      </c>
      <c r="V57">
        <v>3</v>
      </c>
      <c r="Y57" t="s">
        <v>80</v>
      </c>
      <c r="Z57">
        <v>3</v>
      </c>
      <c r="AA57" s="3"/>
      <c r="AC57" t="s">
        <v>80</v>
      </c>
      <c r="AD57">
        <v>3</v>
      </c>
    </row>
    <row r="58" spans="16:31" x14ac:dyDescent="0.25">
      <c r="P58" s="152"/>
      <c r="Q58" t="s">
        <v>81</v>
      </c>
      <c r="R58">
        <v>1.2838483935470995</v>
      </c>
      <c r="U58" t="s">
        <v>81</v>
      </c>
      <c r="V58">
        <v>-0.16375360684261853</v>
      </c>
      <c r="Y58" t="s">
        <v>81</v>
      </c>
      <c r="Z58">
        <v>0.83957669998692863</v>
      </c>
      <c r="AA58" s="3"/>
      <c r="AC58" t="s">
        <v>81</v>
      </c>
      <c r="AD58">
        <v>-2.2799073124774587</v>
      </c>
    </row>
    <row r="59" spans="16:31" x14ac:dyDescent="0.25">
      <c r="P59" s="152"/>
      <c r="Q59" t="s">
        <v>82</v>
      </c>
      <c r="R59">
        <v>0.14468463373738355</v>
      </c>
      <c r="U59" t="s">
        <v>82</v>
      </c>
      <c r="V59">
        <v>0.44016773289365618</v>
      </c>
      <c r="Y59" t="s">
        <v>82</v>
      </c>
      <c r="Z59">
        <v>0.23139020220511797</v>
      </c>
      <c r="AA59" s="3"/>
      <c r="AC59" t="s">
        <v>82</v>
      </c>
      <c r="AD59">
        <v>5.3472196142261161E-2</v>
      </c>
    </row>
    <row r="60" spans="16:31" x14ac:dyDescent="0.25">
      <c r="P60" s="152"/>
      <c r="Q60" t="s">
        <v>83</v>
      </c>
      <c r="R60">
        <v>2.3533634348018233</v>
      </c>
      <c r="U60" t="s">
        <v>83</v>
      </c>
      <c r="V60">
        <v>2.3533634348018233</v>
      </c>
      <c r="Y60" t="s">
        <v>83</v>
      </c>
      <c r="Z60">
        <v>2.3533634348018233</v>
      </c>
      <c r="AA60" s="3"/>
      <c r="AC60" t="s">
        <v>83</v>
      </c>
      <c r="AD60">
        <v>2.3533634348018233</v>
      </c>
    </row>
    <row r="61" spans="16:31" x14ac:dyDescent="0.25">
      <c r="P61" s="152"/>
      <c r="Q61" t="s">
        <v>84</v>
      </c>
      <c r="R61">
        <v>0.2893692674747671</v>
      </c>
      <c r="U61" t="s">
        <v>84</v>
      </c>
      <c r="V61">
        <v>0.88033546578731237</v>
      </c>
      <c r="Y61" t="s">
        <v>84</v>
      </c>
      <c r="Z61">
        <v>0.46278040441023593</v>
      </c>
      <c r="AA61" s="3"/>
      <c r="AC61" t="s">
        <v>84</v>
      </c>
      <c r="AD61">
        <v>0.10694439228452232</v>
      </c>
    </row>
    <row r="62" spans="16:31" ht="15.75" thickBot="1" x14ac:dyDescent="0.3">
      <c r="P62" s="152"/>
      <c r="Q62" s="16" t="s">
        <v>85</v>
      </c>
      <c r="R62" s="16">
        <v>3.1824463052837091</v>
      </c>
      <c r="S62" s="16"/>
      <c r="U62" s="16" t="s">
        <v>85</v>
      </c>
      <c r="V62" s="16">
        <v>3.1824463052837091</v>
      </c>
      <c r="W62" s="16"/>
      <c r="Y62" s="16" t="s">
        <v>85</v>
      </c>
      <c r="Z62" s="16">
        <v>3.1824463052837091</v>
      </c>
      <c r="AA62" s="68"/>
      <c r="AC62" s="16" t="s">
        <v>85</v>
      </c>
      <c r="AD62" s="16">
        <v>3.1824463052837091</v>
      </c>
      <c r="AE62" s="16"/>
    </row>
    <row r="63" spans="16:31" x14ac:dyDescent="0.25">
      <c r="P63" s="152"/>
      <c r="Q63" t="str">
        <f>IF(S52 &gt; R52, "Double &gt; Pretrained", "Double &lt; Pretrained")</f>
        <v>Double &lt; Pretrained</v>
      </c>
      <c r="R63" s="171" t="str">
        <f>IF(R59 &lt; 0.05, "Significant", "Not Significant")</f>
        <v>Not Significant</v>
      </c>
      <c r="S63" s="171"/>
      <c r="U63" t="str">
        <f>IF(W52 &gt; V52, "Double &gt; Pretrained", "Double &lt; Pretrained")</f>
        <v>Double &gt; Pretrained</v>
      </c>
      <c r="V63" s="171" t="str">
        <f>IF(V59 &lt; 0.05, "Significant", "Not Significant")</f>
        <v>Not Significant</v>
      </c>
      <c r="W63" s="171"/>
      <c r="Y63" t="str">
        <f>IF(AA52 &gt; Z52, "Double &gt; Pretrained", "Double &lt; Pretrained")</f>
        <v>Double &lt; Pretrained</v>
      </c>
      <c r="Z63" s="171" t="str">
        <f>IF(Z59 &lt; 0.05, "Significant", "Not Significant")</f>
        <v>Not Significant</v>
      </c>
      <c r="AA63" s="172"/>
      <c r="AC63" t="str">
        <f>IF(AE52 &gt; AD52, "Double &gt; Fresh", "Double &lt; Fresh")</f>
        <v>Double &gt; Fresh</v>
      </c>
      <c r="AD63" s="171" t="str">
        <f>IF(AD59 &lt; 0.05, "Significant", "Not Significant")</f>
        <v>Not Significant</v>
      </c>
      <c r="AE63" s="172"/>
    </row>
    <row r="64" spans="16:31" x14ac:dyDescent="0.25">
      <c r="P64" s="152"/>
      <c r="Q64">
        <f>R59</f>
        <v>0.14468463373738355</v>
      </c>
      <c r="U64">
        <f>V59</f>
        <v>0.44016773289365618</v>
      </c>
      <c r="Y64">
        <f>Z59</f>
        <v>0.23139020220511797</v>
      </c>
      <c r="AA64" s="3"/>
      <c r="AC64">
        <f>AD59</f>
        <v>5.3472196142261161E-2</v>
      </c>
      <c r="AE64" s="3"/>
    </row>
    <row r="65" spans="16:31" ht="18" thickBot="1" x14ac:dyDescent="0.35">
      <c r="P65" s="152"/>
      <c r="Q65" s="177" t="s">
        <v>70</v>
      </c>
      <c r="R65" s="177"/>
      <c r="S65" s="177"/>
      <c r="T65" s="177"/>
      <c r="U65" s="177"/>
      <c r="V65" s="177"/>
      <c r="W65" s="177"/>
      <c r="X65" s="177"/>
      <c r="Y65" s="177"/>
      <c r="Z65" s="177"/>
      <c r="AA65" s="178"/>
      <c r="AC65" s="170" t="s">
        <v>155</v>
      </c>
      <c r="AD65" s="170"/>
      <c r="AE65" s="170"/>
    </row>
    <row r="66" spans="16:31" ht="16.5" thickTop="1" thickBot="1" x14ac:dyDescent="0.3">
      <c r="P66" s="152"/>
      <c r="Q66" s="173">
        <v>18</v>
      </c>
      <c r="R66" s="173"/>
      <c r="S66" s="173"/>
      <c r="U66" s="173">
        <v>34</v>
      </c>
      <c r="V66" s="173"/>
      <c r="W66" s="173"/>
      <c r="Y66" s="173">
        <v>50</v>
      </c>
      <c r="Z66" s="173"/>
      <c r="AA66" s="174"/>
    </row>
    <row r="67" spans="16:31" x14ac:dyDescent="0.25">
      <c r="P67" s="152"/>
      <c r="Q67" s="17"/>
      <c r="R67" s="17" t="s">
        <v>71</v>
      </c>
      <c r="S67" s="17" t="s">
        <v>149</v>
      </c>
      <c r="U67" s="17"/>
      <c r="V67" s="17" t="s">
        <v>71</v>
      </c>
      <c r="W67" s="17" t="s">
        <v>149</v>
      </c>
      <c r="Y67" s="17"/>
      <c r="Z67" s="17" t="s">
        <v>71</v>
      </c>
      <c r="AA67" s="102" t="s">
        <v>149</v>
      </c>
      <c r="AC67" s="17"/>
      <c r="AD67" s="17" t="s">
        <v>19</v>
      </c>
      <c r="AE67" s="17" t="s">
        <v>149</v>
      </c>
    </row>
    <row r="68" spans="16:31" x14ac:dyDescent="0.25">
      <c r="P68" s="152"/>
      <c r="Q68" t="s">
        <v>75</v>
      </c>
      <c r="R68">
        <v>0.41395059973001452</v>
      </c>
      <c r="S68">
        <v>0.42754573374986649</v>
      </c>
      <c r="U68" t="s">
        <v>75</v>
      </c>
      <c r="V68">
        <v>0.3867298364639275</v>
      </c>
      <c r="W68">
        <v>0.39833161979913712</v>
      </c>
      <c r="Y68" t="s">
        <v>75</v>
      </c>
      <c r="Z68">
        <v>0.43440435826778373</v>
      </c>
      <c r="AA68" s="3">
        <v>0.38284986466169357</v>
      </c>
      <c r="AC68" t="s">
        <v>75</v>
      </c>
      <c r="AD68">
        <v>0.38284986466169357</v>
      </c>
      <c r="AE68">
        <v>0.41291667520999908</v>
      </c>
    </row>
    <row r="69" spans="16:31" x14ac:dyDescent="0.25">
      <c r="P69" s="152"/>
      <c r="Q69" t="s">
        <v>76</v>
      </c>
      <c r="R69">
        <v>6.2209241450460098E-4</v>
      </c>
      <c r="S69">
        <v>4.4053249077398898E-4</v>
      </c>
      <c r="U69" t="s">
        <v>76</v>
      </c>
      <c r="V69">
        <v>6.9653083721968486E-4</v>
      </c>
      <c r="W69">
        <v>1.9626733768266145E-3</v>
      </c>
      <c r="Y69" t="s">
        <v>76</v>
      </c>
      <c r="Z69">
        <v>3.3497088794082566E-3</v>
      </c>
      <c r="AA69" s="3">
        <v>3.4374064288883086E-3</v>
      </c>
      <c r="AC69" t="s">
        <v>76</v>
      </c>
      <c r="AD69">
        <v>3.4374064288883086E-3</v>
      </c>
      <c r="AE69">
        <v>1.0996533187472106E-4</v>
      </c>
    </row>
    <row r="70" spans="16:31" x14ac:dyDescent="0.25">
      <c r="P70" s="152"/>
      <c r="Q70" t="s">
        <v>77</v>
      </c>
      <c r="R70">
        <v>4</v>
      </c>
      <c r="S70">
        <v>4</v>
      </c>
      <c r="U70" t="s">
        <v>77</v>
      </c>
      <c r="V70">
        <v>4</v>
      </c>
      <c r="W70">
        <v>4</v>
      </c>
      <c r="Y70" t="s">
        <v>77</v>
      </c>
      <c r="Z70">
        <v>4</v>
      </c>
      <c r="AA70" s="3">
        <v>4</v>
      </c>
      <c r="AC70" t="s">
        <v>77</v>
      </c>
      <c r="AD70">
        <v>4</v>
      </c>
      <c r="AE70">
        <v>4</v>
      </c>
    </row>
    <row r="71" spans="16:31" x14ac:dyDescent="0.25">
      <c r="P71" s="152"/>
      <c r="Q71" t="s">
        <v>78</v>
      </c>
      <c r="R71">
        <v>0.29584443200591043</v>
      </c>
      <c r="U71" t="s">
        <v>78</v>
      </c>
      <c r="V71">
        <v>0.74757083081260545</v>
      </c>
      <c r="Y71" t="s">
        <v>78</v>
      </c>
      <c r="Z71">
        <v>0.48044170593843749</v>
      </c>
      <c r="AA71" s="3"/>
      <c r="AC71" t="s">
        <v>78</v>
      </c>
      <c r="AD71">
        <v>0.56225573835816955</v>
      </c>
    </row>
    <row r="72" spans="16:31" x14ac:dyDescent="0.25">
      <c r="P72" s="152"/>
      <c r="Q72" t="s">
        <v>79</v>
      </c>
      <c r="R72">
        <v>0</v>
      </c>
      <c r="U72" t="s">
        <v>79</v>
      </c>
      <c r="V72">
        <v>0</v>
      </c>
      <c r="Y72" t="s">
        <v>79</v>
      </c>
      <c r="Z72">
        <v>0</v>
      </c>
      <c r="AA72" s="3"/>
      <c r="AC72" t="s">
        <v>79</v>
      </c>
      <c r="AD72">
        <v>0</v>
      </c>
    </row>
    <row r="73" spans="16:31" x14ac:dyDescent="0.25">
      <c r="P73" s="152"/>
      <c r="Q73" t="s">
        <v>80</v>
      </c>
      <c r="R73">
        <v>3</v>
      </c>
      <c r="U73" t="s">
        <v>80</v>
      </c>
      <c r="V73">
        <v>3</v>
      </c>
      <c r="Y73" t="s">
        <v>80</v>
      </c>
      <c r="Z73">
        <v>3</v>
      </c>
      <c r="AA73" s="3"/>
      <c r="AC73" t="s">
        <v>80</v>
      </c>
      <c r="AD73">
        <v>3</v>
      </c>
    </row>
    <row r="74" spans="16:31" x14ac:dyDescent="0.25">
      <c r="P74" s="152"/>
      <c r="Q74" t="s">
        <v>81</v>
      </c>
      <c r="R74">
        <v>-0.99095006550592701</v>
      </c>
      <c r="U74" t="s">
        <v>81</v>
      </c>
      <c r="V74">
        <v>-0.76874191639242295</v>
      </c>
      <c r="Y74" t="s">
        <v>81</v>
      </c>
      <c r="Z74">
        <v>1.7362809636500094</v>
      </c>
      <c r="AA74" s="3"/>
      <c r="AC74" t="s">
        <v>81</v>
      </c>
      <c r="AD74">
        <v>-1.125220722605726</v>
      </c>
    </row>
    <row r="75" spans="16:31" x14ac:dyDescent="0.25">
      <c r="P75" s="152"/>
      <c r="Q75" t="s">
        <v>82</v>
      </c>
      <c r="R75">
        <v>0.19738064753657755</v>
      </c>
      <c r="U75" t="s">
        <v>82</v>
      </c>
      <c r="V75">
        <v>0.24901083367172136</v>
      </c>
      <c r="Y75" t="s">
        <v>82</v>
      </c>
      <c r="Z75">
        <v>9.0457303468454611E-2</v>
      </c>
      <c r="AA75" s="3"/>
      <c r="AC75" t="s">
        <v>82</v>
      </c>
      <c r="AD75">
        <v>0.1711961674161894</v>
      </c>
    </row>
    <row r="76" spans="16:31" x14ac:dyDescent="0.25">
      <c r="P76" s="152"/>
      <c r="Q76" t="s">
        <v>83</v>
      </c>
      <c r="R76">
        <v>2.3533634348018233</v>
      </c>
      <c r="U76" t="s">
        <v>83</v>
      </c>
      <c r="V76">
        <v>2.3533634348018233</v>
      </c>
      <c r="Y76" t="s">
        <v>83</v>
      </c>
      <c r="Z76">
        <v>2.3533634348018233</v>
      </c>
      <c r="AA76" s="3"/>
      <c r="AC76" t="s">
        <v>83</v>
      </c>
      <c r="AD76">
        <v>2.3533634348018233</v>
      </c>
    </row>
    <row r="77" spans="16:31" x14ac:dyDescent="0.25">
      <c r="P77" s="152"/>
      <c r="Q77" t="s">
        <v>84</v>
      </c>
      <c r="R77">
        <v>0.39476129507315511</v>
      </c>
      <c r="U77" t="s">
        <v>84</v>
      </c>
      <c r="V77">
        <v>0.49802166734344272</v>
      </c>
      <c r="Y77" t="s">
        <v>84</v>
      </c>
      <c r="Z77">
        <v>0.18091460693690922</v>
      </c>
      <c r="AA77" s="3"/>
      <c r="AC77" t="s">
        <v>84</v>
      </c>
      <c r="AD77">
        <v>0.3423923348323788</v>
      </c>
    </row>
    <row r="78" spans="16:31" ht="15.75" thickBot="1" x14ac:dyDescent="0.3">
      <c r="P78" s="152"/>
      <c r="Q78" s="16" t="s">
        <v>85</v>
      </c>
      <c r="R78" s="16">
        <v>3.1824463052837091</v>
      </c>
      <c r="S78" s="16"/>
      <c r="U78" s="16" t="s">
        <v>85</v>
      </c>
      <c r="V78" s="16">
        <v>3.1824463052837091</v>
      </c>
      <c r="W78" s="16"/>
      <c r="Y78" s="16" t="s">
        <v>85</v>
      </c>
      <c r="Z78" s="16">
        <v>3.1824463052837091</v>
      </c>
      <c r="AA78" s="68"/>
      <c r="AC78" s="16" t="s">
        <v>85</v>
      </c>
      <c r="AD78" s="16">
        <v>3.1824463052837091</v>
      </c>
      <c r="AE78" s="16"/>
    </row>
    <row r="79" spans="16:31" x14ac:dyDescent="0.25">
      <c r="P79" s="152"/>
      <c r="Q79" t="str">
        <f>IF(S68 &gt; R68, "Double &gt; Pretrained", "Double &lt; Pretrained")</f>
        <v>Double &gt; Pretrained</v>
      </c>
      <c r="R79" s="171" t="str">
        <f>IF(R75 &lt; 0.05, "Significant", "Not Significant")</f>
        <v>Not Significant</v>
      </c>
      <c r="S79" s="171"/>
      <c r="U79" t="str">
        <f>IF(W68 &gt; V68, "Double &gt; Pretrained", "Double &lt; Pretrained")</f>
        <v>Double &gt; Pretrained</v>
      </c>
      <c r="V79" s="171" t="str">
        <f>IF(V75 &lt; 0.05, "Significant", "Not Significant")</f>
        <v>Not Significant</v>
      </c>
      <c r="W79" s="171"/>
      <c r="Y79" t="str">
        <f>IF(AA68 &gt; Z68, "Double &gt; Pretrained", "Double &lt; Pretrained")</f>
        <v>Double &lt; Pretrained</v>
      </c>
      <c r="Z79" s="171" t="str">
        <f>IF(Z75 &lt; 0.05, "Significant", "Not Significant")</f>
        <v>Not Significant</v>
      </c>
      <c r="AA79" s="172"/>
      <c r="AC79" t="str">
        <f>IF(AE68 &gt; AD68, "Double &gt; Fresh", "Double &lt; Fresh")</f>
        <v>Double &gt; Fresh</v>
      </c>
      <c r="AD79" s="171" t="str">
        <f>IF(AD75 &lt; 0.05, "Significant", "Not Significant")</f>
        <v>Not Significant</v>
      </c>
      <c r="AE79" s="172"/>
    </row>
    <row r="80" spans="16:31" x14ac:dyDescent="0.25">
      <c r="P80" s="152"/>
      <c r="Q80" s="7">
        <f>R75</f>
        <v>0.19738064753657755</v>
      </c>
      <c r="R80" s="7"/>
      <c r="S80" s="7"/>
      <c r="T80" s="7"/>
      <c r="U80" s="7">
        <f>V75</f>
        <v>0.24901083367172136</v>
      </c>
      <c r="V80" s="7"/>
      <c r="W80" s="7"/>
      <c r="X80" s="7"/>
      <c r="Y80" s="7">
        <f>Z75</f>
        <v>9.0457303468454611E-2</v>
      </c>
      <c r="Z80" s="7"/>
      <c r="AA80" s="8"/>
      <c r="AC80">
        <f>AD75</f>
        <v>0.1711961674161894</v>
      </c>
      <c r="AE80" s="3"/>
    </row>
    <row r="81" spans="16:31" ht="18" thickBot="1" x14ac:dyDescent="0.35">
      <c r="P81" s="152"/>
      <c r="Q81" s="177" t="s">
        <v>4</v>
      </c>
      <c r="R81" s="177"/>
      <c r="S81" s="177"/>
      <c r="T81" s="177"/>
      <c r="U81" s="177"/>
      <c r="V81" s="177"/>
      <c r="W81" s="177"/>
      <c r="X81" s="177"/>
      <c r="Y81" s="177"/>
      <c r="Z81" s="177"/>
      <c r="AA81" s="178"/>
      <c r="AC81" s="170" t="s">
        <v>154</v>
      </c>
      <c r="AD81" s="170"/>
      <c r="AE81" s="170"/>
    </row>
    <row r="82" spans="16:31" ht="16.5" thickTop="1" thickBot="1" x14ac:dyDescent="0.3">
      <c r="P82" s="152"/>
      <c r="Q82" s="173">
        <v>18</v>
      </c>
      <c r="R82" s="173"/>
      <c r="S82" s="173"/>
      <c r="U82" s="173">
        <v>34</v>
      </c>
      <c r="V82" s="173"/>
      <c r="W82" s="173"/>
      <c r="Y82" s="173">
        <v>50</v>
      </c>
      <c r="Z82" s="173"/>
      <c r="AA82" s="174"/>
    </row>
    <row r="83" spans="16:31" x14ac:dyDescent="0.25">
      <c r="P83" s="152"/>
      <c r="Q83" s="17"/>
      <c r="R83" s="17" t="s">
        <v>71</v>
      </c>
      <c r="S83" s="17" t="s">
        <v>149</v>
      </c>
      <c r="U83" s="17"/>
      <c r="V83" s="17" t="s">
        <v>71</v>
      </c>
      <c r="W83" s="17" t="s">
        <v>149</v>
      </c>
      <c r="Y83" s="17"/>
      <c r="Z83" s="17" t="s">
        <v>71</v>
      </c>
      <c r="AA83" s="102" t="s">
        <v>149</v>
      </c>
      <c r="AC83" s="17"/>
      <c r="AD83" s="17" t="s">
        <v>19</v>
      </c>
      <c r="AE83" s="17" t="s">
        <v>149</v>
      </c>
    </row>
    <row r="84" spans="16:31" x14ac:dyDescent="0.25">
      <c r="P84" s="152"/>
      <c r="Q84" t="s">
        <v>75</v>
      </c>
      <c r="R84">
        <v>0.41065714508295026</v>
      </c>
      <c r="S84">
        <v>0.41431622952222824</v>
      </c>
      <c r="U84" t="s">
        <v>75</v>
      </c>
      <c r="V84">
        <v>0.4132326170802112</v>
      </c>
      <c r="W84">
        <v>0.41369487345218658</v>
      </c>
      <c r="Y84" t="s">
        <v>75</v>
      </c>
      <c r="Z84">
        <v>0.44309537112712805</v>
      </c>
      <c r="AA84" s="3">
        <v>0.41291667520999908</v>
      </c>
      <c r="AC84" t="s">
        <v>75</v>
      </c>
      <c r="AD84">
        <v>0.34974159300327251</v>
      </c>
      <c r="AE84">
        <v>0.41291667520999908</v>
      </c>
    </row>
    <row r="85" spans="16:31" x14ac:dyDescent="0.25">
      <c r="P85" s="152"/>
      <c r="Q85" t="s">
        <v>76</v>
      </c>
      <c r="R85">
        <v>4.8743442505051358E-4</v>
      </c>
      <c r="S85">
        <v>6.1050380253946379E-4</v>
      </c>
      <c r="U85" t="s">
        <v>76</v>
      </c>
      <c r="V85">
        <v>4.2522932435824501E-3</v>
      </c>
      <c r="W85">
        <v>4.653588980133942E-4</v>
      </c>
      <c r="Y85" t="s">
        <v>76</v>
      </c>
      <c r="Z85">
        <v>6.4710287290174653E-4</v>
      </c>
      <c r="AA85" s="3">
        <v>1.0996533187472106E-4</v>
      </c>
      <c r="AC85" t="s">
        <v>76</v>
      </c>
      <c r="AD85">
        <v>1.6578729863096868E-3</v>
      </c>
      <c r="AE85">
        <v>1.0996533187472106E-4</v>
      </c>
    </row>
    <row r="86" spans="16:31" x14ac:dyDescent="0.25">
      <c r="P86" s="152"/>
      <c r="Q86" t="s">
        <v>77</v>
      </c>
      <c r="R86">
        <v>4</v>
      </c>
      <c r="S86">
        <v>4</v>
      </c>
      <c r="U86" t="s">
        <v>77</v>
      </c>
      <c r="V86">
        <v>4</v>
      </c>
      <c r="W86">
        <v>4</v>
      </c>
      <c r="Y86" t="s">
        <v>77</v>
      </c>
      <c r="Z86">
        <v>4</v>
      </c>
      <c r="AA86" s="3">
        <v>4</v>
      </c>
      <c r="AC86" t="s">
        <v>77</v>
      </c>
      <c r="AD86">
        <v>4</v>
      </c>
      <c r="AE86">
        <v>4</v>
      </c>
    </row>
    <row r="87" spans="16:31" x14ac:dyDescent="0.25">
      <c r="P87" s="152"/>
      <c r="Q87" t="s">
        <v>78</v>
      </c>
      <c r="R87">
        <v>-0.56945968926670432</v>
      </c>
      <c r="U87" t="s">
        <v>78</v>
      </c>
      <c r="V87">
        <v>-0.95407837508380344</v>
      </c>
      <c r="Y87" t="s">
        <v>78</v>
      </c>
      <c r="Z87">
        <v>0.31367967524731727</v>
      </c>
      <c r="AA87" s="3"/>
      <c r="AC87" t="s">
        <v>78</v>
      </c>
      <c r="AD87">
        <v>-0.44614265367321787</v>
      </c>
    </row>
    <row r="88" spans="16:31" x14ac:dyDescent="0.25">
      <c r="P88" s="152"/>
      <c r="Q88" t="s">
        <v>79</v>
      </c>
      <c r="R88">
        <v>0</v>
      </c>
      <c r="U88" t="s">
        <v>79</v>
      </c>
      <c r="V88">
        <v>0</v>
      </c>
      <c r="Y88" t="s">
        <v>79</v>
      </c>
      <c r="Z88">
        <v>0</v>
      </c>
      <c r="AA88" s="3"/>
      <c r="AC88" t="s">
        <v>79</v>
      </c>
      <c r="AD88">
        <v>0</v>
      </c>
    </row>
    <row r="89" spans="16:31" x14ac:dyDescent="0.25">
      <c r="P89" s="152"/>
      <c r="Q89" t="s">
        <v>80</v>
      </c>
      <c r="R89">
        <v>3</v>
      </c>
      <c r="U89" t="s">
        <v>80</v>
      </c>
      <c r="V89">
        <v>3</v>
      </c>
      <c r="Y89" t="s">
        <v>80</v>
      </c>
      <c r="Z89">
        <v>3</v>
      </c>
      <c r="AA89" s="3"/>
      <c r="AC89" t="s">
        <v>80</v>
      </c>
      <c r="AD89">
        <v>3</v>
      </c>
    </row>
    <row r="90" spans="16:31" x14ac:dyDescent="0.25">
      <c r="P90" s="152"/>
      <c r="Q90" t="s">
        <v>81</v>
      </c>
      <c r="R90">
        <v>-0.17649625605086008</v>
      </c>
      <c r="U90" t="s">
        <v>81</v>
      </c>
      <c r="V90">
        <v>-1.0745876147498131E-2</v>
      </c>
      <c r="Y90" t="s">
        <v>81</v>
      </c>
      <c r="Z90">
        <v>2.4854723586822423</v>
      </c>
      <c r="AA90" s="3"/>
      <c r="AC90" t="s">
        <v>81</v>
      </c>
      <c r="AD90">
        <v>-2.7256840428771354</v>
      </c>
    </row>
    <row r="91" spans="16:31" x14ac:dyDescent="0.25">
      <c r="P91" s="152"/>
      <c r="Q91" t="s">
        <v>82</v>
      </c>
      <c r="R91">
        <v>0.43557325655643681</v>
      </c>
      <c r="U91" t="s">
        <v>82</v>
      </c>
      <c r="V91">
        <v>0.49605042666403132</v>
      </c>
      <c r="Y91" t="s">
        <v>82</v>
      </c>
      <c r="Z91">
        <v>4.441942050840509E-2</v>
      </c>
      <c r="AA91" s="3"/>
      <c r="AC91" t="s">
        <v>82</v>
      </c>
      <c r="AD91">
        <v>3.6101316729102599E-2</v>
      </c>
    </row>
    <row r="92" spans="16:31" x14ac:dyDescent="0.25">
      <c r="P92" s="152"/>
      <c r="Q92" t="s">
        <v>83</v>
      </c>
      <c r="R92">
        <v>2.3533634348018233</v>
      </c>
      <c r="U92" t="s">
        <v>83</v>
      </c>
      <c r="V92">
        <v>2.3533634348018233</v>
      </c>
      <c r="Y92" t="s">
        <v>83</v>
      </c>
      <c r="Z92">
        <v>2.3533634348018233</v>
      </c>
      <c r="AA92" s="3"/>
      <c r="AC92" t="s">
        <v>83</v>
      </c>
      <c r="AD92">
        <v>2.3533634348018233</v>
      </c>
    </row>
    <row r="93" spans="16:31" x14ac:dyDescent="0.25">
      <c r="P93" s="152"/>
      <c r="Q93" t="s">
        <v>84</v>
      </c>
      <c r="R93">
        <v>0.87114651311287361</v>
      </c>
      <c r="U93" t="s">
        <v>84</v>
      </c>
      <c r="V93">
        <v>0.99210085332806264</v>
      </c>
      <c r="Y93" t="s">
        <v>84</v>
      </c>
      <c r="Z93">
        <v>8.883884101681018E-2</v>
      </c>
      <c r="AA93" s="3"/>
      <c r="AC93" t="s">
        <v>84</v>
      </c>
      <c r="AD93">
        <v>7.2202633458205198E-2</v>
      </c>
    </row>
    <row r="94" spans="16:31" ht="15.75" thickBot="1" x14ac:dyDescent="0.3">
      <c r="P94" s="152"/>
      <c r="Q94" s="16" t="s">
        <v>85</v>
      </c>
      <c r="R94" s="16">
        <v>3.1824463052837091</v>
      </c>
      <c r="S94" s="16"/>
      <c r="U94" s="16" t="s">
        <v>85</v>
      </c>
      <c r="V94" s="16">
        <v>3.1824463052837091</v>
      </c>
      <c r="W94" s="16"/>
      <c r="Y94" s="16" t="s">
        <v>85</v>
      </c>
      <c r="Z94" s="16">
        <v>3.1824463052837091</v>
      </c>
      <c r="AA94" s="68"/>
      <c r="AC94" s="16" t="s">
        <v>85</v>
      </c>
      <c r="AD94" s="16">
        <v>3.1824463052837091</v>
      </c>
      <c r="AE94" s="16"/>
    </row>
    <row r="95" spans="16:31" x14ac:dyDescent="0.25">
      <c r="P95" s="152"/>
      <c r="Q95" t="str">
        <f>IF(S84 &gt; R84, "Double &gt; Pretrained", "Double &lt; Pretrained")</f>
        <v>Double &gt; Pretrained</v>
      </c>
      <c r="R95" s="171" t="str">
        <f>IF(R91 &lt; 0.05, "Significant", "Not Significant")</f>
        <v>Not Significant</v>
      </c>
      <c r="S95" s="171"/>
      <c r="U95" t="str">
        <f>IF(W84 &gt; V84, "Double &gt; Pretrained", "Double &lt; Pretrained")</f>
        <v>Double &gt; Pretrained</v>
      </c>
      <c r="V95" s="171" t="str">
        <f>IF(V91 &lt; 0.05, "Significant", "Not Significant")</f>
        <v>Not Significant</v>
      </c>
      <c r="W95" s="171"/>
      <c r="Y95" t="str">
        <f>IF(AA84 &gt; Z84, "Double &gt; Pretrained", "Double &lt; Pretrained")</f>
        <v>Double &lt; Pretrained</v>
      </c>
      <c r="Z95" s="171" t="str">
        <f>IF(Z91 &lt; 0.05, "Significant", "Not Significant")</f>
        <v>Significant</v>
      </c>
      <c r="AA95" s="172"/>
      <c r="AC95" t="str">
        <f>IF(AE84 &gt; AD84, "Double &gt; Fresh", "Double &lt; Fresh")</f>
        <v>Double &gt; Fresh</v>
      </c>
      <c r="AD95" s="171" t="str">
        <f>IF(AD91 &lt; 0.05, "Significant", "Not Significant")</f>
        <v>Significant</v>
      </c>
      <c r="AE95" s="172"/>
    </row>
    <row r="96" spans="16:31" x14ac:dyDescent="0.25">
      <c r="P96" s="153"/>
      <c r="Q96" s="7">
        <f>R91</f>
        <v>0.43557325655643681</v>
      </c>
      <c r="R96" s="7"/>
      <c r="S96" s="7"/>
      <c r="T96" s="7"/>
      <c r="U96" s="7">
        <f>V91</f>
        <v>0.49605042666403132</v>
      </c>
      <c r="V96" s="7"/>
      <c r="W96" s="7"/>
      <c r="X96" s="7"/>
      <c r="Y96" s="7">
        <f>Z91</f>
        <v>4.441942050840509E-2</v>
      </c>
      <c r="Z96" s="7"/>
      <c r="AA96" s="8"/>
      <c r="AC96">
        <f>AD91</f>
        <v>3.6101316729102599E-2</v>
      </c>
      <c r="AE96" s="3"/>
    </row>
    <row r="97" spans="16:27" ht="18" thickBot="1" x14ac:dyDescent="0.35">
      <c r="P97" s="151" t="s">
        <v>27</v>
      </c>
      <c r="Q97" s="175" t="s">
        <v>5</v>
      </c>
      <c r="R97" s="175"/>
      <c r="S97" s="175"/>
      <c r="T97" s="9"/>
      <c r="U97" s="175" t="s">
        <v>70</v>
      </c>
      <c r="V97" s="175"/>
      <c r="W97" s="175"/>
      <c r="X97" s="9"/>
      <c r="Y97" s="175" t="s">
        <v>4</v>
      </c>
      <c r="Z97" s="175"/>
      <c r="AA97" s="176"/>
    </row>
    <row r="98" spans="16:27" ht="16.5" thickTop="1" thickBot="1" x14ac:dyDescent="0.3">
      <c r="P98" s="152"/>
      <c r="AA98" s="3"/>
    </row>
    <row r="99" spans="16:27" x14ac:dyDescent="0.25">
      <c r="P99" s="152"/>
      <c r="Q99" s="17"/>
      <c r="R99" s="17" t="s">
        <v>71</v>
      </c>
      <c r="S99" s="17" t="s">
        <v>149</v>
      </c>
      <c r="U99" s="17"/>
      <c r="V99" s="17" t="s">
        <v>71</v>
      </c>
      <c r="W99" s="17" t="s">
        <v>149</v>
      </c>
      <c r="Y99" s="17"/>
      <c r="Z99" s="17" t="s">
        <v>71</v>
      </c>
      <c r="AA99" s="17" t="s">
        <v>149</v>
      </c>
    </row>
    <row r="100" spans="16:27" x14ac:dyDescent="0.25">
      <c r="P100" s="152"/>
      <c r="Q100" t="s">
        <v>75</v>
      </c>
      <c r="R100">
        <v>0.80775448679923945</v>
      </c>
      <c r="S100">
        <v>0.7869507223367691</v>
      </c>
      <c r="U100" t="s">
        <v>75</v>
      </c>
      <c r="V100">
        <v>0.28804376348853078</v>
      </c>
      <c r="W100">
        <v>0.25296774134039879</v>
      </c>
      <c r="Y100" t="s">
        <v>75</v>
      </c>
      <c r="Z100">
        <v>0.33848808705806677</v>
      </c>
      <c r="AA100" s="3">
        <v>0.26513617858290672</v>
      </c>
    </row>
    <row r="101" spans="16:27" x14ac:dyDescent="0.25">
      <c r="P101" s="152"/>
      <c r="Q101" t="s">
        <v>76</v>
      </c>
      <c r="R101">
        <v>9.4149711899285573E-4</v>
      </c>
      <c r="S101">
        <v>1.0491086165638208E-3</v>
      </c>
      <c r="U101" t="s">
        <v>76</v>
      </c>
      <c r="V101">
        <v>1.927633722422939E-3</v>
      </c>
      <c r="W101">
        <v>3.0902008806900821E-4</v>
      </c>
      <c r="Y101" t="s">
        <v>76</v>
      </c>
      <c r="Z101">
        <v>5.6673011160160809E-3</v>
      </c>
      <c r="AA101" s="3">
        <v>3.7021741924731879E-3</v>
      </c>
    </row>
    <row r="102" spans="16:27" x14ac:dyDescent="0.25">
      <c r="P102" s="152"/>
      <c r="Q102" t="s">
        <v>77</v>
      </c>
      <c r="R102">
        <v>4</v>
      </c>
      <c r="S102">
        <v>4</v>
      </c>
      <c r="U102" t="s">
        <v>77</v>
      </c>
      <c r="V102">
        <v>4</v>
      </c>
      <c r="W102">
        <v>4</v>
      </c>
      <c r="Y102" t="s">
        <v>77</v>
      </c>
      <c r="Z102">
        <v>4</v>
      </c>
      <c r="AA102" s="3">
        <v>4</v>
      </c>
    </row>
    <row r="103" spans="16:27" x14ac:dyDescent="0.25">
      <c r="P103" s="152"/>
      <c r="Q103" t="s">
        <v>78</v>
      </c>
      <c r="R103">
        <v>0.69365515102961983</v>
      </c>
      <c r="U103" t="s">
        <v>78</v>
      </c>
      <c r="V103">
        <v>0.27312511477379631</v>
      </c>
      <c r="Y103" t="s">
        <v>78</v>
      </c>
      <c r="Z103">
        <v>0.87364233183359241</v>
      </c>
      <c r="AA103" s="3"/>
    </row>
    <row r="104" spans="16:27" x14ac:dyDescent="0.25">
      <c r="P104" s="152"/>
      <c r="Q104" t="s">
        <v>79</v>
      </c>
      <c r="R104">
        <v>0</v>
      </c>
      <c r="U104" t="s">
        <v>79</v>
      </c>
      <c r="V104">
        <v>0</v>
      </c>
      <c r="Y104" t="s">
        <v>79</v>
      </c>
      <c r="Z104">
        <v>0</v>
      </c>
      <c r="AA104" s="3"/>
    </row>
    <row r="105" spans="16:27" x14ac:dyDescent="0.25">
      <c r="P105" s="152"/>
      <c r="Q105" t="s">
        <v>80</v>
      </c>
      <c r="R105">
        <v>3</v>
      </c>
      <c r="U105" t="s">
        <v>80</v>
      </c>
      <c r="V105">
        <v>3</v>
      </c>
      <c r="Y105" t="s">
        <v>80</v>
      </c>
      <c r="Z105">
        <v>3</v>
      </c>
      <c r="AA105" s="3"/>
    </row>
    <row r="106" spans="16:27" x14ac:dyDescent="0.25">
      <c r="P106" s="152"/>
      <c r="Q106" t="s">
        <v>81</v>
      </c>
      <c r="R106">
        <v>1.6821170250631181</v>
      </c>
      <c r="U106" t="s">
        <v>81</v>
      </c>
      <c r="V106">
        <v>1.6466268358248686</v>
      </c>
      <c r="Y106" t="s">
        <v>81</v>
      </c>
      <c r="Z106">
        <v>3.9693630458568494</v>
      </c>
      <c r="AA106" s="3"/>
    </row>
    <row r="107" spans="16:27" x14ac:dyDescent="0.25">
      <c r="P107" s="152"/>
      <c r="Q107" t="s">
        <v>82</v>
      </c>
      <c r="R107">
        <v>9.5568227456013163E-2</v>
      </c>
      <c r="U107" t="s">
        <v>82</v>
      </c>
      <c r="V107">
        <v>9.9094600431875485E-2</v>
      </c>
      <c r="Y107" t="s">
        <v>82</v>
      </c>
      <c r="Z107">
        <v>1.4288624736050786E-2</v>
      </c>
      <c r="AA107" s="3"/>
    </row>
    <row r="108" spans="16:27" x14ac:dyDescent="0.25">
      <c r="P108" s="152"/>
      <c r="Q108" t="s">
        <v>83</v>
      </c>
      <c r="R108">
        <v>2.3533634348018233</v>
      </c>
      <c r="U108" t="s">
        <v>83</v>
      </c>
      <c r="V108">
        <v>2.3533634348018233</v>
      </c>
      <c r="Y108" t="s">
        <v>83</v>
      </c>
      <c r="Z108">
        <v>2.3533634348018233</v>
      </c>
      <c r="AA108" s="3"/>
    </row>
    <row r="109" spans="16:27" x14ac:dyDescent="0.25">
      <c r="P109" s="152"/>
      <c r="Q109" t="s">
        <v>84</v>
      </c>
      <c r="R109">
        <v>0.19113645491202633</v>
      </c>
      <c r="U109" t="s">
        <v>84</v>
      </c>
      <c r="V109">
        <v>0.19818920086375097</v>
      </c>
      <c r="Y109" t="s">
        <v>84</v>
      </c>
      <c r="Z109">
        <v>2.8577249472101572E-2</v>
      </c>
      <c r="AA109" s="3"/>
    </row>
    <row r="110" spans="16:27" ht="15.75" thickBot="1" x14ac:dyDescent="0.3">
      <c r="P110" s="152"/>
      <c r="Q110" s="16" t="s">
        <v>85</v>
      </c>
      <c r="R110" s="16">
        <v>3.1824463052837091</v>
      </c>
      <c r="S110" s="16"/>
      <c r="U110" s="16" t="s">
        <v>85</v>
      </c>
      <c r="V110" s="16">
        <v>3.1824463052837091</v>
      </c>
      <c r="W110" s="16"/>
      <c r="Y110" s="16" t="s">
        <v>85</v>
      </c>
      <c r="Z110" s="16">
        <v>3.1824463052837091</v>
      </c>
      <c r="AA110" s="68"/>
    </row>
    <row r="111" spans="16:27" x14ac:dyDescent="0.25">
      <c r="P111" s="152"/>
      <c r="Q111" t="str">
        <f>IF(S100 &gt; R100, "Double &gt; Pretrained", "Double &lt; Pretrained")</f>
        <v>Double &lt; Pretrained</v>
      </c>
      <c r="R111" s="171" t="str">
        <f>IF(R107 &lt; 0.05, "Significant", "Not Significant")</f>
        <v>Not Significant</v>
      </c>
      <c r="S111" s="171"/>
      <c r="U111" t="str">
        <f>IF(W100 &gt; V100, "Double &gt; Pretrained", "Double &lt; Pretrained")</f>
        <v>Double &lt; Pretrained</v>
      </c>
      <c r="V111" s="171" t="str">
        <f>IF(V107 &lt; 0.05, "Significant", "Not Significant")</f>
        <v>Not Significant</v>
      </c>
      <c r="W111" s="171"/>
      <c r="Y111" t="str">
        <f>IF(AA100 &gt; Z100, "Double &gt; Pretrained", "Double &lt; Pretrained")</f>
        <v>Double &lt; Pretrained</v>
      </c>
      <c r="Z111" s="171" t="str">
        <f>IF(Z107 &lt; 0.05, "Significant", "Not Significant")</f>
        <v>Significant</v>
      </c>
      <c r="AA111" s="172"/>
    </row>
    <row r="112" spans="16:27" x14ac:dyDescent="0.25">
      <c r="P112" s="153"/>
      <c r="Q112" s="7">
        <f>R107</f>
        <v>9.5568227456013163E-2</v>
      </c>
      <c r="R112" s="7"/>
      <c r="S112" s="7"/>
      <c r="T112" s="7"/>
      <c r="U112" s="7">
        <f>V107</f>
        <v>9.9094600431875485E-2</v>
      </c>
      <c r="V112" s="7"/>
      <c r="W112" s="7"/>
      <c r="X112" s="7"/>
      <c r="Y112" s="7">
        <f>Z107</f>
        <v>1.4288624736050786E-2</v>
      </c>
      <c r="Z112" s="7"/>
      <c r="AA112" s="8"/>
    </row>
  </sheetData>
  <mergeCells count="90">
    <mergeCell ref="R111:S111"/>
    <mergeCell ref="V111:W111"/>
    <mergeCell ref="P97:P112"/>
    <mergeCell ref="Q97:S97"/>
    <mergeCell ref="U97:W97"/>
    <mergeCell ref="B4:B15"/>
    <mergeCell ref="A1:A3"/>
    <mergeCell ref="B1:C1"/>
    <mergeCell ref="B2:B3"/>
    <mergeCell ref="C2:C3"/>
    <mergeCell ref="C4:C7"/>
    <mergeCell ref="C8:C11"/>
    <mergeCell ref="C12:C15"/>
    <mergeCell ref="A28:A31"/>
    <mergeCell ref="B28:C31"/>
    <mergeCell ref="E1:G1"/>
    <mergeCell ref="H1:J1"/>
    <mergeCell ref="K1:M1"/>
    <mergeCell ref="H2:H3"/>
    <mergeCell ref="I2:I3"/>
    <mergeCell ref="J2:J3"/>
    <mergeCell ref="K2:K3"/>
    <mergeCell ref="L2:L3"/>
    <mergeCell ref="M2:M3"/>
    <mergeCell ref="E2:E3"/>
    <mergeCell ref="F2:F3"/>
    <mergeCell ref="G2:G3"/>
    <mergeCell ref="D1:D3"/>
    <mergeCell ref="A4:A15"/>
    <mergeCell ref="A16:A27"/>
    <mergeCell ref="B16:B27"/>
    <mergeCell ref="C16:C19"/>
    <mergeCell ref="C20:C23"/>
    <mergeCell ref="C24:C27"/>
    <mergeCell ref="P1:P48"/>
    <mergeCell ref="Q81:AA81"/>
    <mergeCell ref="Q1:AA1"/>
    <mergeCell ref="Q17:AA17"/>
    <mergeCell ref="R15:S15"/>
    <mergeCell ref="V15:W15"/>
    <mergeCell ref="Z15:AA15"/>
    <mergeCell ref="Q65:AA65"/>
    <mergeCell ref="Q33:AA33"/>
    <mergeCell ref="R47:S47"/>
    <mergeCell ref="V47:W47"/>
    <mergeCell ref="Z47:AA47"/>
    <mergeCell ref="Z111:AA111"/>
    <mergeCell ref="Y97:AA97"/>
    <mergeCell ref="AC1:AE1"/>
    <mergeCell ref="AC17:AE17"/>
    <mergeCell ref="R31:S31"/>
    <mergeCell ref="V31:W31"/>
    <mergeCell ref="Z31:AA31"/>
    <mergeCell ref="AD15:AE15"/>
    <mergeCell ref="AD31:AE31"/>
    <mergeCell ref="R63:S63"/>
    <mergeCell ref="V63:W63"/>
    <mergeCell ref="Z63:AA63"/>
    <mergeCell ref="R79:S79"/>
    <mergeCell ref="V79:W79"/>
    <mergeCell ref="Z79:AA79"/>
    <mergeCell ref="Q49:AA49"/>
    <mergeCell ref="Q66:S66"/>
    <mergeCell ref="U66:W66"/>
    <mergeCell ref="Y66:AA66"/>
    <mergeCell ref="R95:S95"/>
    <mergeCell ref="V95:W95"/>
    <mergeCell ref="Z95:AA95"/>
    <mergeCell ref="Q82:S82"/>
    <mergeCell ref="U82:W82"/>
    <mergeCell ref="Y82:AA82"/>
    <mergeCell ref="P49:P96"/>
    <mergeCell ref="Q2:S2"/>
    <mergeCell ref="U2:W2"/>
    <mergeCell ref="Y2:AA2"/>
    <mergeCell ref="Q18:S18"/>
    <mergeCell ref="U18:W18"/>
    <mergeCell ref="Y18:AA18"/>
    <mergeCell ref="Q34:S34"/>
    <mergeCell ref="U34:W34"/>
    <mergeCell ref="Y34:AA34"/>
    <mergeCell ref="Q50:S50"/>
    <mergeCell ref="U50:W50"/>
    <mergeCell ref="Y50:AA50"/>
    <mergeCell ref="AC81:AE81"/>
    <mergeCell ref="AD95:AE95"/>
    <mergeCell ref="AC65:AE65"/>
    <mergeCell ref="AD79:AE79"/>
    <mergeCell ref="AC49:AE49"/>
    <mergeCell ref="AD63:AE63"/>
  </mergeCells>
  <conditionalFormatting sqref="Q15">
    <cfRule type="containsText" dxfId="807" priority="105" operator="containsText" text="&lt;">
      <formula>NOT(ISERROR(SEARCH("&lt;",Q15)))</formula>
    </cfRule>
    <cfRule type="containsText" dxfId="806" priority="106" operator="containsText" text="&gt;">
      <formula>NOT(ISERROR(SEARCH("&gt;",Q15)))</formula>
    </cfRule>
  </conditionalFormatting>
  <conditionalFormatting sqref="Q31">
    <cfRule type="containsText" dxfId="805" priority="89" operator="containsText" text="&lt;">
      <formula>NOT(ISERROR(SEARCH("&lt;",Q31)))</formula>
    </cfRule>
    <cfRule type="containsText" dxfId="804" priority="90" operator="containsText" text="&gt;">
      <formula>NOT(ISERROR(SEARCH("&gt;",Q31)))</formula>
    </cfRule>
  </conditionalFormatting>
  <conditionalFormatting sqref="Q47">
    <cfRule type="containsText" dxfId="803" priority="37" operator="containsText" text="&lt;">
      <formula>NOT(ISERROR(SEARCH("&lt;",Q47)))</formula>
    </cfRule>
    <cfRule type="containsText" dxfId="802" priority="38" operator="containsText" text="&gt;">
      <formula>NOT(ISERROR(SEARCH("&gt;",Q47)))</formula>
    </cfRule>
  </conditionalFormatting>
  <conditionalFormatting sqref="Q63">
    <cfRule type="containsText" dxfId="801" priority="77" operator="containsText" text="&lt;">
      <formula>NOT(ISERROR(SEARCH("&lt;",Q63)))</formula>
    </cfRule>
    <cfRule type="containsText" dxfId="800" priority="78" operator="containsText" text="&gt;">
      <formula>NOT(ISERROR(SEARCH("&gt;",Q63)))</formula>
    </cfRule>
  </conditionalFormatting>
  <conditionalFormatting sqref="Q79">
    <cfRule type="containsText" dxfId="799" priority="65" operator="containsText" text="&lt;">
      <formula>NOT(ISERROR(SEARCH("&lt;",Q79)))</formula>
    </cfRule>
    <cfRule type="containsText" dxfId="798" priority="66" operator="containsText" text="&gt;">
      <formula>NOT(ISERROR(SEARCH("&gt;",Q79)))</formula>
    </cfRule>
  </conditionalFormatting>
  <conditionalFormatting sqref="Q95">
    <cfRule type="containsText" dxfId="797" priority="25" operator="containsText" text="&lt;">
      <formula>NOT(ISERROR(SEARCH("&lt;",Q95)))</formula>
    </cfRule>
    <cfRule type="containsText" dxfId="796" priority="26" operator="containsText" text="&gt;">
      <formula>NOT(ISERROR(SEARCH("&gt;",Q95)))</formula>
    </cfRule>
  </conditionalFormatting>
  <conditionalFormatting sqref="Q111">
    <cfRule type="containsText" dxfId="795" priority="45" operator="containsText" text="&lt;">
      <formula>NOT(ISERROR(SEARCH("&lt;",Q111)))</formula>
    </cfRule>
    <cfRule type="containsText" dxfId="794" priority="46" operator="containsText" text="&gt;">
      <formula>NOT(ISERROR(SEARCH("&gt;",Q111)))</formula>
    </cfRule>
  </conditionalFormatting>
  <conditionalFormatting sqref="R15:S15">
    <cfRule type="cellIs" dxfId="793" priority="107" operator="equal">
      <formula>"Significant"</formula>
    </cfRule>
    <cfRule type="containsText" dxfId="792" priority="108" operator="containsText" text="Not">
      <formula>NOT(ISERROR(SEARCH("Not",R15)))</formula>
    </cfRule>
  </conditionalFormatting>
  <conditionalFormatting sqref="R31:S31">
    <cfRule type="cellIs" dxfId="791" priority="91" operator="equal">
      <formula>"Significant"</formula>
    </cfRule>
    <cfRule type="containsText" dxfId="790" priority="92" operator="containsText" text="Not">
      <formula>NOT(ISERROR(SEARCH("Not",R31)))</formula>
    </cfRule>
  </conditionalFormatting>
  <conditionalFormatting sqref="R47:S47">
    <cfRule type="cellIs" dxfId="789" priority="39" operator="equal">
      <formula>"Significant"</formula>
    </cfRule>
    <cfRule type="containsText" dxfId="788" priority="40" operator="containsText" text="Not">
      <formula>NOT(ISERROR(SEARCH("Not",R47)))</formula>
    </cfRule>
  </conditionalFormatting>
  <conditionalFormatting sqref="R63:S63">
    <cfRule type="cellIs" dxfId="787" priority="79" operator="equal">
      <formula>"Significant"</formula>
    </cfRule>
    <cfRule type="containsText" dxfId="786" priority="80" operator="containsText" text="Not">
      <formula>NOT(ISERROR(SEARCH("Not",R63)))</formula>
    </cfRule>
  </conditionalFormatting>
  <conditionalFormatting sqref="R79:S79">
    <cfRule type="cellIs" dxfId="785" priority="67" operator="equal">
      <formula>"Significant"</formula>
    </cfRule>
    <cfRule type="containsText" dxfId="784" priority="68" operator="containsText" text="Not">
      <formula>NOT(ISERROR(SEARCH("Not",R79)))</formula>
    </cfRule>
  </conditionalFormatting>
  <conditionalFormatting sqref="R95:S95">
    <cfRule type="cellIs" dxfId="783" priority="27" operator="equal">
      <formula>"Significant"</formula>
    </cfRule>
    <cfRule type="containsText" dxfId="782" priority="28" operator="containsText" text="Not">
      <formula>NOT(ISERROR(SEARCH("Not",R95)))</formula>
    </cfRule>
  </conditionalFormatting>
  <conditionalFormatting sqref="R111:S111">
    <cfRule type="cellIs" dxfId="781" priority="47" operator="equal">
      <formula>"Significant"</formula>
    </cfRule>
    <cfRule type="containsText" dxfId="780" priority="48" operator="containsText" text="Not">
      <formula>NOT(ISERROR(SEARCH("Not",R111)))</formula>
    </cfRule>
  </conditionalFormatting>
  <conditionalFormatting sqref="U15">
    <cfRule type="containsText" dxfId="779" priority="95" operator="containsText" text="&lt;">
      <formula>NOT(ISERROR(SEARCH("&lt;",U15)))</formula>
    </cfRule>
    <cfRule type="containsText" dxfId="778" priority="96" operator="containsText" text="&gt;">
      <formula>NOT(ISERROR(SEARCH("&gt;",U15)))</formula>
    </cfRule>
  </conditionalFormatting>
  <conditionalFormatting sqref="U31">
    <cfRule type="containsText" dxfId="777" priority="83" operator="containsText" text="&lt;">
      <formula>NOT(ISERROR(SEARCH("&lt;",U31)))</formula>
    </cfRule>
    <cfRule type="containsText" dxfId="776" priority="84" operator="containsText" text="&gt;">
      <formula>NOT(ISERROR(SEARCH("&gt;",U31)))</formula>
    </cfRule>
  </conditionalFormatting>
  <conditionalFormatting sqref="U47">
    <cfRule type="containsText" dxfId="775" priority="31" operator="containsText" text="&lt;">
      <formula>NOT(ISERROR(SEARCH("&lt;",U47)))</formula>
    </cfRule>
    <cfRule type="containsText" dxfId="774" priority="32" operator="containsText" text="&gt;">
      <formula>NOT(ISERROR(SEARCH("&gt;",U47)))</formula>
    </cfRule>
  </conditionalFormatting>
  <conditionalFormatting sqref="U63">
    <cfRule type="containsText" dxfId="773" priority="71" operator="containsText" text="&lt;">
      <formula>NOT(ISERROR(SEARCH("&lt;",U63)))</formula>
    </cfRule>
    <cfRule type="containsText" dxfId="772" priority="72" operator="containsText" text="&gt;">
      <formula>NOT(ISERROR(SEARCH("&gt;",U63)))</formula>
    </cfRule>
  </conditionalFormatting>
  <conditionalFormatting sqref="U79">
    <cfRule type="containsText" dxfId="771" priority="59" operator="containsText" text="&lt;">
      <formula>NOT(ISERROR(SEARCH("&lt;",U79)))</formula>
    </cfRule>
    <cfRule type="containsText" dxfId="770" priority="60" operator="containsText" text="&gt;">
      <formula>NOT(ISERROR(SEARCH("&gt;",U79)))</formula>
    </cfRule>
  </conditionalFormatting>
  <conditionalFormatting sqref="U95">
    <cfRule type="containsText" dxfId="769" priority="19" operator="containsText" text="&lt;">
      <formula>NOT(ISERROR(SEARCH("&lt;",U95)))</formula>
    </cfRule>
    <cfRule type="containsText" dxfId="768" priority="20" operator="containsText" text="&gt;">
      <formula>NOT(ISERROR(SEARCH("&gt;",U95)))</formula>
    </cfRule>
  </conditionalFormatting>
  <conditionalFormatting sqref="U111">
    <cfRule type="containsText" dxfId="767" priority="41" operator="containsText" text="&lt;">
      <formula>NOT(ISERROR(SEARCH("&lt;",U111)))</formula>
    </cfRule>
    <cfRule type="containsText" dxfId="766" priority="42" operator="containsText" text="&gt;">
      <formula>NOT(ISERROR(SEARCH("&gt;",U111)))</formula>
    </cfRule>
  </conditionalFormatting>
  <conditionalFormatting sqref="V15:W15">
    <cfRule type="cellIs" dxfId="765" priority="103" operator="equal">
      <formula>"Significant"</formula>
    </cfRule>
    <cfRule type="containsText" dxfId="764" priority="104" operator="containsText" text="Not">
      <formula>NOT(ISERROR(SEARCH("Not",V15)))</formula>
    </cfRule>
  </conditionalFormatting>
  <conditionalFormatting sqref="V31:W31">
    <cfRule type="cellIs" dxfId="763" priority="87" operator="equal">
      <formula>"Significant"</formula>
    </cfRule>
    <cfRule type="containsText" dxfId="762" priority="88" operator="containsText" text="Not">
      <formula>NOT(ISERROR(SEARCH("Not",V31)))</formula>
    </cfRule>
  </conditionalFormatting>
  <conditionalFormatting sqref="V47:W47">
    <cfRule type="cellIs" dxfId="761" priority="35" operator="equal">
      <formula>"Significant"</formula>
    </cfRule>
    <cfRule type="containsText" dxfId="760" priority="36" operator="containsText" text="Not">
      <formula>NOT(ISERROR(SEARCH("Not",V47)))</formula>
    </cfRule>
  </conditionalFormatting>
  <conditionalFormatting sqref="V63:W63">
    <cfRule type="cellIs" dxfId="759" priority="75" operator="equal">
      <formula>"Significant"</formula>
    </cfRule>
    <cfRule type="containsText" dxfId="758" priority="76" operator="containsText" text="Not">
      <formula>NOT(ISERROR(SEARCH("Not",V63)))</formula>
    </cfRule>
  </conditionalFormatting>
  <conditionalFormatting sqref="V79:W79">
    <cfRule type="cellIs" dxfId="757" priority="63" operator="equal">
      <formula>"Significant"</formula>
    </cfRule>
    <cfRule type="containsText" dxfId="756" priority="64" operator="containsText" text="Not">
      <formula>NOT(ISERROR(SEARCH("Not",V79)))</formula>
    </cfRule>
  </conditionalFormatting>
  <conditionalFormatting sqref="V95:W95">
    <cfRule type="cellIs" dxfId="755" priority="23" operator="equal">
      <formula>"Significant"</formula>
    </cfRule>
    <cfRule type="containsText" dxfId="754" priority="24" operator="containsText" text="Not">
      <formula>NOT(ISERROR(SEARCH("Not",V95)))</formula>
    </cfRule>
  </conditionalFormatting>
  <conditionalFormatting sqref="V111:W111">
    <cfRule type="cellIs" dxfId="753" priority="43" operator="equal">
      <formula>"Significant"</formula>
    </cfRule>
    <cfRule type="containsText" dxfId="752" priority="44" operator="containsText" text="Not">
      <formula>NOT(ISERROR(SEARCH("Not",V111)))</formula>
    </cfRule>
  </conditionalFormatting>
  <conditionalFormatting sqref="Y15">
    <cfRule type="containsText" dxfId="751" priority="93" operator="containsText" text="&lt;">
      <formula>NOT(ISERROR(SEARCH("&lt;",Y15)))</formula>
    </cfRule>
    <cfRule type="containsText" dxfId="750" priority="94" operator="containsText" text="&gt;">
      <formula>NOT(ISERROR(SEARCH("&gt;",Y15)))</formula>
    </cfRule>
  </conditionalFormatting>
  <conditionalFormatting sqref="Y31">
    <cfRule type="containsText" dxfId="749" priority="81" operator="containsText" text="&lt;">
      <formula>NOT(ISERROR(SEARCH("&lt;",Y31)))</formula>
    </cfRule>
    <cfRule type="containsText" dxfId="748" priority="82" operator="containsText" text="&gt;">
      <formula>NOT(ISERROR(SEARCH("&gt;",Y31)))</formula>
    </cfRule>
  </conditionalFormatting>
  <conditionalFormatting sqref="Y47">
    <cfRule type="containsText" dxfId="747" priority="29" operator="containsText" text="&lt;">
      <formula>NOT(ISERROR(SEARCH("&lt;",Y47)))</formula>
    </cfRule>
    <cfRule type="containsText" dxfId="746" priority="30" operator="containsText" text="&gt;">
      <formula>NOT(ISERROR(SEARCH("&gt;",Y47)))</formula>
    </cfRule>
  </conditionalFormatting>
  <conditionalFormatting sqref="Y63">
    <cfRule type="containsText" dxfId="745" priority="69" operator="containsText" text="&lt;">
      <formula>NOT(ISERROR(SEARCH("&lt;",Y63)))</formula>
    </cfRule>
    <cfRule type="containsText" dxfId="744" priority="70" operator="containsText" text="&gt;">
      <formula>NOT(ISERROR(SEARCH("&gt;",Y63)))</formula>
    </cfRule>
  </conditionalFormatting>
  <conditionalFormatting sqref="Y79">
    <cfRule type="containsText" dxfId="743" priority="57" operator="containsText" text="&lt;">
      <formula>NOT(ISERROR(SEARCH("&lt;",Y79)))</formula>
    </cfRule>
    <cfRule type="containsText" dxfId="742" priority="58" operator="containsText" text="&gt;">
      <formula>NOT(ISERROR(SEARCH("&gt;",Y79)))</formula>
    </cfRule>
  </conditionalFormatting>
  <conditionalFormatting sqref="Y95">
    <cfRule type="containsText" dxfId="741" priority="17" operator="containsText" text="&lt;">
      <formula>NOT(ISERROR(SEARCH("&lt;",Y95)))</formula>
    </cfRule>
    <cfRule type="containsText" dxfId="740" priority="18" operator="containsText" text="&gt;">
      <formula>NOT(ISERROR(SEARCH("&gt;",Y95)))</formula>
    </cfRule>
  </conditionalFormatting>
  <conditionalFormatting sqref="Y111">
    <cfRule type="containsText" dxfId="739" priority="13" operator="containsText" text="&lt;">
      <formula>NOT(ISERROR(SEARCH("&lt;",Y111)))</formula>
    </cfRule>
    <cfRule type="containsText" dxfId="738" priority="14" operator="containsText" text="&gt;">
      <formula>NOT(ISERROR(SEARCH("&gt;",Y111)))</formula>
    </cfRule>
  </conditionalFormatting>
  <conditionalFormatting sqref="Z15:AA15">
    <cfRule type="cellIs" dxfId="737" priority="99" operator="equal">
      <formula>"Significant"</formula>
    </cfRule>
    <cfRule type="containsText" dxfId="736" priority="100" operator="containsText" text="Not">
      <formula>NOT(ISERROR(SEARCH("Not",Z15)))</formula>
    </cfRule>
  </conditionalFormatting>
  <conditionalFormatting sqref="Z31:AA31">
    <cfRule type="cellIs" dxfId="735" priority="85" operator="equal">
      <formula>"Significant"</formula>
    </cfRule>
    <cfRule type="containsText" dxfId="734" priority="86" operator="containsText" text="Not">
      <formula>NOT(ISERROR(SEARCH("Not",Z31)))</formula>
    </cfRule>
  </conditionalFormatting>
  <conditionalFormatting sqref="Z47:AA47">
    <cfRule type="cellIs" dxfId="733" priority="33" operator="equal">
      <formula>"Significant"</formula>
    </cfRule>
    <cfRule type="containsText" dxfId="732" priority="34" operator="containsText" text="Not">
      <formula>NOT(ISERROR(SEARCH("Not",Z47)))</formula>
    </cfRule>
  </conditionalFormatting>
  <conditionalFormatting sqref="Z63:AA63">
    <cfRule type="cellIs" dxfId="731" priority="73" operator="equal">
      <formula>"Significant"</formula>
    </cfRule>
    <cfRule type="containsText" dxfId="730" priority="74" operator="containsText" text="Not">
      <formula>NOT(ISERROR(SEARCH("Not",Z63)))</formula>
    </cfRule>
  </conditionalFormatting>
  <conditionalFormatting sqref="Z79:AA79">
    <cfRule type="cellIs" dxfId="729" priority="61" operator="equal">
      <formula>"Significant"</formula>
    </cfRule>
    <cfRule type="containsText" dxfId="728" priority="62" operator="containsText" text="Not">
      <formula>NOT(ISERROR(SEARCH("Not",Z79)))</formula>
    </cfRule>
  </conditionalFormatting>
  <conditionalFormatting sqref="Z95:AA95">
    <cfRule type="cellIs" dxfId="727" priority="21" operator="equal">
      <formula>"Significant"</formula>
    </cfRule>
    <cfRule type="containsText" dxfId="726" priority="22" operator="containsText" text="Not">
      <formula>NOT(ISERROR(SEARCH("Not",Z95)))</formula>
    </cfRule>
  </conditionalFormatting>
  <conditionalFormatting sqref="Z111:AA111">
    <cfRule type="cellIs" dxfId="725" priority="15" operator="equal">
      <formula>"Significant"</formula>
    </cfRule>
    <cfRule type="containsText" dxfId="724" priority="16" operator="containsText" text="Not">
      <formula>NOT(ISERROR(SEARCH("Not",Z111)))</formula>
    </cfRule>
  </conditionalFormatting>
  <conditionalFormatting sqref="AC15">
    <cfRule type="containsText" dxfId="723" priority="53" operator="containsText" text="&lt;">
      <formula>NOT(ISERROR(SEARCH("&lt;",AC15)))</formula>
    </cfRule>
    <cfRule type="containsText" dxfId="722" priority="54" operator="containsText" text="&gt;">
      <formula>NOT(ISERROR(SEARCH("&gt;",AC15)))</formula>
    </cfRule>
  </conditionalFormatting>
  <conditionalFormatting sqref="AC31">
    <cfRule type="containsText" dxfId="721" priority="49" operator="containsText" text="&lt;">
      <formula>NOT(ISERROR(SEARCH("&lt;",AC31)))</formula>
    </cfRule>
    <cfRule type="containsText" dxfId="720" priority="50" operator="containsText" text="&gt;">
      <formula>NOT(ISERROR(SEARCH("&gt;",AC31)))</formula>
    </cfRule>
  </conditionalFormatting>
  <conditionalFormatting sqref="AC63">
    <cfRule type="containsText" dxfId="719" priority="1" operator="containsText" text="&lt;">
      <formula>NOT(ISERROR(SEARCH("&lt;",AC63)))</formula>
    </cfRule>
    <cfRule type="containsText" dxfId="718" priority="2" operator="containsText" text="&gt;">
      <formula>NOT(ISERROR(SEARCH("&gt;",AC63)))</formula>
    </cfRule>
  </conditionalFormatting>
  <conditionalFormatting sqref="AC79">
    <cfRule type="containsText" dxfId="717" priority="5" operator="containsText" text="&lt;">
      <formula>NOT(ISERROR(SEARCH("&lt;",AC79)))</formula>
    </cfRule>
    <cfRule type="containsText" dxfId="716" priority="6" operator="containsText" text="&gt;">
      <formula>NOT(ISERROR(SEARCH("&gt;",AC79)))</formula>
    </cfRule>
  </conditionalFormatting>
  <conditionalFormatting sqref="AC95">
    <cfRule type="containsText" dxfId="715" priority="9" operator="containsText" text="&lt;">
      <formula>NOT(ISERROR(SEARCH("&lt;",AC95)))</formula>
    </cfRule>
    <cfRule type="containsText" dxfId="714" priority="10" operator="containsText" text="&gt;">
      <formula>NOT(ISERROR(SEARCH("&gt;",AC95)))</formula>
    </cfRule>
  </conditionalFormatting>
  <conditionalFormatting sqref="AD15:AE15">
    <cfRule type="cellIs" dxfId="713" priority="55" operator="equal">
      <formula>"Significant"</formula>
    </cfRule>
    <cfRule type="containsText" dxfId="712" priority="56" operator="containsText" text="Not">
      <formula>NOT(ISERROR(SEARCH("Not",AD15)))</formula>
    </cfRule>
  </conditionalFormatting>
  <conditionalFormatting sqref="AD31:AE31">
    <cfRule type="cellIs" dxfId="711" priority="51" operator="equal">
      <formula>"Significant"</formula>
    </cfRule>
    <cfRule type="containsText" dxfId="710" priority="52" operator="containsText" text="Not">
      <formula>NOT(ISERROR(SEARCH("Not",AD31)))</formula>
    </cfRule>
  </conditionalFormatting>
  <conditionalFormatting sqref="AD63:AE63">
    <cfRule type="cellIs" dxfId="709" priority="3" operator="equal">
      <formula>"Significant"</formula>
    </cfRule>
    <cfRule type="containsText" dxfId="708" priority="4" operator="containsText" text="Not">
      <formula>NOT(ISERROR(SEARCH("Not",AD63)))</formula>
    </cfRule>
  </conditionalFormatting>
  <conditionalFormatting sqref="AD79:AE79">
    <cfRule type="cellIs" dxfId="707" priority="7" operator="equal">
      <formula>"Significant"</formula>
    </cfRule>
    <cfRule type="containsText" dxfId="706" priority="8" operator="containsText" text="Not">
      <formula>NOT(ISERROR(SEARCH("Not",AD79)))</formula>
    </cfRule>
  </conditionalFormatting>
  <conditionalFormatting sqref="AD95:AE95">
    <cfRule type="cellIs" dxfId="705" priority="11" operator="equal">
      <formula>"Significant"</formula>
    </cfRule>
    <cfRule type="containsText" dxfId="704" priority="12" operator="containsText" text="Not">
      <formula>NOT(ISERROR(SEARCH("Not",AD95)))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D9C6E-60DC-473C-AD33-DF52466B4073}">
  <sheetPr>
    <tabColor theme="8" tint="0.39997558519241921"/>
    <pageSetUpPr fitToPage="1"/>
  </sheetPr>
  <dimension ref="A1:AF119"/>
  <sheetViews>
    <sheetView workbookViewId="0">
      <selection activeCell="B25" sqref="B25"/>
    </sheetView>
  </sheetViews>
  <sheetFormatPr defaultRowHeight="15" x14ac:dyDescent="0.25"/>
  <cols>
    <col min="1" max="1" width="18.140625" customWidth="1"/>
    <col min="2" max="2" width="15" customWidth="1"/>
    <col min="4" max="4" width="12.42578125" customWidth="1"/>
    <col min="12" max="12" width="11" bestFit="1" customWidth="1"/>
    <col min="20" max="20" width="13.7109375" customWidth="1"/>
    <col min="21" max="21" width="9.7109375" customWidth="1"/>
    <col min="22" max="22" width="27.28515625" customWidth="1"/>
    <col min="23" max="23" width="11" bestFit="1" customWidth="1"/>
    <col min="25" max="25" width="3" customWidth="1"/>
    <col min="26" max="26" width="27.5703125" customWidth="1"/>
    <col min="29" max="29" width="3.140625" customWidth="1"/>
    <col min="30" max="30" width="27" customWidth="1"/>
  </cols>
  <sheetData>
    <row r="1" spans="1:32" x14ac:dyDescent="0.25">
      <c r="A1" s="126" t="s">
        <v>0</v>
      </c>
      <c r="B1" s="126"/>
      <c r="C1" s="198" t="s">
        <v>12</v>
      </c>
      <c r="D1" s="200" t="s">
        <v>72</v>
      </c>
      <c r="E1" s="167"/>
      <c r="F1" s="148" t="s">
        <v>13</v>
      </c>
      <c r="G1" s="115"/>
      <c r="H1" s="115"/>
      <c r="I1" s="115"/>
      <c r="J1" s="115"/>
      <c r="K1" s="116"/>
      <c r="L1" s="117" t="s">
        <v>14</v>
      </c>
      <c r="M1" s="118"/>
      <c r="N1" s="118"/>
      <c r="O1" s="118"/>
      <c r="P1" s="118"/>
      <c r="Q1" s="118"/>
      <c r="T1" s="105" t="s">
        <v>18</v>
      </c>
      <c r="U1" s="105">
        <v>18</v>
      </c>
      <c r="V1" s="195" t="s">
        <v>13</v>
      </c>
      <c r="W1" s="195"/>
      <c r="X1" s="195"/>
      <c r="Y1" s="195"/>
      <c r="Z1" s="195"/>
      <c r="AA1" s="195"/>
      <c r="AB1" s="195"/>
      <c r="AC1" s="195"/>
      <c r="AD1" s="195"/>
      <c r="AE1" s="195"/>
      <c r="AF1" s="195"/>
    </row>
    <row r="2" spans="1:32" x14ac:dyDescent="0.25">
      <c r="A2" s="126" t="s">
        <v>16</v>
      </c>
      <c r="B2" s="198" t="s">
        <v>17</v>
      </c>
      <c r="C2" s="198"/>
      <c r="D2" s="201" t="s">
        <v>73</v>
      </c>
      <c r="E2" s="160" t="s">
        <v>74</v>
      </c>
      <c r="F2" s="197" t="s">
        <v>19</v>
      </c>
      <c r="G2" s="162"/>
      <c r="H2" s="162"/>
      <c r="I2" s="163" t="s">
        <v>71</v>
      </c>
      <c r="J2" s="163"/>
      <c r="K2" s="163"/>
      <c r="L2" s="197" t="s">
        <v>19</v>
      </c>
      <c r="M2" s="162"/>
      <c r="N2" s="162"/>
      <c r="O2" s="163" t="s">
        <v>71</v>
      </c>
      <c r="P2" s="163"/>
      <c r="Q2" s="163"/>
      <c r="T2" s="105"/>
      <c r="U2" s="105"/>
      <c r="V2" s="194" t="s">
        <v>4</v>
      </c>
      <c r="W2" s="194"/>
      <c r="X2" s="194"/>
      <c r="Z2" s="194" t="s">
        <v>5</v>
      </c>
      <c r="AA2" s="194"/>
      <c r="AB2" s="194"/>
      <c r="AD2" s="194" t="s">
        <v>70</v>
      </c>
      <c r="AE2" s="194"/>
      <c r="AF2" s="194"/>
    </row>
    <row r="3" spans="1:32" ht="15.75" thickBot="1" x14ac:dyDescent="0.3">
      <c r="A3" s="127"/>
      <c r="B3" s="199"/>
      <c r="C3" s="199"/>
      <c r="D3" s="202"/>
      <c r="E3" s="161"/>
      <c r="F3" s="13" t="s">
        <v>4</v>
      </c>
      <c r="G3" s="12" t="s">
        <v>5</v>
      </c>
      <c r="H3" s="12" t="s">
        <v>70</v>
      </c>
      <c r="I3" s="13" t="s">
        <v>4</v>
      </c>
      <c r="J3" s="12" t="s">
        <v>5</v>
      </c>
      <c r="K3" s="12" t="s">
        <v>70</v>
      </c>
      <c r="L3" s="13" t="s">
        <v>4</v>
      </c>
      <c r="M3" s="12" t="s">
        <v>5</v>
      </c>
      <c r="N3" s="12" t="s">
        <v>70</v>
      </c>
      <c r="O3" s="13" t="s">
        <v>4</v>
      </c>
      <c r="P3" s="12" t="s">
        <v>5</v>
      </c>
      <c r="Q3" s="12" t="s">
        <v>70</v>
      </c>
      <c r="T3" s="105"/>
      <c r="U3" s="105"/>
    </row>
    <row r="4" spans="1:32" x14ac:dyDescent="0.25">
      <c r="A4" s="111" t="str">
        <f>'Table for t-test'!A4</f>
        <v>medicalnet</v>
      </c>
      <c r="B4" s="111">
        <v>18</v>
      </c>
      <c r="C4" s="11">
        <v>1</v>
      </c>
      <c r="D4" s="6">
        <f>'Table for t-test'!D4</f>
        <v>34</v>
      </c>
      <c r="E4" s="11">
        <f>'Table for t-test'!E4</f>
        <v>26</v>
      </c>
      <c r="F4" s="6">
        <f>'Table for t-test'!F4</f>
        <v>0.39072847366333002</v>
      </c>
      <c r="G4" s="6">
        <f>'Table for t-test'!G4</f>
        <v>0.82061576843261697</v>
      </c>
      <c r="H4" s="6">
        <f>'Table for t-test'!H4</f>
        <v>0.29654428362846302</v>
      </c>
      <c r="I4" s="6">
        <f>'Table for t-test'!I4</f>
        <v>0.44055944681167603</v>
      </c>
      <c r="J4" s="6">
        <f>'Table for t-test'!J4</f>
        <v>0.82682806253433205</v>
      </c>
      <c r="K4" s="11">
        <f>'Table for t-test'!K4</f>
        <v>0.373557448387146</v>
      </c>
      <c r="L4" s="6">
        <f>'Table for t-test'!L4</f>
        <v>0.40540540218353199</v>
      </c>
      <c r="M4" s="6">
        <f>'Table for t-test'!M4</f>
        <v>0.84757626056671098</v>
      </c>
      <c r="N4" s="6">
        <f>'Table for t-test'!N4</f>
        <v>0.37488147616386402</v>
      </c>
      <c r="O4" s="6">
        <f>'Table for t-test'!O4</f>
        <v>0.39464882016181901</v>
      </c>
      <c r="P4" s="6">
        <f>'Table for t-test'!P4</f>
        <v>0.81551653146743697</v>
      </c>
      <c r="Q4" s="11">
        <f>'Table for t-test'!Q4</f>
        <v>0.35379672050476002</v>
      </c>
      <c r="T4" s="105"/>
      <c r="U4" s="105"/>
      <c r="V4" s="17"/>
      <c r="W4" s="17" t="s">
        <v>19</v>
      </c>
      <c r="X4" s="17" t="s">
        <v>71</v>
      </c>
      <c r="Z4" s="17"/>
      <c r="AA4" s="17" t="s">
        <v>19</v>
      </c>
      <c r="AB4" s="17" t="s">
        <v>71</v>
      </c>
      <c r="AD4" s="17"/>
      <c r="AE4" s="17" t="s">
        <v>19</v>
      </c>
      <c r="AF4" s="17" t="s">
        <v>71</v>
      </c>
    </row>
    <row r="5" spans="1:32" x14ac:dyDescent="0.25">
      <c r="A5" s="105"/>
      <c r="B5" s="105"/>
      <c r="C5" s="3">
        <v>2</v>
      </c>
      <c r="D5">
        <f>'Table for t-test'!D5</f>
        <v>24</v>
      </c>
      <c r="E5" s="3">
        <f>'Table for t-test'!E5</f>
        <v>37</v>
      </c>
      <c r="F5">
        <f>'Table for t-test'!F5</f>
        <v>0.46896553039550698</v>
      </c>
      <c r="G5">
        <f>'Table for t-test'!G5</f>
        <v>0.88657021522521895</v>
      </c>
      <c r="H5">
        <f>'Table for t-test'!H5</f>
        <v>0.47210073471069303</v>
      </c>
      <c r="I5">
        <f>'Table for t-test'!I5</f>
        <v>0.46994534134864802</v>
      </c>
      <c r="J5">
        <f>'Table for t-test'!J5</f>
        <v>0.88385057449340798</v>
      </c>
      <c r="K5" s="3">
        <f>'Table for t-test'!K5</f>
        <v>0.532526135444641</v>
      </c>
      <c r="L5">
        <f>'Table for t-test'!L5</f>
        <v>0.34055727720260598</v>
      </c>
      <c r="M5">
        <f>'Table for t-test'!M5</f>
        <v>0.78593331575393599</v>
      </c>
      <c r="N5">
        <f>'Table for t-test'!N5</f>
        <v>0.299771457910537</v>
      </c>
      <c r="O5">
        <f>'Table for t-test'!O5</f>
        <v>0.273291915655136</v>
      </c>
      <c r="P5">
        <f>'Table for t-test'!P5</f>
        <v>0.82139086723327603</v>
      </c>
      <c r="Q5" s="3">
        <f>'Table for t-test'!Q5</f>
        <v>0.32400599122047402</v>
      </c>
      <c r="T5" s="105"/>
      <c r="U5" s="105"/>
      <c r="V5" t="s">
        <v>75</v>
      </c>
      <c r="W5">
        <v>0.42224630713462774</v>
      </c>
      <c r="X5">
        <v>0.46951682865619626</v>
      </c>
      <c r="Z5" t="s">
        <v>75</v>
      </c>
      <c r="AA5">
        <v>0.85618151724338498</v>
      </c>
      <c r="AB5">
        <v>0.86355166137218453</v>
      </c>
      <c r="AD5" t="s">
        <v>75</v>
      </c>
      <c r="AE5">
        <v>0.42150145024061147</v>
      </c>
      <c r="AF5">
        <v>0.47297102212905873</v>
      </c>
    </row>
    <row r="6" spans="1:32" x14ac:dyDescent="0.25">
      <c r="A6" s="105"/>
      <c r="B6" s="105"/>
      <c r="C6" s="3">
        <v>3</v>
      </c>
      <c r="D6">
        <f>'Table for t-test'!D6</f>
        <v>36</v>
      </c>
      <c r="E6" s="3">
        <f>'Table for t-test'!E6</f>
        <v>39</v>
      </c>
      <c r="F6">
        <f>'Table for t-test'!F6</f>
        <v>0.35242289304733199</v>
      </c>
      <c r="G6">
        <f>'Table for t-test'!G6</f>
        <v>0.83903002738952603</v>
      </c>
      <c r="H6">
        <f>'Table for t-test'!H6</f>
        <v>0.363223016262054</v>
      </c>
      <c r="I6">
        <f>'Table for t-test'!I6</f>
        <v>0.48245614767074502</v>
      </c>
      <c r="J6">
        <f>'Table for t-test'!J6</f>
        <v>0.87084978818893399</v>
      </c>
      <c r="K6" s="3">
        <f>'Table for t-test'!K6</f>
        <v>0.44323885440826399</v>
      </c>
      <c r="L6">
        <f>'Table for t-test'!L6</f>
        <v>0.39543727040290799</v>
      </c>
      <c r="M6">
        <f>'Table for t-test'!M6</f>
        <v>0.814791560173034</v>
      </c>
      <c r="N6">
        <f>'Table for t-test'!N6</f>
        <v>0.29309141635894698</v>
      </c>
      <c r="O6">
        <f>'Table for t-test'!O6</f>
        <v>0.36437246203422502</v>
      </c>
      <c r="P6">
        <f>'Table for t-test'!P6</f>
        <v>0.83143305778503396</v>
      </c>
      <c r="Q6" s="3">
        <f>'Table for t-test'!Q6</f>
        <v>0.318134725093841</v>
      </c>
      <c r="T6" s="105"/>
      <c r="U6" s="105"/>
      <c r="V6" t="s">
        <v>76</v>
      </c>
      <c r="W6">
        <v>3.6783114473368053E-3</v>
      </c>
      <c r="X6">
        <v>4.1639121215581554E-4</v>
      </c>
      <c r="Z6" t="s">
        <v>76</v>
      </c>
      <c r="AA6">
        <v>9.9371092891064488E-4</v>
      </c>
      <c r="AB6">
        <v>6.3240843929760805E-4</v>
      </c>
      <c r="AD6" t="s">
        <v>76</v>
      </c>
      <c r="AE6">
        <v>1.3054449765887988E-2</v>
      </c>
      <c r="AF6">
        <v>6.3855758298198744E-3</v>
      </c>
    </row>
    <row r="7" spans="1:32" x14ac:dyDescent="0.25">
      <c r="A7" s="105"/>
      <c r="B7" s="107"/>
      <c r="C7" s="8">
        <v>4</v>
      </c>
      <c r="D7" s="7">
        <f>'Table for t-test'!D7</f>
        <v>34</v>
      </c>
      <c r="E7" s="8">
        <f>'Table for t-test'!E7</f>
        <v>42</v>
      </c>
      <c r="F7" s="7">
        <f>'Table for t-test'!F7</f>
        <v>0.47686833143234197</v>
      </c>
      <c r="G7" s="7">
        <f>'Table for t-test'!G7</f>
        <v>0.87851005792617798</v>
      </c>
      <c r="H7" s="7">
        <f>'Table for t-test'!H7</f>
        <v>0.55413776636123602</v>
      </c>
      <c r="I7" s="7">
        <f>'Table for t-test'!I7</f>
        <v>0.48510637879371599</v>
      </c>
      <c r="J7" s="7">
        <f>'Table for t-test'!J7</f>
        <v>0.87267822027206399</v>
      </c>
      <c r="K7" s="8">
        <f>'Table for t-test'!K7</f>
        <v>0.54256165027618397</v>
      </c>
      <c r="L7" s="7">
        <f>'Table for t-test'!L7</f>
        <v>0.40000000596046398</v>
      </c>
      <c r="M7" s="7">
        <f>'Table for t-test'!M7</f>
        <v>0.85419058799743597</v>
      </c>
      <c r="N7" s="7">
        <f>'Table for t-test'!N7</f>
        <v>0.35654956102371199</v>
      </c>
      <c r="O7" s="7">
        <f>'Table for t-test'!O7</f>
        <v>0.38910505175590498</v>
      </c>
      <c r="P7" s="7">
        <f>'Table for t-test'!P7</f>
        <v>0.85246908664703303</v>
      </c>
      <c r="Q7" s="8">
        <f>'Table for t-test'!Q7</f>
        <v>0.37204933166503901</v>
      </c>
      <c r="T7" s="105"/>
      <c r="U7" s="105"/>
      <c r="V7" t="s">
        <v>77</v>
      </c>
      <c r="W7">
        <v>4</v>
      </c>
      <c r="X7">
        <v>4</v>
      </c>
      <c r="Z7" t="s">
        <v>77</v>
      </c>
      <c r="AA7">
        <v>4</v>
      </c>
      <c r="AB7">
        <v>4</v>
      </c>
      <c r="AD7" t="s">
        <v>77</v>
      </c>
      <c r="AE7">
        <v>4</v>
      </c>
      <c r="AF7">
        <v>4</v>
      </c>
    </row>
    <row r="8" spans="1:32" x14ac:dyDescent="0.25">
      <c r="A8" s="105"/>
      <c r="B8" s="103">
        <v>34</v>
      </c>
      <c r="C8" s="10">
        <v>1</v>
      </c>
      <c r="D8" s="9">
        <f>'Table for t-test'!D8</f>
        <v>47</v>
      </c>
      <c r="E8" s="10">
        <f>'Table for t-test'!E8</f>
        <v>33</v>
      </c>
      <c r="F8" s="9">
        <f>'Table for t-test'!F8</f>
        <v>0.44368600845336897</v>
      </c>
      <c r="G8" s="9">
        <f>'Table for t-test'!G8</f>
        <v>0.83456790447235096</v>
      </c>
      <c r="H8" s="9">
        <f>'Table for t-test'!H8</f>
        <v>0.41071850061416598</v>
      </c>
      <c r="I8" s="9">
        <f>'Table for t-test'!I8</f>
        <v>0.33519554138183499</v>
      </c>
      <c r="J8" s="9">
        <f>'Table for t-test'!J8</f>
        <v>0.84637540578842096</v>
      </c>
      <c r="K8" s="10">
        <f>'Table for t-test'!K8</f>
        <v>0.42002362012863098</v>
      </c>
      <c r="L8" s="9">
        <f>'Table for t-test'!L8</f>
        <v>0.395904451608657</v>
      </c>
      <c r="M8" s="9">
        <f>'Table for t-test'!M8</f>
        <v>0.842698574066162</v>
      </c>
      <c r="N8" s="9">
        <f>'Table for t-test'!N8</f>
        <v>0.35345256328582703</v>
      </c>
      <c r="O8" s="9">
        <f>'Table for t-test'!O8</f>
        <v>0.361581921577453</v>
      </c>
      <c r="P8" s="9">
        <f>'Table for t-test'!P8</f>
        <v>0.83520078659057595</v>
      </c>
      <c r="Q8" s="10">
        <f>'Table for t-test'!Q8</f>
        <v>0.38183352351188599</v>
      </c>
      <c r="T8" s="105"/>
      <c r="U8" s="105"/>
      <c r="V8" t="s">
        <v>78</v>
      </c>
      <c r="W8">
        <v>0.23722521304322858</v>
      </c>
      <c r="Z8" t="s">
        <v>78</v>
      </c>
      <c r="AA8">
        <v>0.84162845826075017</v>
      </c>
      <c r="AD8" t="s">
        <v>78</v>
      </c>
      <c r="AE8">
        <v>0.96379533232843184</v>
      </c>
    </row>
    <row r="9" spans="1:32" x14ac:dyDescent="0.25">
      <c r="A9" s="105"/>
      <c r="B9" s="105"/>
      <c r="C9" s="3">
        <v>2</v>
      </c>
      <c r="D9">
        <f>'Table for t-test'!D9</f>
        <v>46</v>
      </c>
      <c r="E9" s="3">
        <f>'Table for t-test'!E9</f>
        <v>29</v>
      </c>
      <c r="F9">
        <f>'Table for t-test'!F9</f>
        <v>0.47959184646606401</v>
      </c>
      <c r="G9">
        <f>'Table for t-test'!G9</f>
        <v>0.88806360960006703</v>
      </c>
      <c r="H9">
        <f>'Table for t-test'!H9</f>
        <v>0.51720136404037398</v>
      </c>
      <c r="I9">
        <f>'Table for t-test'!I9</f>
        <v>0.33333334326744002</v>
      </c>
      <c r="J9">
        <f>'Table for t-test'!J9</f>
        <v>0.89451676607131902</v>
      </c>
      <c r="K9" s="3">
        <f>'Table for t-test'!K9</f>
        <v>0.48057109117507901</v>
      </c>
      <c r="L9">
        <f>'Table for t-test'!L9</f>
        <v>0.25414365530013999</v>
      </c>
      <c r="M9">
        <f>'Table for t-test'!M9</f>
        <v>0.78586530685424805</v>
      </c>
      <c r="N9">
        <f>'Table for t-test'!N9</f>
        <v>0.270405113697052</v>
      </c>
      <c r="O9">
        <f>'Table for t-test'!O9</f>
        <v>0.21656051278114299</v>
      </c>
      <c r="P9">
        <f>'Table for t-test'!P9</f>
        <v>0.82518118619918801</v>
      </c>
      <c r="Q9" s="3">
        <f>'Table for t-test'!Q9</f>
        <v>0.26359781622886602</v>
      </c>
      <c r="T9" s="105"/>
      <c r="U9" s="105"/>
      <c r="V9" t="s">
        <v>79</v>
      </c>
      <c r="W9">
        <v>0</v>
      </c>
      <c r="Z9" t="s">
        <v>79</v>
      </c>
      <c r="AA9">
        <v>0</v>
      </c>
      <c r="AD9" t="s">
        <v>79</v>
      </c>
      <c r="AE9">
        <v>0</v>
      </c>
    </row>
    <row r="10" spans="1:32" x14ac:dyDescent="0.25">
      <c r="A10" s="105"/>
      <c r="B10" s="105"/>
      <c r="C10" s="3">
        <v>3</v>
      </c>
      <c r="D10">
        <f>'Table for t-test'!D10</f>
        <v>22</v>
      </c>
      <c r="E10" s="3">
        <f>'Table for t-test'!E10</f>
        <v>45</v>
      </c>
      <c r="F10">
        <f>'Table for t-test'!F10</f>
        <v>0.387931048870086</v>
      </c>
      <c r="G10">
        <f>'Table for t-test'!G10</f>
        <v>0.84649145603179898</v>
      </c>
      <c r="H10">
        <f>'Table for t-test'!H10</f>
        <v>0.33777293562889099</v>
      </c>
      <c r="I10">
        <f>'Table for t-test'!I10</f>
        <v>0.39543727040290799</v>
      </c>
      <c r="J10">
        <f>'Table for t-test'!J10</f>
        <v>0.84839439392089799</v>
      </c>
      <c r="K10" s="3">
        <f>'Table for t-test'!K10</f>
        <v>0.35826829075813199</v>
      </c>
      <c r="L10">
        <f>'Table for t-test'!L10</f>
        <v>0.32478633522987299</v>
      </c>
      <c r="M10">
        <f>'Table for t-test'!M10</f>
        <v>0.81576555967330899</v>
      </c>
      <c r="N10">
        <f>'Table for t-test'!N10</f>
        <v>0.30284184217452997</v>
      </c>
      <c r="O10">
        <f>'Table for t-test'!O10</f>
        <v>0.43727597594261097</v>
      </c>
      <c r="P10">
        <f>'Table for t-test'!P10</f>
        <v>0.86955595016479403</v>
      </c>
      <c r="Q10" s="3">
        <f>'Table for t-test'!Q10</f>
        <v>0.38694450259208601</v>
      </c>
      <c r="T10" s="105"/>
      <c r="U10" s="105"/>
      <c r="V10" t="s">
        <v>80</v>
      </c>
      <c r="W10">
        <v>3</v>
      </c>
      <c r="Z10" t="s">
        <v>80</v>
      </c>
      <c r="AA10">
        <v>3</v>
      </c>
      <c r="AD10" t="s">
        <v>80</v>
      </c>
      <c r="AE10">
        <v>3</v>
      </c>
    </row>
    <row r="11" spans="1:32" x14ac:dyDescent="0.25">
      <c r="A11" s="105"/>
      <c r="B11" s="107"/>
      <c r="C11" s="8">
        <v>4</v>
      </c>
      <c r="D11" s="7">
        <f>'Table for t-test'!D11</f>
        <v>43</v>
      </c>
      <c r="E11" s="8">
        <f>'Table for t-test'!E11</f>
        <v>27</v>
      </c>
      <c r="F11" s="7">
        <f>'Table for t-test'!F11</f>
        <v>0.458823531866073</v>
      </c>
      <c r="G11" s="7">
        <f>'Table for t-test'!G11</f>
        <v>0.86962527036666804</v>
      </c>
      <c r="H11" s="7">
        <f>'Table for t-test'!H11</f>
        <v>0.48580339550971902</v>
      </c>
      <c r="I11" s="7">
        <f>'Table for t-test'!I11</f>
        <v>0.394366204738616</v>
      </c>
      <c r="J11" s="7">
        <f>'Table for t-test'!J11</f>
        <v>0.86474406719207697</v>
      </c>
      <c r="K11" s="8">
        <f>'Table for t-test'!K11</f>
        <v>0.52845835685729903</v>
      </c>
      <c r="L11" s="7">
        <f>'Table for t-test'!L11</f>
        <v>0.182857140898704</v>
      </c>
      <c r="M11" s="7">
        <f>'Table for t-test'!M11</f>
        <v>0.83652973175048795</v>
      </c>
      <c r="N11" s="7">
        <f>'Table for t-test'!N11</f>
        <v>0.27166512608528098</v>
      </c>
      <c r="O11" s="7">
        <f>'Table for t-test'!O11</f>
        <v>0.19402985274791701</v>
      </c>
      <c r="P11" s="7">
        <f>'Table for t-test'!P11</f>
        <v>0.85674268007278398</v>
      </c>
      <c r="Q11" s="8">
        <f>'Table for t-test'!Q11</f>
        <v>0.37238350510597201</v>
      </c>
      <c r="T11" s="105"/>
      <c r="U11" s="105"/>
      <c r="V11" t="s">
        <v>81</v>
      </c>
      <c r="W11">
        <v>-1.5963190480253802</v>
      </c>
      <c r="Z11" t="s">
        <v>81</v>
      </c>
      <c r="AA11">
        <v>-0.86299419563446333</v>
      </c>
      <c r="AD11" t="s">
        <v>81</v>
      </c>
      <c r="AE11">
        <v>-2.3992748270020088</v>
      </c>
    </row>
    <row r="12" spans="1:32" x14ac:dyDescent="0.25">
      <c r="A12" s="105"/>
      <c r="B12" s="103">
        <v>50</v>
      </c>
      <c r="C12" s="10">
        <v>1</v>
      </c>
      <c r="D12" s="9">
        <f>'Table for t-test'!D12</f>
        <v>28</v>
      </c>
      <c r="E12" s="10">
        <f>'Table for t-test'!E12</f>
        <v>13</v>
      </c>
      <c r="F12" s="9">
        <f>'Table for t-test'!F12</f>
        <v>0.44155845046043302</v>
      </c>
      <c r="G12" s="9">
        <f>'Table for t-test'!G12</f>
        <v>0.83556497097015303</v>
      </c>
      <c r="H12" s="9">
        <f>'Table for t-test'!H12</f>
        <v>0.42802810668945301</v>
      </c>
      <c r="I12" s="9">
        <f>'Table for t-test'!I12</f>
        <v>0.42207792401313698</v>
      </c>
      <c r="J12" s="9">
        <f>'Table for t-test'!J12</f>
        <v>0.82881456613540605</v>
      </c>
      <c r="K12" s="10">
        <f>'Table for t-test'!K12</f>
        <v>0.37043792009353599</v>
      </c>
      <c r="L12" s="9">
        <f>'Table for t-test'!L12</f>
        <v>0.41176471114158603</v>
      </c>
      <c r="M12" s="9">
        <f>'Table for t-test'!M12</f>
        <v>0.85384315252303999</v>
      </c>
      <c r="N12" s="9">
        <f>'Table for t-test'!N12</f>
        <v>0.37506282329559298</v>
      </c>
      <c r="O12" s="9">
        <f>'Table for t-test'!O12</f>
        <v>0.36417910456657399</v>
      </c>
      <c r="P12" s="9">
        <f>'Table for t-test'!P12</f>
        <v>0.83456659317016602</v>
      </c>
      <c r="Q12" s="10">
        <f>'Table for t-test'!Q12</f>
        <v>0.35174927115440302</v>
      </c>
      <c r="T12" s="105"/>
      <c r="U12" s="105"/>
      <c r="V12" t="s">
        <v>82</v>
      </c>
      <c r="W12">
        <v>0.10434710514244151</v>
      </c>
      <c r="Z12" t="s">
        <v>82</v>
      </c>
      <c r="AA12">
        <v>0.22580646859916542</v>
      </c>
      <c r="AD12" t="s">
        <v>82</v>
      </c>
      <c r="AE12">
        <v>4.7968514024916906E-2</v>
      </c>
    </row>
    <row r="13" spans="1:32" x14ac:dyDescent="0.25">
      <c r="A13" s="105"/>
      <c r="B13" s="105"/>
      <c r="C13" s="3">
        <v>2</v>
      </c>
      <c r="D13">
        <f>'Table for t-test'!D13</f>
        <v>9</v>
      </c>
      <c r="E13" s="3">
        <f>'Table for t-test'!E13</f>
        <v>12</v>
      </c>
      <c r="F13">
        <f>'Table for t-test'!F13</f>
        <v>0.43434342741966198</v>
      </c>
      <c r="G13">
        <f>'Table for t-test'!G13</f>
        <v>0.88175189495086603</v>
      </c>
      <c r="H13">
        <f>'Table for t-test'!H13</f>
        <v>0.459152221679687</v>
      </c>
      <c r="I13">
        <f>'Table for t-test'!I13</f>
        <v>0.38857144117355302</v>
      </c>
      <c r="J13">
        <f>'Table for t-test'!J13</f>
        <v>0.83639883995056097</v>
      </c>
      <c r="K13" s="3">
        <f>'Table for t-test'!K13</f>
        <v>0.43921542167663502</v>
      </c>
      <c r="L13">
        <f>'Table for t-test'!L13</f>
        <v>0.33333334326744002</v>
      </c>
      <c r="M13">
        <f>'Table for t-test'!M13</f>
        <v>0.85286170244216897</v>
      </c>
      <c r="N13">
        <f>'Table for t-test'!N13</f>
        <v>0.33635324239730802</v>
      </c>
      <c r="O13">
        <f>'Table for t-test'!O13</f>
        <v>0.24561403691768599</v>
      </c>
      <c r="P13">
        <f>'Table for t-test'!P13</f>
        <v>0.79870134592056197</v>
      </c>
      <c r="Q13" s="3">
        <f>'Table for t-test'!Q13</f>
        <v>0.25840446352958601</v>
      </c>
      <c r="T13" s="105"/>
      <c r="U13" s="105"/>
      <c r="V13" t="s">
        <v>83</v>
      </c>
      <c r="W13">
        <v>2.3533634348018233</v>
      </c>
      <c r="Z13" t="s">
        <v>83</v>
      </c>
      <c r="AA13">
        <v>2.3533634348018233</v>
      </c>
      <c r="AD13" t="s">
        <v>83</v>
      </c>
      <c r="AE13">
        <v>2.3533634348018233</v>
      </c>
    </row>
    <row r="14" spans="1:32" x14ac:dyDescent="0.25">
      <c r="A14" s="105"/>
      <c r="B14" s="105"/>
      <c r="C14" s="3">
        <v>3</v>
      </c>
      <c r="D14">
        <f>'Table for t-test'!D14</f>
        <v>18</v>
      </c>
      <c r="E14" s="3">
        <f>'Table for t-test'!E14</f>
        <v>24</v>
      </c>
      <c r="F14">
        <f>'Table for t-test'!F14</f>
        <v>0.36559140682220398</v>
      </c>
      <c r="G14">
        <f>'Table for t-test'!G14</f>
        <v>0.82869464159011796</v>
      </c>
      <c r="H14">
        <f>'Table for t-test'!H14</f>
        <v>0.39162975549697798</v>
      </c>
      <c r="I14">
        <f>'Table for t-test'!I14</f>
        <v>0.40569394826888999</v>
      </c>
      <c r="J14">
        <f>'Table for t-test'!J14</f>
        <v>0.84645992517471302</v>
      </c>
      <c r="K14" s="3">
        <f>'Table for t-test'!K14</f>
        <v>0.36728855967521601</v>
      </c>
      <c r="L14">
        <f>'Table for t-test'!L14</f>
        <v>0.26744186878204301</v>
      </c>
      <c r="M14">
        <f>'Table for t-test'!M14</f>
        <v>0.84774994850158603</v>
      </c>
      <c r="N14">
        <f>'Table for t-test'!N14</f>
        <v>0.320197343826293</v>
      </c>
      <c r="O14">
        <f>'Table for t-test'!O14</f>
        <v>0.288808673620224</v>
      </c>
      <c r="P14">
        <f>'Table for t-test'!P14</f>
        <v>0.79241162538528398</v>
      </c>
      <c r="Q14" s="3">
        <f>'Table for t-test'!Q14</f>
        <v>0.248978301882743</v>
      </c>
      <c r="T14" s="105"/>
      <c r="U14" s="105"/>
      <c r="V14" t="s">
        <v>84</v>
      </c>
      <c r="W14">
        <v>0.20869421028488302</v>
      </c>
      <c r="Z14" t="s">
        <v>84</v>
      </c>
      <c r="AA14">
        <v>0.45161293719833084</v>
      </c>
      <c r="AD14" t="s">
        <v>84</v>
      </c>
      <c r="AE14">
        <v>9.5937028049833811E-2</v>
      </c>
    </row>
    <row r="15" spans="1:32" ht="15.75" thickBot="1" x14ac:dyDescent="0.3">
      <c r="A15" s="107"/>
      <c r="B15" s="107"/>
      <c r="C15" s="8">
        <v>4</v>
      </c>
      <c r="D15" s="7">
        <f>'Table for t-test'!D15</f>
        <v>16</v>
      </c>
      <c r="E15" s="8">
        <f>'Table for t-test'!E15</f>
        <v>24</v>
      </c>
      <c r="F15" s="7">
        <f>'Table for t-test'!F15</f>
        <v>0.450450450181961</v>
      </c>
      <c r="G15" s="7">
        <f>'Table for t-test'!G15</f>
        <v>0.86980807781219405</v>
      </c>
      <c r="H15" s="7">
        <f>'Table for t-test'!H15</f>
        <v>0.52274638414382901</v>
      </c>
      <c r="I15" s="7">
        <f>'Table for t-test'!I15</f>
        <v>0.52777779102325395</v>
      </c>
      <c r="J15" s="7">
        <f>'Table for t-test'!J15</f>
        <v>0.89623397588729803</v>
      </c>
      <c r="K15" s="8">
        <f>'Table for t-test'!K15</f>
        <v>0.50428050756454401</v>
      </c>
      <c r="L15" s="7">
        <f>'Table for t-test'!L15</f>
        <v>0.44343891739845198</v>
      </c>
      <c r="M15" s="7">
        <f>'Table for t-test'!M15</f>
        <v>0.85299003124237005</v>
      </c>
      <c r="N15" s="7">
        <f>'Table for t-test'!N15</f>
        <v>0.405628621578216</v>
      </c>
      <c r="O15" s="7">
        <f>'Table for t-test'!O15</f>
        <v>0.32307693362236001</v>
      </c>
      <c r="P15" s="7">
        <f>'Table for t-test'!P15</f>
        <v>0.82004678249359098</v>
      </c>
      <c r="Q15" s="8">
        <f>'Table for t-test'!Q15</f>
        <v>0.25700038671493503</v>
      </c>
      <c r="T15" s="105"/>
      <c r="U15" s="105"/>
      <c r="V15" s="16" t="s">
        <v>85</v>
      </c>
      <c r="W15" s="16">
        <v>3.1824463052837091</v>
      </c>
      <c r="X15" s="16"/>
      <c r="Z15" s="16" t="s">
        <v>85</v>
      </c>
      <c r="AA15" s="16">
        <v>3.1824463052837091</v>
      </c>
      <c r="AB15" s="16"/>
      <c r="AD15" s="16" t="s">
        <v>85</v>
      </c>
      <c r="AE15" s="16">
        <v>3.1824463052837091</v>
      </c>
      <c r="AF15" s="16"/>
    </row>
    <row r="16" spans="1:32" x14ac:dyDescent="0.25">
      <c r="T16" s="105"/>
      <c r="U16" s="105"/>
      <c r="V16" t="str">
        <f>IF(X5 &gt; W5, "Pretrained &gt; Fresh", "Pretrained &lt; Fresh")</f>
        <v>Pretrained &gt; Fresh</v>
      </c>
      <c r="W16" s="171" t="str">
        <f>IF(W12 &lt; 0.05, "Significant", "Not Significant")</f>
        <v>Not Significant</v>
      </c>
      <c r="X16" s="171"/>
      <c r="Z16" t="str">
        <f>IF(AB5 &gt; AA5, "Pretrained &gt; Fresh", "Pretrained &lt; Fresh")</f>
        <v>Pretrained &gt; Fresh</v>
      </c>
      <c r="AA16" s="171" t="str">
        <f>IF(AA12 &lt; 0.05, "Significant", "Not Significant")</f>
        <v>Not Significant</v>
      </c>
      <c r="AB16" s="171"/>
      <c r="AD16" t="str">
        <f>IF(AF5 &gt; AE5, "Pretrained &gt; Fresh", "Pretrained &lt; Fresh")</f>
        <v>Pretrained &gt; Fresh</v>
      </c>
      <c r="AE16" s="171" t="str">
        <f>IF(AE12 &lt; 0.05, "Significant", "Not Significant")</f>
        <v>Significant</v>
      </c>
      <c r="AF16" s="171"/>
    </row>
    <row r="17" spans="4:32" x14ac:dyDescent="0.25">
      <c r="T17" s="105"/>
      <c r="U17" s="105"/>
      <c r="V17">
        <f>W12</f>
        <v>0.10434710514244151</v>
      </c>
      <c r="Z17">
        <f>AA12</f>
        <v>0.22580646859916542</v>
      </c>
      <c r="AD17">
        <f>AE12</f>
        <v>4.7968514024916906E-2</v>
      </c>
    </row>
    <row r="18" spans="4:32" x14ac:dyDescent="0.25">
      <c r="T18" s="105"/>
      <c r="U18" s="105"/>
      <c r="V18" s="196" t="s">
        <v>14</v>
      </c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</row>
    <row r="19" spans="4:32" x14ac:dyDescent="0.25">
      <c r="T19" s="105"/>
      <c r="U19" s="105"/>
      <c r="V19" s="194" t="s">
        <v>4</v>
      </c>
      <c r="W19" s="194"/>
      <c r="X19" s="194"/>
      <c r="Z19" s="194" t="s">
        <v>5</v>
      </c>
      <c r="AA19" s="194"/>
      <c r="AB19" s="194"/>
      <c r="AD19" s="194" t="s">
        <v>70</v>
      </c>
      <c r="AE19" s="194"/>
      <c r="AF19" s="194"/>
    </row>
    <row r="20" spans="4:32" ht="15.75" thickBot="1" x14ac:dyDescent="0.3">
      <c r="D20" s="18"/>
      <c r="E20" s="18"/>
      <c r="I20" s="18"/>
      <c r="J20" s="18"/>
      <c r="K20" s="18"/>
      <c r="T20" s="105"/>
      <c r="U20" s="105"/>
    </row>
    <row r="21" spans="4:32" x14ac:dyDescent="0.25">
      <c r="T21" s="105"/>
      <c r="U21" s="105"/>
      <c r="V21" s="17"/>
      <c r="W21" s="17" t="s">
        <v>19</v>
      </c>
      <c r="X21" s="17" t="s">
        <v>71</v>
      </c>
      <c r="Z21" s="17"/>
      <c r="AA21" s="17" t="s">
        <v>19</v>
      </c>
      <c r="AB21" s="17" t="s">
        <v>71</v>
      </c>
      <c r="AD21" s="17"/>
      <c r="AE21" s="17" t="s">
        <v>19</v>
      </c>
      <c r="AF21" s="17" t="s">
        <v>71</v>
      </c>
    </row>
    <row r="22" spans="4:32" x14ac:dyDescent="0.25">
      <c r="T22" s="105"/>
      <c r="U22" s="105"/>
      <c r="V22" t="s">
        <v>75</v>
      </c>
      <c r="W22">
        <v>0.38534998893737749</v>
      </c>
      <c r="X22">
        <v>0.35535456240177127</v>
      </c>
      <c r="Z22" t="s">
        <v>75</v>
      </c>
      <c r="AA22">
        <v>0.82562293112277929</v>
      </c>
      <c r="AB22">
        <v>0.83020238578319505</v>
      </c>
      <c r="AD22" t="s">
        <v>75</v>
      </c>
      <c r="AE22">
        <v>0.331073477864265</v>
      </c>
      <c r="AF22">
        <v>0.34199669212102851</v>
      </c>
    </row>
    <row r="23" spans="4:32" x14ac:dyDescent="0.25">
      <c r="T23" s="105"/>
      <c r="U23" s="105"/>
      <c r="V23" t="s">
        <v>76</v>
      </c>
      <c r="W23">
        <v>9.0832762372330858E-4</v>
      </c>
      <c r="X23">
        <v>3.166244909800183E-3</v>
      </c>
      <c r="Z23" t="s">
        <v>76</v>
      </c>
      <c r="AA23">
        <v>9.9688128591987526E-4</v>
      </c>
      <c r="AB23">
        <v>2.6354589902499677E-4</v>
      </c>
      <c r="AD23" t="s">
        <v>76</v>
      </c>
      <c r="AE23">
        <v>1.6635416591807006E-3</v>
      </c>
      <c r="AF23">
        <v>6.4515353423962951E-4</v>
      </c>
    </row>
    <row r="24" spans="4:32" x14ac:dyDescent="0.25">
      <c r="T24" s="105"/>
      <c r="U24" s="105"/>
      <c r="V24" t="s">
        <v>77</v>
      </c>
      <c r="W24">
        <v>4</v>
      </c>
      <c r="X24">
        <v>4</v>
      </c>
      <c r="Z24" t="s">
        <v>77</v>
      </c>
      <c r="AA24">
        <v>4</v>
      </c>
      <c r="AB24">
        <v>4</v>
      </c>
      <c r="AD24" t="s">
        <v>77</v>
      </c>
      <c r="AE24">
        <v>4</v>
      </c>
      <c r="AF24">
        <v>4</v>
      </c>
    </row>
    <row r="25" spans="4:32" x14ac:dyDescent="0.25">
      <c r="T25" s="105"/>
      <c r="U25" s="105"/>
      <c r="V25" t="s">
        <v>78</v>
      </c>
      <c r="W25">
        <v>0.99246429681536474</v>
      </c>
      <c r="Z25" t="s">
        <v>78</v>
      </c>
      <c r="AA25">
        <v>0.42277475946934495</v>
      </c>
      <c r="AD25" t="s">
        <v>78</v>
      </c>
      <c r="AE25">
        <v>0.88549009777703391</v>
      </c>
    </row>
    <row r="26" spans="4:32" x14ac:dyDescent="0.25">
      <c r="T26" s="105"/>
      <c r="U26" s="105"/>
      <c r="V26" t="s">
        <v>79</v>
      </c>
      <c r="W26">
        <v>0</v>
      </c>
      <c r="Z26" t="s">
        <v>79</v>
      </c>
      <c r="AA26">
        <v>0</v>
      </c>
      <c r="AD26" t="s">
        <v>79</v>
      </c>
      <c r="AE26">
        <v>0</v>
      </c>
    </row>
    <row r="27" spans="4:32" x14ac:dyDescent="0.25">
      <c r="T27" s="105"/>
      <c r="U27" s="105"/>
      <c r="V27" t="s">
        <v>80</v>
      </c>
      <c r="W27">
        <v>3</v>
      </c>
      <c r="Z27" t="s">
        <v>80</v>
      </c>
      <c r="AA27">
        <v>3</v>
      </c>
      <c r="AD27" t="s">
        <v>80</v>
      </c>
      <c r="AE27">
        <v>3</v>
      </c>
    </row>
    <row r="28" spans="4:32" x14ac:dyDescent="0.25">
      <c r="T28" s="105"/>
      <c r="U28" s="105"/>
      <c r="V28" t="s">
        <v>81</v>
      </c>
      <c r="W28">
        <v>2.2539827224704716</v>
      </c>
      <c r="Z28" t="s">
        <v>81</v>
      </c>
      <c r="AA28">
        <v>-0.31848124672767131</v>
      </c>
      <c r="AD28" t="s">
        <v>81</v>
      </c>
      <c r="AE28">
        <v>-1.0034314777398039</v>
      </c>
    </row>
    <row r="29" spans="4:32" x14ac:dyDescent="0.25">
      <c r="T29" s="105"/>
      <c r="U29" s="105"/>
      <c r="V29" t="s">
        <v>82</v>
      </c>
      <c r="W29">
        <v>5.4766821869476429E-2</v>
      </c>
      <c r="Z29" t="s">
        <v>82</v>
      </c>
      <c r="AA29">
        <v>0.38550211524361278</v>
      </c>
      <c r="AD29" t="s">
        <v>82</v>
      </c>
      <c r="AE29">
        <v>0.19479287370287268</v>
      </c>
    </row>
    <row r="30" spans="4:32" x14ac:dyDescent="0.25">
      <c r="T30" s="105"/>
      <c r="U30" s="105"/>
      <c r="V30" t="s">
        <v>83</v>
      </c>
      <c r="W30">
        <v>2.3533634348018233</v>
      </c>
      <c r="Z30" t="s">
        <v>83</v>
      </c>
      <c r="AA30">
        <v>2.3533634348018233</v>
      </c>
      <c r="AD30" t="s">
        <v>83</v>
      </c>
      <c r="AE30">
        <v>2.3533634348018233</v>
      </c>
    </row>
    <row r="31" spans="4:32" x14ac:dyDescent="0.25">
      <c r="T31" s="105"/>
      <c r="U31" s="105"/>
      <c r="V31" t="s">
        <v>84</v>
      </c>
      <c r="W31">
        <v>0.10953364373895286</v>
      </c>
      <c r="Z31" t="s">
        <v>84</v>
      </c>
      <c r="AA31">
        <v>0.77100423048722555</v>
      </c>
      <c r="AD31" t="s">
        <v>84</v>
      </c>
      <c r="AE31">
        <v>0.38958574740574536</v>
      </c>
    </row>
    <row r="32" spans="4:32" ht="15.75" thickBot="1" x14ac:dyDescent="0.3">
      <c r="T32" s="105"/>
      <c r="U32" s="105"/>
      <c r="V32" s="16" t="s">
        <v>85</v>
      </c>
      <c r="W32" s="16">
        <v>3.1824463052837091</v>
      </c>
      <c r="X32" s="16"/>
      <c r="Z32" s="16" t="s">
        <v>85</v>
      </c>
      <c r="AA32" s="16">
        <v>3.1824463052837091</v>
      </c>
      <c r="AB32" s="16"/>
      <c r="AD32" s="16" t="s">
        <v>85</v>
      </c>
      <c r="AE32" s="16">
        <v>3.1824463052837091</v>
      </c>
      <c r="AF32" s="16"/>
    </row>
    <row r="33" spans="4:32" x14ac:dyDescent="0.25">
      <c r="T33" s="105"/>
      <c r="U33" s="105"/>
      <c r="V33" t="str">
        <f>IF(X22 &gt; W22, "Pretrained &gt; Fresh", "Pretrained &lt; Fresh")</f>
        <v>Pretrained &lt; Fresh</v>
      </c>
      <c r="W33" s="171" t="str">
        <f>IF(W29 &lt; 0.05, "Significant", "Not Significant")</f>
        <v>Not Significant</v>
      </c>
      <c r="X33" s="171"/>
      <c r="Z33" t="str">
        <f>IF(AB22 &gt; AA22, "Pretrained &gt; Fresh", "Pretrained &lt; Fresh")</f>
        <v>Pretrained &gt; Fresh</v>
      </c>
      <c r="AA33" s="171" t="str">
        <f>IF(AA29 &lt; 0.05, "Significant", "Not Significant")</f>
        <v>Not Significant</v>
      </c>
      <c r="AB33" s="171"/>
      <c r="AD33" t="str">
        <f>IF(AF22 &gt; AE22, "Pretrained &gt; Fresh", "Pretrained &lt; Fresh")</f>
        <v>Pretrained &gt; Fresh</v>
      </c>
      <c r="AE33" s="171" t="str">
        <f>IF(AE29 &lt; 0.05, "Significant", "Not Significant")</f>
        <v>Not Significant</v>
      </c>
      <c r="AF33" s="171"/>
    </row>
    <row r="34" spans="4:32" x14ac:dyDescent="0.25">
      <c r="T34" s="105"/>
      <c r="U34" s="105"/>
      <c r="V34">
        <f>W29</f>
        <v>5.4766821869476429E-2</v>
      </c>
      <c r="Z34">
        <f>AA29</f>
        <v>0.38550211524361278</v>
      </c>
      <c r="AD34">
        <f>AE29</f>
        <v>0.19479287370287268</v>
      </c>
    </row>
    <row r="35" spans="4:32" x14ac:dyDescent="0.25">
      <c r="D35" s="18"/>
      <c r="T35" s="105"/>
      <c r="U35" s="105">
        <v>34</v>
      </c>
      <c r="V35" s="195" t="s">
        <v>13</v>
      </c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</row>
    <row r="36" spans="4:32" x14ac:dyDescent="0.25">
      <c r="T36" s="105"/>
      <c r="U36" s="105"/>
      <c r="V36" s="194" t="s">
        <v>4</v>
      </c>
      <c r="W36" s="194"/>
      <c r="X36" s="194"/>
      <c r="Z36" s="194" t="s">
        <v>5</v>
      </c>
      <c r="AA36" s="194"/>
      <c r="AB36" s="194"/>
      <c r="AD36" s="194" t="s">
        <v>70</v>
      </c>
      <c r="AE36" s="194"/>
      <c r="AF36" s="194"/>
    </row>
    <row r="37" spans="4:32" ht="15.75" thickBot="1" x14ac:dyDescent="0.3">
      <c r="T37" s="105"/>
      <c r="U37" s="105"/>
    </row>
    <row r="38" spans="4:32" x14ac:dyDescent="0.25">
      <c r="T38" s="105"/>
      <c r="U38" s="105"/>
      <c r="V38" s="17"/>
      <c r="W38" s="17" t="s">
        <v>19</v>
      </c>
      <c r="X38" s="17" t="s">
        <v>71</v>
      </c>
      <c r="Z38" s="17"/>
      <c r="AA38" s="17" t="s">
        <v>19</v>
      </c>
      <c r="AB38" s="17" t="s">
        <v>71</v>
      </c>
      <c r="AD38" s="17"/>
      <c r="AE38" s="17" t="s">
        <v>19</v>
      </c>
      <c r="AF38" s="17" t="s">
        <v>71</v>
      </c>
    </row>
    <row r="39" spans="4:32" x14ac:dyDescent="0.25">
      <c r="T39" s="105"/>
      <c r="U39" s="105"/>
      <c r="V39" t="s">
        <v>75</v>
      </c>
      <c r="W39">
        <v>0.44250810891389797</v>
      </c>
      <c r="X39">
        <v>0.36458308994769972</v>
      </c>
      <c r="Z39" t="s">
        <v>75</v>
      </c>
      <c r="AA39">
        <v>0.85968706011772134</v>
      </c>
      <c r="AB39">
        <v>0.86350765824317866</v>
      </c>
      <c r="AD39" t="s">
        <v>75</v>
      </c>
      <c r="AE39">
        <v>0.43787404894828746</v>
      </c>
      <c r="AF39">
        <v>0.44683033972978525</v>
      </c>
    </row>
    <row r="40" spans="4:32" x14ac:dyDescent="0.25">
      <c r="T40" s="105"/>
      <c r="U40" s="105"/>
      <c r="V40" t="s">
        <v>76</v>
      </c>
      <c r="W40">
        <v>1.5404798490990775E-3</v>
      </c>
      <c r="X40">
        <v>1.2263963521676375E-3</v>
      </c>
      <c r="Z40" t="s">
        <v>76</v>
      </c>
      <c r="AA40">
        <v>5.6969751033501197E-4</v>
      </c>
      <c r="AB40">
        <v>4.9500610267827494E-4</v>
      </c>
      <c r="AD40" t="s">
        <v>76</v>
      </c>
      <c r="AE40">
        <v>6.4492339582115461E-3</v>
      </c>
      <c r="AF40">
        <v>5.4544694073650106E-3</v>
      </c>
    </row>
    <row r="41" spans="4:32" x14ac:dyDescent="0.25">
      <c r="T41" s="105"/>
      <c r="U41" s="105"/>
      <c r="V41" t="s">
        <v>77</v>
      </c>
      <c r="W41">
        <v>4</v>
      </c>
      <c r="X41">
        <v>4</v>
      </c>
      <c r="Z41" t="s">
        <v>77</v>
      </c>
      <c r="AA41">
        <v>4</v>
      </c>
      <c r="AB41">
        <v>4</v>
      </c>
      <c r="AD41" t="s">
        <v>77</v>
      </c>
      <c r="AE41">
        <v>4</v>
      </c>
      <c r="AF41">
        <v>4</v>
      </c>
    </row>
    <row r="42" spans="4:32" x14ac:dyDescent="0.25">
      <c r="T42" s="105"/>
      <c r="U42" s="105"/>
      <c r="V42" t="s">
        <v>78</v>
      </c>
      <c r="W42">
        <v>-0.57996520752906899</v>
      </c>
      <c r="Z42" t="s">
        <v>78</v>
      </c>
      <c r="AA42">
        <v>0.95535479705830273</v>
      </c>
      <c r="AD42" t="s">
        <v>78</v>
      </c>
      <c r="AE42">
        <v>0.90945665681755994</v>
      </c>
    </row>
    <row r="43" spans="4:32" x14ac:dyDescent="0.25">
      <c r="T43" s="105"/>
      <c r="U43" s="105"/>
      <c r="V43" t="s">
        <v>79</v>
      </c>
      <c r="W43">
        <v>0</v>
      </c>
      <c r="Z43" t="s">
        <v>79</v>
      </c>
      <c r="AA43">
        <v>0</v>
      </c>
      <c r="AD43" t="s">
        <v>79</v>
      </c>
      <c r="AE43">
        <v>0</v>
      </c>
    </row>
    <row r="44" spans="4:32" x14ac:dyDescent="0.25">
      <c r="T44" s="105"/>
      <c r="U44" s="105"/>
      <c r="V44" t="s">
        <v>80</v>
      </c>
      <c r="W44">
        <v>3</v>
      </c>
      <c r="Z44" t="s">
        <v>80</v>
      </c>
      <c r="AA44">
        <v>3</v>
      </c>
      <c r="AD44" t="s">
        <v>80</v>
      </c>
      <c r="AE44">
        <v>3</v>
      </c>
    </row>
    <row r="45" spans="4:32" x14ac:dyDescent="0.25">
      <c r="T45" s="105"/>
      <c r="U45" s="105"/>
      <c r="V45" t="s">
        <v>81</v>
      </c>
      <c r="W45">
        <v>2.3599571745240762</v>
      </c>
      <c r="Z45" t="s">
        <v>81</v>
      </c>
      <c r="AA45">
        <v>-1.0801972347698106</v>
      </c>
      <c r="AD45" t="s">
        <v>81</v>
      </c>
      <c r="AE45">
        <v>-0.53627864866182329</v>
      </c>
    </row>
    <row r="46" spans="4:32" x14ac:dyDescent="0.25">
      <c r="T46" s="105"/>
      <c r="U46" s="105"/>
      <c r="V46" t="s">
        <v>82</v>
      </c>
      <c r="W46">
        <v>4.9701893233241812E-2</v>
      </c>
      <c r="Z46" t="s">
        <v>82</v>
      </c>
      <c r="AA46">
        <v>0.17957593809767333</v>
      </c>
      <c r="AD46" t="s">
        <v>82</v>
      </c>
      <c r="AE46">
        <v>0.31449062044452775</v>
      </c>
    </row>
    <row r="47" spans="4:32" x14ac:dyDescent="0.25">
      <c r="T47" s="105"/>
      <c r="U47" s="105"/>
      <c r="V47" t="s">
        <v>83</v>
      </c>
      <c r="W47">
        <v>2.3533634348018233</v>
      </c>
      <c r="Z47" t="s">
        <v>83</v>
      </c>
      <c r="AA47">
        <v>2.3533634348018233</v>
      </c>
      <c r="AD47" t="s">
        <v>83</v>
      </c>
      <c r="AE47">
        <v>2.3533634348018233</v>
      </c>
    </row>
    <row r="48" spans="4:32" x14ac:dyDescent="0.25">
      <c r="T48" s="105"/>
      <c r="U48" s="105"/>
      <c r="V48" t="s">
        <v>84</v>
      </c>
      <c r="W48">
        <v>9.9403786466483623E-2</v>
      </c>
      <c r="Z48" t="s">
        <v>84</v>
      </c>
      <c r="AA48">
        <v>0.35915187619534666</v>
      </c>
      <c r="AD48" t="s">
        <v>84</v>
      </c>
      <c r="AE48">
        <v>0.62898124088905549</v>
      </c>
    </row>
    <row r="49" spans="20:32" ht="15.75" thickBot="1" x14ac:dyDescent="0.3">
      <c r="T49" s="105"/>
      <c r="U49" s="105"/>
      <c r="V49" s="16" t="s">
        <v>85</v>
      </c>
      <c r="W49" s="16">
        <v>3.1824463052837091</v>
      </c>
      <c r="X49" s="16"/>
      <c r="Z49" s="16" t="s">
        <v>85</v>
      </c>
      <c r="AA49" s="16">
        <v>3.1824463052837091</v>
      </c>
      <c r="AB49" s="16"/>
      <c r="AD49" s="16" t="s">
        <v>85</v>
      </c>
      <c r="AE49" s="16">
        <v>3.1824463052837091</v>
      </c>
      <c r="AF49" s="16"/>
    </row>
    <row r="50" spans="20:32" x14ac:dyDescent="0.25">
      <c r="T50" s="105"/>
      <c r="U50" s="105"/>
      <c r="V50" t="str">
        <f>IF(X39 &gt; W39, "Pretrained &gt; Fresh", "Pretrained &lt; Fresh")</f>
        <v>Pretrained &lt; Fresh</v>
      </c>
      <c r="W50" s="171" t="str">
        <f>IF(W46 &lt; 0.05, "Significant", "Not Significant")</f>
        <v>Significant</v>
      </c>
      <c r="X50" s="171"/>
      <c r="Z50" t="str">
        <f>IF(AB39 &gt; AA39, "Pretrained &gt; Fresh", "Pretrained &lt; Fresh")</f>
        <v>Pretrained &gt; Fresh</v>
      </c>
      <c r="AA50" s="171" t="str">
        <f>IF(AA46 &lt; 0.05, "Significant", "Not Significant")</f>
        <v>Not Significant</v>
      </c>
      <c r="AB50" s="171"/>
      <c r="AD50" t="str">
        <f>IF(AF39 &gt; AE39, "Pretrained &gt; Fresh", "Pretrained &lt; Fresh")</f>
        <v>Pretrained &gt; Fresh</v>
      </c>
      <c r="AE50" s="171" t="str">
        <f>IF(AE46 &lt; 0.05, "Significant", "Not Significant")</f>
        <v>Not Significant</v>
      </c>
      <c r="AF50" s="171"/>
    </row>
    <row r="51" spans="20:32" x14ac:dyDescent="0.25">
      <c r="T51" s="105"/>
      <c r="U51" s="105"/>
      <c r="V51">
        <f>W46</f>
        <v>4.9701893233241812E-2</v>
      </c>
      <c r="Z51">
        <f>AA46</f>
        <v>0.17957593809767333</v>
      </c>
      <c r="AD51">
        <f>AE46</f>
        <v>0.31449062044452775</v>
      </c>
    </row>
    <row r="52" spans="20:32" x14ac:dyDescent="0.25">
      <c r="T52" s="105"/>
      <c r="U52" s="105"/>
      <c r="V52" s="196" t="s">
        <v>14</v>
      </c>
      <c r="W52" s="196"/>
      <c r="X52" s="196"/>
      <c r="Y52" s="196"/>
      <c r="Z52" s="196"/>
      <c r="AA52" s="196"/>
      <c r="AB52" s="196"/>
      <c r="AC52" s="196"/>
      <c r="AD52" s="196"/>
      <c r="AE52" s="196"/>
      <c r="AF52" s="196"/>
    </row>
    <row r="53" spans="20:32" x14ac:dyDescent="0.25">
      <c r="T53" s="105"/>
      <c r="U53" s="105"/>
      <c r="V53" s="194" t="s">
        <v>4</v>
      </c>
      <c r="W53" s="194"/>
      <c r="X53" s="194"/>
      <c r="Z53" s="194" t="s">
        <v>5</v>
      </c>
      <c r="AA53" s="194"/>
      <c r="AB53" s="194"/>
      <c r="AD53" s="194" t="s">
        <v>70</v>
      </c>
      <c r="AE53" s="194"/>
      <c r="AF53" s="194"/>
    </row>
    <row r="54" spans="20:32" ht="15.75" thickBot="1" x14ac:dyDescent="0.3">
      <c r="T54" s="105"/>
      <c r="U54" s="105"/>
    </row>
    <row r="55" spans="20:32" x14ac:dyDescent="0.25">
      <c r="T55" s="105"/>
      <c r="U55" s="105"/>
      <c r="V55" s="17"/>
      <c r="W55" s="17" t="s">
        <v>19</v>
      </c>
      <c r="X55" s="17" t="s">
        <v>71</v>
      </c>
      <c r="Z55" s="17"/>
      <c r="AA55" s="17" t="s">
        <v>19</v>
      </c>
      <c r="AB55" s="17" t="s">
        <v>71</v>
      </c>
      <c r="AD55" s="17"/>
      <c r="AE55" s="17" t="s">
        <v>19</v>
      </c>
      <c r="AF55" s="17" t="s">
        <v>71</v>
      </c>
    </row>
    <row r="56" spans="20:32" x14ac:dyDescent="0.25">
      <c r="T56" s="105"/>
      <c r="U56" s="105"/>
      <c r="V56" t="s">
        <v>75</v>
      </c>
      <c r="W56">
        <v>0.28942289575934349</v>
      </c>
      <c r="X56">
        <v>0.30236206576228097</v>
      </c>
      <c r="Z56" t="s">
        <v>75</v>
      </c>
      <c r="AA56">
        <v>0.82021479308605172</v>
      </c>
      <c r="AB56">
        <v>0.84667015075683549</v>
      </c>
      <c r="AD56" t="s">
        <v>75</v>
      </c>
      <c r="AE56">
        <v>0.29959116131067248</v>
      </c>
      <c r="AF56">
        <v>0.35118983685970256</v>
      </c>
    </row>
    <row r="57" spans="20:32" x14ac:dyDescent="0.25">
      <c r="T57" s="105"/>
      <c r="U57" s="105"/>
      <c r="V57" t="s">
        <v>76</v>
      </c>
      <c r="W57">
        <v>8.3965931678908392E-3</v>
      </c>
      <c r="X57">
        <v>1.3602176451160167E-2</v>
      </c>
      <c r="Z57" t="s">
        <v>76</v>
      </c>
      <c r="AA57">
        <v>6.5712683771194057E-4</v>
      </c>
      <c r="AB57">
        <v>4.0617919116668844E-4</v>
      </c>
      <c r="AD57" t="s">
        <v>76</v>
      </c>
      <c r="AE57">
        <v>1.5144354558407347E-3</v>
      </c>
      <c r="AF57">
        <v>3.4463217683991152E-3</v>
      </c>
    </row>
    <row r="58" spans="20:32" x14ac:dyDescent="0.25">
      <c r="T58" s="105"/>
      <c r="U58" s="105"/>
      <c r="V58" t="s">
        <v>77</v>
      </c>
      <c r="W58">
        <v>4</v>
      </c>
      <c r="X58">
        <v>4</v>
      </c>
      <c r="Z58" t="s">
        <v>77</v>
      </c>
      <c r="AA58">
        <v>4</v>
      </c>
      <c r="AB58">
        <v>4</v>
      </c>
      <c r="AD58" t="s">
        <v>77</v>
      </c>
      <c r="AE58">
        <v>4</v>
      </c>
      <c r="AF58">
        <v>4</v>
      </c>
    </row>
    <row r="59" spans="20:32" x14ac:dyDescent="0.25">
      <c r="T59" s="105"/>
      <c r="U59" s="105"/>
      <c r="V59" t="s">
        <v>78</v>
      </c>
      <c r="W59">
        <v>0.79998636983702409</v>
      </c>
      <c r="Z59" t="s">
        <v>78</v>
      </c>
      <c r="AA59">
        <v>0.35019510141471066</v>
      </c>
      <c r="AD59" t="s">
        <v>78</v>
      </c>
      <c r="AE59">
        <v>0.54442904265391934</v>
      </c>
    </row>
    <row r="60" spans="20:32" x14ac:dyDescent="0.25">
      <c r="T60" s="105"/>
      <c r="U60" s="105"/>
      <c r="V60" t="s">
        <v>79</v>
      </c>
      <c r="W60">
        <v>0</v>
      </c>
      <c r="Z60" t="s">
        <v>79</v>
      </c>
      <c r="AA60">
        <v>0</v>
      </c>
      <c r="AD60" t="s">
        <v>79</v>
      </c>
      <c r="AE60">
        <v>0</v>
      </c>
    </row>
    <row r="61" spans="20:32" x14ac:dyDescent="0.25">
      <c r="T61" s="105"/>
      <c r="U61" s="105"/>
      <c r="V61" t="s">
        <v>80</v>
      </c>
      <c r="W61">
        <v>3</v>
      </c>
      <c r="Z61" t="s">
        <v>80</v>
      </c>
      <c r="AA61">
        <v>3</v>
      </c>
      <c r="AD61" t="s">
        <v>80</v>
      </c>
      <c r="AE61">
        <v>3</v>
      </c>
    </row>
    <row r="62" spans="20:32" x14ac:dyDescent="0.25">
      <c r="T62" s="105"/>
      <c r="U62" s="105"/>
      <c r="V62" t="s">
        <v>81</v>
      </c>
      <c r="W62">
        <v>-0.36969574042783876</v>
      </c>
      <c r="Z62" t="s">
        <v>81</v>
      </c>
      <c r="AA62">
        <v>-1.9977544076805005</v>
      </c>
      <c r="AD62" t="s">
        <v>81</v>
      </c>
      <c r="AE62">
        <v>-2.0751031198720438</v>
      </c>
    </row>
    <row r="63" spans="20:32" x14ac:dyDescent="0.25">
      <c r="T63" s="105"/>
      <c r="U63" s="105"/>
      <c r="V63" t="s">
        <v>82</v>
      </c>
      <c r="W63">
        <v>0.36808223757829794</v>
      </c>
      <c r="Z63" t="s">
        <v>82</v>
      </c>
      <c r="AA63">
        <v>6.9814778163222665E-2</v>
      </c>
      <c r="AD63" t="s">
        <v>82</v>
      </c>
      <c r="AE63">
        <v>6.4803912623479176E-2</v>
      </c>
    </row>
    <row r="64" spans="20:32" x14ac:dyDescent="0.25">
      <c r="T64" s="105"/>
      <c r="U64" s="105"/>
      <c r="V64" t="s">
        <v>83</v>
      </c>
      <c r="W64">
        <v>2.3533634348018233</v>
      </c>
      <c r="Z64" t="s">
        <v>83</v>
      </c>
      <c r="AA64">
        <v>2.3533634348018233</v>
      </c>
      <c r="AD64" t="s">
        <v>83</v>
      </c>
      <c r="AE64">
        <v>2.3533634348018233</v>
      </c>
    </row>
    <row r="65" spans="20:32" x14ac:dyDescent="0.25">
      <c r="T65" s="105"/>
      <c r="U65" s="105"/>
      <c r="V65" t="s">
        <v>84</v>
      </c>
      <c r="W65">
        <v>0.73616447515659589</v>
      </c>
      <c r="Z65" t="s">
        <v>84</v>
      </c>
      <c r="AA65">
        <v>0.13962955632644533</v>
      </c>
      <c r="AD65" t="s">
        <v>84</v>
      </c>
      <c r="AE65">
        <v>0.12960782524695835</v>
      </c>
    </row>
    <row r="66" spans="20:32" ht="15.75" thickBot="1" x14ac:dyDescent="0.3">
      <c r="T66" s="105"/>
      <c r="U66" s="105"/>
      <c r="V66" s="16" t="s">
        <v>85</v>
      </c>
      <c r="W66" s="16">
        <v>3.1824463052837091</v>
      </c>
      <c r="X66" s="16"/>
      <c r="Z66" s="16" t="s">
        <v>85</v>
      </c>
      <c r="AA66" s="16">
        <v>3.1824463052837091</v>
      </c>
      <c r="AB66" s="16"/>
      <c r="AD66" s="16" t="s">
        <v>85</v>
      </c>
      <c r="AE66" s="16">
        <v>3.1824463052837091</v>
      </c>
      <c r="AF66" s="16"/>
    </row>
    <row r="67" spans="20:32" x14ac:dyDescent="0.25">
      <c r="T67" s="105"/>
      <c r="U67" s="105"/>
      <c r="V67" t="str">
        <f>IF(X56 &gt; W56, "Pretrained &gt; Fresh", "Pretrained &lt; Fresh")</f>
        <v>Pretrained &gt; Fresh</v>
      </c>
      <c r="W67" s="171" t="str">
        <f>IF(W63 &lt; 0.05, "Significant", "Not Significant")</f>
        <v>Not Significant</v>
      </c>
      <c r="X67" s="171"/>
      <c r="Z67" t="str">
        <f>IF(AB56 &gt; AA56, "Pretrained &gt; Fresh", "Pretrained &lt; Fresh")</f>
        <v>Pretrained &gt; Fresh</v>
      </c>
      <c r="AA67" s="171" t="str">
        <f>IF(AA63 &lt; 0.05, "Significant", "Not Significant")</f>
        <v>Not Significant</v>
      </c>
      <c r="AB67" s="171"/>
      <c r="AD67" t="str">
        <f>IF(AF56 &gt; AE56, "Pretrained &gt; Fresh", "Pretrained &lt; Fresh")</f>
        <v>Pretrained &gt; Fresh</v>
      </c>
      <c r="AE67" s="171" t="str">
        <f>IF(AE63 &lt; 0.05, "Significant", "Not Significant")</f>
        <v>Not Significant</v>
      </c>
      <c r="AF67" s="171"/>
    </row>
    <row r="68" spans="20:32" x14ac:dyDescent="0.25">
      <c r="T68" s="105"/>
      <c r="U68" s="105"/>
      <c r="V68">
        <f>W63</f>
        <v>0.36808223757829794</v>
      </c>
      <c r="Z68">
        <f>AA63</f>
        <v>6.9814778163222665E-2</v>
      </c>
      <c r="AD68">
        <f>AE63</f>
        <v>6.4803912623479176E-2</v>
      </c>
    </row>
    <row r="69" spans="20:32" x14ac:dyDescent="0.25">
      <c r="T69" s="105"/>
      <c r="U69" s="105">
        <v>50</v>
      </c>
      <c r="V69" s="195" t="s">
        <v>13</v>
      </c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</row>
    <row r="70" spans="20:32" x14ac:dyDescent="0.25">
      <c r="T70" s="105"/>
      <c r="U70" s="105"/>
      <c r="V70" s="194" t="s">
        <v>4</v>
      </c>
      <c r="W70" s="194"/>
      <c r="X70" s="194"/>
      <c r="Z70" s="194" t="s">
        <v>5</v>
      </c>
      <c r="AA70" s="194"/>
      <c r="AB70" s="194"/>
      <c r="AD70" s="194" t="s">
        <v>70</v>
      </c>
      <c r="AE70" s="194"/>
      <c r="AF70" s="194"/>
    </row>
    <row r="71" spans="20:32" ht="15.75" thickBot="1" x14ac:dyDescent="0.3">
      <c r="T71" s="105"/>
      <c r="U71" s="105"/>
    </row>
    <row r="72" spans="20:32" x14ac:dyDescent="0.25">
      <c r="T72" s="105"/>
      <c r="U72" s="105"/>
      <c r="V72" s="17"/>
      <c r="W72" s="17" t="s">
        <v>19</v>
      </c>
      <c r="X72" s="17" t="s">
        <v>71</v>
      </c>
      <c r="Z72" s="17"/>
      <c r="AA72" s="17" t="s">
        <v>19</v>
      </c>
      <c r="AB72" s="17" t="s">
        <v>71</v>
      </c>
      <c r="AD72" s="17"/>
      <c r="AE72" s="17" t="s">
        <v>19</v>
      </c>
      <c r="AF72" s="17" t="s">
        <v>71</v>
      </c>
    </row>
    <row r="73" spans="20:32" x14ac:dyDescent="0.25">
      <c r="T73" s="105"/>
      <c r="U73" s="105"/>
      <c r="V73" t="s">
        <v>75</v>
      </c>
      <c r="W73">
        <v>0.42298593372106502</v>
      </c>
      <c r="X73">
        <v>0.43603027611970846</v>
      </c>
      <c r="Z73" t="s">
        <v>75</v>
      </c>
      <c r="AA73">
        <v>0.85395489633083277</v>
      </c>
      <c r="AB73">
        <v>0.8519768267869946</v>
      </c>
      <c r="AD73" t="s">
        <v>75</v>
      </c>
      <c r="AE73">
        <v>0.45038911700248674</v>
      </c>
      <c r="AF73">
        <v>0.42030560225248276</v>
      </c>
    </row>
    <row r="74" spans="20:32" x14ac:dyDescent="0.25">
      <c r="T74" s="105"/>
      <c r="U74" s="105"/>
      <c r="V74" t="s">
        <v>76</v>
      </c>
      <c r="W74">
        <v>1.507454141174228E-3</v>
      </c>
      <c r="X74">
        <v>3.9283028074003079E-3</v>
      </c>
      <c r="Z74" t="s">
        <v>76</v>
      </c>
      <c r="AA74">
        <v>6.6675543990009475E-4</v>
      </c>
      <c r="AB74">
        <v>9.2276514741810353E-4</v>
      </c>
      <c r="AD74" t="s">
        <v>76</v>
      </c>
      <c r="AE74">
        <v>3.0883478195006253E-3</v>
      </c>
      <c r="AF74">
        <v>4.2356528401230609E-3</v>
      </c>
    </row>
    <row r="75" spans="20:32" x14ac:dyDescent="0.25">
      <c r="T75" s="105"/>
      <c r="U75" s="105"/>
      <c r="V75" t="s">
        <v>77</v>
      </c>
      <c r="W75">
        <v>4</v>
      </c>
      <c r="X75">
        <v>4</v>
      </c>
      <c r="Z75" t="s">
        <v>77</v>
      </c>
      <c r="AA75">
        <v>4</v>
      </c>
      <c r="AB75">
        <v>4</v>
      </c>
      <c r="AD75" t="s">
        <v>77</v>
      </c>
      <c r="AE75">
        <v>4</v>
      </c>
      <c r="AF75">
        <v>4</v>
      </c>
    </row>
    <row r="76" spans="20:32" x14ac:dyDescent="0.25">
      <c r="T76" s="105"/>
      <c r="U76" s="105"/>
      <c r="V76" t="s">
        <v>78</v>
      </c>
      <c r="W76">
        <v>0.47433065731882157</v>
      </c>
      <c r="Z76" t="s">
        <v>78</v>
      </c>
      <c r="AA76">
        <v>0.35437814318892225</v>
      </c>
      <c r="AD76" t="s">
        <v>78</v>
      </c>
      <c r="AE76">
        <v>0.96515077239939473</v>
      </c>
    </row>
    <row r="77" spans="20:32" x14ac:dyDescent="0.25">
      <c r="T77" s="105"/>
      <c r="U77" s="105"/>
      <c r="V77" t="s">
        <v>79</v>
      </c>
      <c r="W77">
        <v>0</v>
      </c>
      <c r="Z77" t="s">
        <v>79</v>
      </c>
      <c r="AA77">
        <v>0</v>
      </c>
      <c r="AD77" t="s">
        <v>79</v>
      </c>
      <c r="AE77">
        <v>0</v>
      </c>
    </row>
    <row r="78" spans="20:32" x14ac:dyDescent="0.25">
      <c r="T78" s="105"/>
      <c r="U78" s="105"/>
      <c r="V78" t="s">
        <v>80</v>
      </c>
      <c r="W78">
        <v>3</v>
      </c>
      <c r="Z78" t="s">
        <v>80</v>
      </c>
      <c r="AA78">
        <v>3</v>
      </c>
      <c r="AD78" t="s">
        <v>80</v>
      </c>
      <c r="AE78">
        <v>3</v>
      </c>
    </row>
    <row r="79" spans="20:32" x14ac:dyDescent="0.25">
      <c r="T79" s="105"/>
      <c r="U79" s="105"/>
      <c r="V79" t="s">
        <v>81</v>
      </c>
      <c r="W79">
        <v>-0.46652246326383462</v>
      </c>
      <c r="Z79" t="s">
        <v>81</v>
      </c>
      <c r="AA79">
        <v>0.12305487082955487</v>
      </c>
      <c r="AD79" t="s">
        <v>81</v>
      </c>
      <c r="AE79">
        <v>3.251058490184731</v>
      </c>
    </row>
    <row r="80" spans="20:32" x14ac:dyDescent="0.25">
      <c r="T80" s="105"/>
      <c r="U80" s="105"/>
      <c r="V80" t="s">
        <v>82</v>
      </c>
      <c r="W80">
        <v>0.33631516434365843</v>
      </c>
      <c r="Z80" t="s">
        <v>82</v>
      </c>
      <c r="AA80">
        <v>0.45492237063774499</v>
      </c>
      <c r="AD80" t="s">
        <v>82</v>
      </c>
      <c r="AE80">
        <v>2.3725743453192658E-2</v>
      </c>
    </row>
    <row r="81" spans="20:32" x14ac:dyDescent="0.25">
      <c r="T81" s="105"/>
      <c r="U81" s="105"/>
      <c r="V81" t="s">
        <v>83</v>
      </c>
      <c r="W81">
        <v>2.3533634348018233</v>
      </c>
      <c r="Z81" t="s">
        <v>83</v>
      </c>
      <c r="AA81">
        <v>2.3533634348018233</v>
      </c>
      <c r="AD81" t="s">
        <v>83</v>
      </c>
      <c r="AE81">
        <v>2.3533634348018233</v>
      </c>
    </row>
    <row r="82" spans="20:32" x14ac:dyDescent="0.25">
      <c r="T82" s="105"/>
      <c r="U82" s="105"/>
      <c r="V82" t="s">
        <v>84</v>
      </c>
      <c r="W82">
        <v>0.67263032868731687</v>
      </c>
      <c r="Z82" t="s">
        <v>84</v>
      </c>
      <c r="AA82">
        <v>0.90984474127548998</v>
      </c>
      <c r="AD82" t="s">
        <v>84</v>
      </c>
      <c r="AE82">
        <v>4.7451486906385315E-2</v>
      </c>
    </row>
    <row r="83" spans="20:32" ht="15.75" thickBot="1" x14ac:dyDescent="0.3">
      <c r="T83" s="105"/>
      <c r="U83" s="105"/>
      <c r="V83" s="16" t="s">
        <v>85</v>
      </c>
      <c r="W83" s="16">
        <v>3.1824463052837091</v>
      </c>
      <c r="X83" s="16"/>
      <c r="Z83" s="16" t="s">
        <v>85</v>
      </c>
      <c r="AA83" s="16">
        <v>3.1824463052837091</v>
      </c>
      <c r="AB83" s="16"/>
      <c r="AD83" s="16" t="s">
        <v>85</v>
      </c>
      <c r="AE83" s="16">
        <v>3.1824463052837091</v>
      </c>
      <c r="AF83" s="16"/>
    </row>
    <row r="84" spans="20:32" x14ac:dyDescent="0.25">
      <c r="T84" s="105"/>
      <c r="U84" s="105"/>
      <c r="V84" t="str">
        <f>IF(X73 &gt; W73, "Pretrained &gt; Fresh", "Pretrained &lt; Fresh")</f>
        <v>Pretrained &gt; Fresh</v>
      </c>
      <c r="W84" s="171" t="str">
        <f>IF(W80 &lt; 0.05, "Significant", "Not Significant")</f>
        <v>Not Significant</v>
      </c>
      <c r="X84" s="171"/>
      <c r="Z84" t="str">
        <f>IF(AB73 &gt; AA73, "Pretrained &gt; Fresh", "Pretrained &lt; Fresh")</f>
        <v>Pretrained &lt; Fresh</v>
      </c>
      <c r="AA84" s="171" t="str">
        <f>IF(AA80 &lt; 0.05, "Significant", "Not Significant")</f>
        <v>Not Significant</v>
      </c>
      <c r="AB84" s="171"/>
      <c r="AD84" t="str">
        <f>IF(AF73 &gt; AE73, "Pretrained &gt; Fresh", "Pretrained &lt; Fresh")</f>
        <v>Pretrained &lt; Fresh</v>
      </c>
      <c r="AE84" s="171" t="str">
        <f>IF(AE80 &lt; 0.05, "Significant", "Not Significant")</f>
        <v>Significant</v>
      </c>
      <c r="AF84" s="171"/>
    </row>
    <row r="85" spans="20:32" x14ac:dyDescent="0.25">
      <c r="T85" s="105"/>
      <c r="U85" s="105"/>
      <c r="V85">
        <f>W80</f>
        <v>0.33631516434365843</v>
      </c>
      <c r="Z85">
        <f>AA80</f>
        <v>0.45492237063774499</v>
      </c>
      <c r="AD85">
        <f>AE80</f>
        <v>2.3725743453192658E-2</v>
      </c>
    </row>
    <row r="86" spans="20:32" x14ac:dyDescent="0.25">
      <c r="T86" s="105"/>
      <c r="U86" s="105"/>
      <c r="V86" s="196" t="s">
        <v>14</v>
      </c>
      <c r="W86" s="196"/>
      <c r="X86" s="196"/>
      <c r="Y86" s="196"/>
      <c r="Z86" s="196"/>
      <c r="AA86" s="196"/>
      <c r="AB86" s="196"/>
      <c r="AC86" s="196"/>
      <c r="AD86" s="196"/>
      <c r="AE86" s="196"/>
      <c r="AF86" s="196"/>
    </row>
    <row r="87" spans="20:32" x14ac:dyDescent="0.25">
      <c r="T87" s="105"/>
      <c r="U87" s="105"/>
      <c r="V87" s="194" t="s">
        <v>4</v>
      </c>
      <c r="W87" s="194"/>
      <c r="X87" s="194"/>
      <c r="Z87" s="194" t="s">
        <v>5</v>
      </c>
      <c r="AA87" s="194"/>
      <c r="AB87" s="194"/>
      <c r="AD87" s="194" t="s">
        <v>70</v>
      </c>
      <c r="AE87" s="194"/>
      <c r="AF87" s="194"/>
    </row>
    <row r="88" spans="20:32" ht="15.75" thickBot="1" x14ac:dyDescent="0.3">
      <c r="T88" s="105"/>
      <c r="U88" s="105"/>
    </row>
    <row r="89" spans="20:32" x14ac:dyDescent="0.25">
      <c r="T89" s="105"/>
      <c r="U89" s="105"/>
      <c r="V89" s="17"/>
      <c r="W89" s="17" t="s">
        <v>19</v>
      </c>
      <c r="X89" s="17" t="s">
        <v>71</v>
      </c>
      <c r="Z89" s="17"/>
      <c r="AA89" s="17" t="s">
        <v>19</v>
      </c>
      <c r="AB89" s="17" t="s">
        <v>71</v>
      </c>
      <c r="AD89" s="17"/>
      <c r="AE89" s="17" t="s">
        <v>19</v>
      </c>
      <c r="AF89" s="17" t="s">
        <v>71</v>
      </c>
    </row>
    <row r="90" spans="20:32" x14ac:dyDescent="0.25">
      <c r="T90" s="105"/>
      <c r="U90" s="105"/>
      <c r="V90" t="s">
        <v>75</v>
      </c>
      <c r="W90">
        <v>0.36399471014738</v>
      </c>
      <c r="X90">
        <v>0.30541968718171097</v>
      </c>
      <c r="Z90" t="s">
        <v>75</v>
      </c>
      <c r="AA90">
        <v>0.85186120867729132</v>
      </c>
      <c r="AB90">
        <v>0.81143158674240068</v>
      </c>
      <c r="AD90" t="s">
        <v>75</v>
      </c>
      <c r="AE90">
        <v>0.35931050777435247</v>
      </c>
      <c r="AF90">
        <v>0.27903310582041679</v>
      </c>
    </row>
    <row r="91" spans="20:32" x14ac:dyDescent="0.25">
      <c r="T91" s="105"/>
      <c r="U91" s="105"/>
      <c r="V91" t="s">
        <v>76</v>
      </c>
      <c r="W91">
        <v>6.2853085518013163E-3</v>
      </c>
      <c r="X91">
        <v>2.5390296861057351E-3</v>
      </c>
      <c r="Z91" t="s">
        <v>76</v>
      </c>
      <c r="AA91">
        <v>7.7019299323437807E-6</v>
      </c>
      <c r="AB91">
        <v>3.7775602721743071E-4</v>
      </c>
      <c r="AD91" t="s">
        <v>76</v>
      </c>
      <c r="AE91">
        <v>1.4834595794160634E-3</v>
      </c>
      <c r="AF91">
        <v>2.3673045115185642E-3</v>
      </c>
    </row>
    <row r="92" spans="20:32" x14ac:dyDescent="0.25">
      <c r="T92" s="105"/>
      <c r="U92" s="105"/>
      <c r="V92" t="s">
        <v>77</v>
      </c>
      <c r="W92">
        <v>4</v>
      </c>
      <c r="X92">
        <v>4</v>
      </c>
      <c r="Z92" t="s">
        <v>77</v>
      </c>
      <c r="AA92">
        <v>4</v>
      </c>
      <c r="AB92">
        <v>4</v>
      </c>
      <c r="AD92" t="s">
        <v>77</v>
      </c>
      <c r="AE92">
        <v>4</v>
      </c>
      <c r="AF92">
        <v>4</v>
      </c>
    </row>
    <row r="93" spans="20:32" x14ac:dyDescent="0.25">
      <c r="T93" s="105"/>
      <c r="U93" s="105"/>
      <c r="V93" t="s">
        <v>78</v>
      </c>
      <c r="W93">
        <v>0.63809861715574623</v>
      </c>
      <c r="Z93" t="s">
        <v>78</v>
      </c>
      <c r="AA93">
        <v>0.74798118632794763</v>
      </c>
      <c r="AD93" t="s">
        <v>78</v>
      </c>
      <c r="AE93">
        <v>0.31555829496252646</v>
      </c>
    </row>
    <row r="94" spans="20:32" x14ac:dyDescent="0.25">
      <c r="T94" s="105"/>
      <c r="U94" s="105"/>
      <c r="V94" t="s">
        <v>79</v>
      </c>
      <c r="W94">
        <v>0</v>
      </c>
      <c r="Z94" t="s">
        <v>79</v>
      </c>
      <c r="AA94">
        <v>0</v>
      </c>
      <c r="AD94" t="s">
        <v>79</v>
      </c>
      <c r="AE94">
        <v>0</v>
      </c>
    </row>
    <row r="95" spans="20:32" x14ac:dyDescent="0.25">
      <c r="T95" s="105"/>
      <c r="U95" s="105"/>
      <c r="V95" t="s">
        <v>80</v>
      </c>
      <c r="W95">
        <v>3</v>
      </c>
      <c r="Z95" t="s">
        <v>80</v>
      </c>
      <c r="AA95">
        <v>3</v>
      </c>
      <c r="AD95" t="s">
        <v>80</v>
      </c>
      <c r="AE95">
        <v>3</v>
      </c>
    </row>
    <row r="96" spans="20:32" x14ac:dyDescent="0.25">
      <c r="T96" s="105"/>
      <c r="U96" s="105"/>
      <c r="V96" t="s">
        <v>81</v>
      </c>
      <c r="W96">
        <v>1.9191622670085569</v>
      </c>
      <c r="Z96" t="s">
        <v>81</v>
      </c>
      <c r="AA96">
        <v>4.6317581678471722</v>
      </c>
      <c r="AD96" t="s">
        <v>81</v>
      </c>
      <c r="AE96">
        <v>3.1083159583274753</v>
      </c>
    </row>
    <row r="97" spans="20:32" x14ac:dyDescent="0.25">
      <c r="T97" s="105"/>
      <c r="U97" s="105"/>
      <c r="V97" t="s">
        <v>82</v>
      </c>
      <c r="W97">
        <v>7.5380837326377195E-2</v>
      </c>
      <c r="Z97" t="s">
        <v>82</v>
      </c>
      <c r="AA97">
        <v>9.4783982805520268E-3</v>
      </c>
      <c r="AD97" t="s">
        <v>82</v>
      </c>
      <c r="AE97">
        <v>2.6475478184863389E-2</v>
      </c>
    </row>
    <row r="98" spans="20:32" x14ac:dyDescent="0.25">
      <c r="T98" s="105"/>
      <c r="U98" s="105"/>
      <c r="V98" t="s">
        <v>83</v>
      </c>
      <c r="W98">
        <v>2.3533634348018233</v>
      </c>
      <c r="Z98" t="s">
        <v>83</v>
      </c>
      <c r="AA98">
        <v>2.3533634348018233</v>
      </c>
      <c r="AD98" t="s">
        <v>83</v>
      </c>
      <c r="AE98">
        <v>2.3533634348018233</v>
      </c>
    </row>
    <row r="99" spans="20:32" x14ac:dyDescent="0.25">
      <c r="T99" s="105"/>
      <c r="U99" s="105"/>
      <c r="V99" t="s">
        <v>84</v>
      </c>
      <c r="W99">
        <v>0.15076167465275439</v>
      </c>
      <c r="Z99" t="s">
        <v>84</v>
      </c>
      <c r="AA99">
        <v>1.8956796561104054E-2</v>
      </c>
      <c r="AD99" t="s">
        <v>84</v>
      </c>
      <c r="AE99">
        <v>5.2950956369726777E-2</v>
      </c>
    </row>
    <row r="100" spans="20:32" ht="15.75" thickBot="1" x14ac:dyDescent="0.3">
      <c r="T100" s="105"/>
      <c r="U100" s="105"/>
      <c r="V100" s="16" t="s">
        <v>85</v>
      </c>
      <c r="W100" s="16">
        <v>3.1824463052837091</v>
      </c>
      <c r="X100" s="16"/>
      <c r="Z100" s="16" t="s">
        <v>85</v>
      </c>
      <c r="AA100" s="16">
        <v>3.1824463052837091</v>
      </c>
      <c r="AB100" s="16"/>
      <c r="AD100" s="16" t="s">
        <v>85</v>
      </c>
      <c r="AE100" s="16">
        <v>3.1824463052837091</v>
      </c>
      <c r="AF100" s="16"/>
    </row>
    <row r="101" spans="20:32" x14ac:dyDescent="0.25">
      <c r="T101" s="105"/>
      <c r="U101" s="105"/>
      <c r="V101" t="str">
        <f>IF(X90 &gt; W90, "Pretrained &gt; Fresh", "Pretrained &lt; Fresh")</f>
        <v>Pretrained &lt; Fresh</v>
      </c>
      <c r="W101" s="171" t="str">
        <f>IF(W97 &lt; 0.05, "Significant", "Not Significant")</f>
        <v>Not Significant</v>
      </c>
      <c r="X101" s="171"/>
      <c r="Z101" t="str">
        <f>IF(AB90 &gt; AA90, "Pretrained &gt; Fresh", "Pretrained &lt; Fresh")</f>
        <v>Pretrained &lt; Fresh</v>
      </c>
      <c r="AA101" s="171" t="str">
        <f>IF(AA97 &lt; 0.05, "Significant", "Not Significant")</f>
        <v>Significant</v>
      </c>
      <c r="AB101" s="171"/>
      <c r="AD101" t="str">
        <f>IF(AF90 &gt; AE90, "Pretrained &gt; Fresh", "Pretrained &lt; Fresh")</f>
        <v>Pretrained &lt; Fresh</v>
      </c>
      <c r="AE101" s="171" t="str">
        <f>IF(AE97 &lt; 0.05, "Significant", "Not Significant")</f>
        <v>Significant</v>
      </c>
      <c r="AF101" s="171"/>
    </row>
    <row r="102" spans="20:32" x14ac:dyDescent="0.25">
      <c r="T102" s="105"/>
      <c r="U102" s="105"/>
      <c r="V102">
        <f>W97</f>
        <v>7.5380837326377195E-2</v>
      </c>
      <c r="Z102">
        <f>AA97</f>
        <v>9.4783982805520268E-3</v>
      </c>
      <c r="AD102">
        <f>AE97</f>
        <v>2.6475478184863389E-2</v>
      </c>
    </row>
    <row r="103" spans="20:32" x14ac:dyDescent="0.25">
      <c r="V103" s="193" t="s">
        <v>72</v>
      </c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</row>
    <row r="104" spans="20:32" x14ac:dyDescent="0.25">
      <c r="V104" s="194" t="s">
        <v>90</v>
      </c>
      <c r="W104" s="194"/>
      <c r="X104" s="194"/>
      <c r="Z104" s="194" t="s">
        <v>91</v>
      </c>
      <c r="AA104" s="194"/>
      <c r="AB104" s="194"/>
      <c r="AD104" s="194" t="s">
        <v>92</v>
      </c>
      <c r="AE104" s="194"/>
      <c r="AF104" s="194"/>
    </row>
    <row r="105" spans="20:32" ht="15.75" thickBot="1" x14ac:dyDescent="0.3"/>
    <row r="106" spans="20:32" x14ac:dyDescent="0.25">
      <c r="V106" s="17"/>
      <c r="W106" s="17" t="s">
        <v>19</v>
      </c>
      <c r="X106" s="17" t="s">
        <v>71</v>
      </c>
      <c r="Z106" s="17"/>
      <c r="AA106" s="17" t="s">
        <v>19</v>
      </c>
      <c r="AB106" s="17" t="s">
        <v>71</v>
      </c>
      <c r="AD106" s="17"/>
      <c r="AE106" s="17" t="s">
        <v>19</v>
      </c>
      <c r="AF106" s="17" t="s">
        <v>71</v>
      </c>
    </row>
    <row r="107" spans="20:32" x14ac:dyDescent="0.25">
      <c r="V107" t="s">
        <v>75</v>
      </c>
      <c r="W107">
        <v>32</v>
      </c>
      <c r="X107">
        <v>36</v>
      </c>
      <c r="Z107" t="s">
        <v>75</v>
      </c>
      <c r="AA107">
        <v>39.5</v>
      </c>
      <c r="AB107">
        <v>33.5</v>
      </c>
      <c r="AD107" t="s">
        <v>75</v>
      </c>
      <c r="AE107">
        <v>17.75</v>
      </c>
      <c r="AF107">
        <v>18.25</v>
      </c>
    </row>
    <row r="108" spans="20:32" x14ac:dyDescent="0.25">
      <c r="V108" t="s">
        <v>76</v>
      </c>
      <c r="W108">
        <v>29.333333333333332</v>
      </c>
      <c r="X108">
        <v>48.666666666666664</v>
      </c>
      <c r="Z108" t="s">
        <v>76</v>
      </c>
      <c r="AA108">
        <v>139</v>
      </c>
      <c r="AB108">
        <v>65</v>
      </c>
      <c r="AD108" t="s">
        <v>76</v>
      </c>
      <c r="AE108">
        <v>61.583333333333336</v>
      </c>
      <c r="AF108">
        <v>44.25</v>
      </c>
    </row>
    <row r="109" spans="20:32" x14ac:dyDescent="0.25">
      <c r="V109" t="s">
        <v>77</v>
      </c>
      <c r="W109">
        <v>4</v>
      </c>
      <c r="X109">
        <v>4</v>
      </c>
      <c r="Z109" t="s">
        <v>77</v>
      </c>
      <c r="AA109">
        <v>4</v>
      </c>
      <c r="AB109">
        <v>4</v>
      </c>
      <c r="AD109" t="s">
        <v>77</v>
      </c>
      <c r="AE109">
        <v>4</v>
      </c>
      <c r="AF109">
        <v>4</v>
      </c>
    </row>
    <row r="110" spans="20:32" x14ac:dyDescent="0.25">
      <c r="V110" t="s">
        <v>78</v>
      </c>
      <c r="W110">
        <v>-3.5289233662029268E-2</v>
      </c>
      <c r="Z110" t="s">
        <v>78</v>
      </c>
      <c r="AA110">
        <v>-0.90125521383368379</v>
      </c>
      <c r="AD110" t="s">
        <v>78</v>
      </c>
      <c r="AE110">
        <v>-4.9487123893458183E-2</v>
      </c>
    </row>
    <row r="111" spans="20:32" x14ac:dyDescent="0.25">
      <c r="V111" t="s">
        <v>79</v>
      </c>
      <c r="W111">
        <v>0</v>
      </c>
      <c r="Z111" t="s">
        <v>79</v>
      </c>
      <c r="AA111">
        <v>0</v>
      </c>
      <c r="AD111" t="s">
        <v>79</v>
      </c>
      <c r="AE111">
        <v>0</v>
      </c>
    </row>
    <row r="112" spans="20:32" x14ac:dyDescent="0.25">
      <c r="V112" t="s">
        <v>80</v>
      </c>
      <c r="W112">
        <v>3</v>
      </c>
      <c r="Z112" t="s">
        <v>80</v>
      </c>
      <c r="AA112">
        <v>3</v>
      </c>
      <c r="AD112" t="s">
        <v>80</v>
      </c>
      <c r="AE112">
        <v>3</v>
      </c>
    </row>
    <row r="113" spans="22:32" x14ac:dyDescent="0.25">
      <c r="V113" t="s">
        <v>81</v>
      </c>
      <c r="W113">
        <v>-0.89072354283024646</v>
      </c>
      <c r="Z113" t="s">
        <v>81</v>
      </c>
      <c r="AA113">
        <v>0.61940210671632212</v>
      </c>
      <c r="AD113" t="s">
        <v>81</v>
      </c>
      <c r="AE113">
        <v>-9.4915799575249898E-2</v>
      </c>
    </row>
    <row r="114" spans="22:32" x14ac:dyDescent="0.25">
      <c r="V114" t="s">
        <v>82</v>
      </c>
      <c r="W114">
        <v>0.21934873688497597</v>
      </c>
      <c r="Z114" t="s">
        <v>82</v>
      </c>
      <c r="AA114">
        <v>0.28975511985970276</v>
      </c>
      <c r="AD114" t="s">
        <v>82</v>
      </c>
      <c r="AE114">
        <v>0.46518310608851771</v>
      </c>
    </row>
    <row r="115" spans="22:32" x14ac:dyDescent="0.25">
      <c r="V115" t="s">
        <v>83</v>
      </c>
      <c r="W115">
        <v>2.3533634348018233</v>
      </c>
      <c r="Z115" t="s">
        <v>83</v>
      </c>
      <c r="AA115">
        <v>2.3533634348018233</v>
      </c>
      <c r="AD115" t="s">
        <v>83</v>
      </c>
      <c r="AE115">
        <v>2.3533634348018233</v>
      </c>
    </row>
    <row r="116" spans="22:32" x14ac:dyDescent="0.25">
      <c r="V116" t="s">
        <v>84</v>
      </c>
      <c r="W116">
        <v>0.43869747376995194</v>
      </c>
      <c r="Z116" t="s">
        <v>84</v>
      </c>
      <c r="AA116">
        <v>0.57951023971940552</v>
      </c>
      <c r="AD116" t="s">
        <v>84</v>
      </c>
      <c r="AE116">
        <v>0.93036621217703541</v>
      </c>
    </row>
    <row r="117" spans="22:32" ht="15.75" thickBot="1" x14ac:dyDescent="0.3">
      <c r="V117" s="16" t="s">
        <v>85</v>
      </c>
      <c r="W117" s="16">
        <v>3.1824463052837091</v>
      </c>
      <c r="X117" s="16"/>
      <c r="Z117" s="16" t="s">
        <v>85</v>
      </c>
      <c r="AA117" s="16">
        <v>3.1824463052837091</v>
      </c>
      <c r="AB117" s="16"/>
      <c r="AD117" s="16" t="s">
        <v>85</v>
      </c>
      <c r="AE117" s="16">
        <v>3.1824463052837091</v>
      </c>
      <c r="AF117" s="16"/>
    </row>
    <row r="118" spans="22:32" x14ac:dyDescent="0.25">
      <c r="V118" t="str">
        <f>IF(X107 &gt; W107, "Pretrained &gt; Fresh", "Pretrained &lt; Fresh")</f>
        <v>Pretrained &gt; Fresh</v>
      </c>
      <c r="W118" s="171" t="str">
        <f>IF(W114 &lt; 0.05, "Significant", "Not Significant")</f>
        <v>Not Significant</v>
      </c>
      <c r="X118" s="171"/>
      <c r="Z118" t="str">
        <f>IF(AB107 &gt; AA107, "Pretrained &gt; Fresh", "Pretrained &lt; Fresh")</f>
        <v>Pretrained &lt; Fresh</v>
      </c>
      <c r="AA118" s="171" t="str">
        <f>IF(AA114 &lt; 0.05, "Significant", "Not Significant")</f>
        <v>Not Significant</v>
      </c>
      <c r="AB118" s="171"/>
      <c r="AD118" t="str">
        <f>IF(AF107 &gt; AE107, "Pretrained &gt; Fresh", "Pretrained &lt; Fresh")</f>
        <v>Pretrained &gt; Fresh</v>
      </c>
      <c r="AE118" s="171" t="str">
        <f>IF(AE114 &lt; 0.05, "Significant", "Not Significant")</f>
        <v>Not Significant</v>
      </c>
      <c r="AF118" s="171"/>
    </row>
    <row r="119" spans="22:32" x14ac:dyDescent="0.25">
      <c r="V119">
        <f>W114</f>
        <v>0.21934873688497597</v>
      </c>
      <c r="Z119">
        <f>AA114</f>
        <v>0.28975511985970276</v>
      </c>
      <c r="AD119">
        <f>AE114</f>
        <v>0.46518310608851771</v>
      </c>
    </row>
  </sheetData>
  <mergeCells count="70">
    <mergeCell ref="C1:C3"/>
    <mergeCell ref="D1:E1"/>
    <mergeCell ref="F1:K1"/>
    <mergeCell ref="L1:Q1"/>
    <mergeCell ref="A2:A3"/>
    <mergeCell ref="B2:B3"/>
    <mergeCell ref="D2:D3"/>
    <mergeCell ref="E2:E3"/>
    <mergeCell ref="F2:H2"/>
    <mergeCell ref="A4:A15"/>
    <mergeCell ref="B4:B7"/>
    <mergeCell ref="B8:B11"/>
    <mergeCell ref="B12:B15"/>
    <mergeCell ref="A1:B1"/>
    <mergeCell ref="U1:U34"/>
    <mergeCell ref="T1:T102"/>
    <mergeCell ref="V19:X19"/>
    <mergeCell ref="V1:AF1"/>
    <mergeCell ref="I2:K2"/>
    <mergeCell ref="L2:N2"/>
    <mergeCell ref="O2:Q2"/>
    <mergeCell ref="U69:U102"/>
    <mergeCell ref="AE50:AF50"/>
    <mergeCell ref="V52:AF52"/>
    <mergeCell ref="V36:X36"/>
    <mergeCell ref="Z36:AB36"/>
    <mergeCell ref="AD36:AF36"/>
    <mergeCell ref="W67:X67"/>
    <mergeCell ref="AA67:AB67"/>
    <mergeCell ref="AE67:AF67"/>
    <mergeCell ref="V53:X53"/>
    <mergeCell ref="Z53:AB53"/>
    <mergeCell ref="U35:U68"/>
    <mergeCell ref="AE84:AF84"/>
    <mergeCell ref="V86:AF86"/>
    <mergeCell ref="W84:X84"/>
    <mergeCell ref="AA84:AB84"/>
    <mergeCell ref="AD53:AF53"/>
    <mergeCell ref="V69:AF69"/>
    <mergeCell ref="V70:X70"/>
    <mergeCell ref="Z70:AB70"/>
    <mergeCell ref="AD70:AF70"/>
    <mergeCell ref="W101:X101"/>
    <mergeCell ref="AA101:AB101"/>
    <mergeCell ref="AE101:AF101"/>
    <mergeCell ref="V87:X87"/>
    <mergeCell ref="Z87:AB87"/>
    <mergeCell ref="AD87:AF87"/>
    <mergeCell ref="AE33:AF33"/>
    <mergeCell ref="V35:AF35"/>
    <mergeCell ref="W50:X50"/>
    <mergeCell ref="AA50:AB50"/>
    <mergeCell ref="V2:X2"/>
    <mergeCell ref="Z2:AB2"/>
    <mergeCell ref="AD2:AF2"/>
    <mergeCell ref="W16:X16"/>
    <mergeCell ref="AA16:AB16"/>
    <mergeCell ref="AE16:AF16"/>
    <mergeCell ref="V18:AF18"/>
    <mergeCell ref="AD19:AF19"/>
    <mergeCell ref="Z19:AB19"/>
    <mergeCell ref="W33:X33"/>
    <mergeCell ref="AA33:AB33"/>
    <mergeCell ref="V103:AF103"/>
    <mergeCell ref="V104:X104"/>
    <mergeCell ref="Z104:AB104"/>
    <mergeCell ref="AD104:AF104"/>
    <mergeCell ref="W118:X118"/>
    <mergeCell ref="AA118:AB118"/>
    <mergeCell ref="AE118:AF118"/>
  </mergeCells>
  <conditionalFormatting sqref="C25">
    <cfRule type="containsText" dxfId="703" priority="150" operator="containsText" text="FAIL">
      <formula>NOT(ISERROR(SEARCH("FAIL",C25)))</formula>
    </cfRule>
  </conditionalFormatting>
  <conditionalFormatting sqref="C25:D25">
    <cfRule type="cellIs" dxfId="702" priority="149" operator="equal">
      <formula>"REJECT H0"</formula>
    </cfRule>
  </conditionalFormatting>
  <conditionalFormatting sqref="K25">
    <cfRule type="containsText" dxfId="701" priority="146" operator="containsText" text="FAIL">
      <formula>NOT(ISERROR(SEARCH("FAIL",K25)))</formula>
    </cfRule>
  </conditionalFormatting>
  <conditionalFormatting sqref="K25:L25">
    <cfRule type="cellIs" dxfId="700" priority="145" operator="equal">
      <formula>"REJECT H0"</formula>
    </cfRule>
  </conditionalFormatting>
  <conditionalFormatting sqref="V16">
    <cfRule type="containsText" dxfId="699" priority="91" operator="containsText" text="&lt;">
      <formula>NOT(ISERROR(SEARCH("&lt;",V16)))</formula>
    </cfRule>
    <cfRule type="containsText" dxfId="698" priority="92" operator="containsText" text="&gt;">
      <formula>NOT(ISERROR(SEARCH("&gt;",V16)))</formula>
    </cfRule>
  </conditionalFormatting>
  <conditionalFormatting sqref="V33">
    <cfRule type="containsText" dxfId="697" priority="71" operator="containsText" text="&lt;">
      <formula>NOT(ISERROR(SEARCH("&lt;",V33)))</formula>
    </cfRule>
    <cfRule type="containsText" dxfId="696" priority="72" operator="containsText" text="&gt;">
      <formula>NOT(ISERROR(SEARCH("&gt;",V33)))</formula>
    </cfRule>
  </conditionalFormatting>
  <conditionalFormatting sqref="V50">
    <cfRule type="containsText" dxfId="695" priority="59" operator="containsText" text="&lt;">
      <formula>NOT(ISERROR(SEARCH("&lt;",V50)))</formula>
    </cfRule>
    <cfRule type="containsText" dxfId="694" priority="60" operator="containsText" text="&gt;">
      <formula>NOT(ISERROR(SEARCH("&gt;",V50)))</formula>
    </cfRule>
  </conditionalFormatting>
  <conditionalFormatting sqref="V67">
    <cfRule type="containsText" dxfId="693" priority="47" operator="containsText" text="&lt;">
      <formula>NOT(ISERROR(SEARCH("&lt;",V67)))</formula>
    </cfRule>
    <cfRule type="containsText" dxfId="692" priority="48" operator="containsText" text="&gt;">
      <formula>NOT(ISERROR(SEARCH("&gt;",V67)))</formula>
    </cfRule>
  </conditionalFormatting>
  <conditionalFormatting sqref="V84">
    <cfRule type="containsText" dxfId="691" priority="35" operator="containsText" text="&lt;">
      <formula>NOT(ISERROR(SEARCH("&lt;",V84)))</formula>
    </cfRule>
    <cfRule type="containsText" dxfId="690" priority="36" operator="containsText" text="&gt;">
      <formula>NOT(ISERROR(SEARCH("&gt;",V84)))</formula>
    </cfRule>
  </conditionalFormatting>
  <conditionalFormatting sqref="V101">
    <cfRule type="containsText" dxfId="689" priority="23" operator="containsText" text="&lt;">
      <formula>NOT(ISERROR(SEARCH("&lt;",V101)))</formula>
    </cfRule>
    <cfRule type="containsText" dxfId="688" priority="24" operator="containsText" text="&gt;">
      <formula>NOT(ISERROR(SEARCH("&gt;",V101)))</formula>
    </cfRule>
  </conditionalFormatting>
  <conditionalFormatting sqref="V118">
    <cfRule type="containsText" dxfId="687" priority="9" operator="containsText" text="&gt;">
      <formula>NOT(ISERROR(SEARCH("&gt;",V118)))</formula>
    </cfRule>
    <cfRule type="containsText" dxfId="686" priority="10" operator="containsText" text="&lt;">
      <formula>NOT(ISERROR(SEARCH("&lt;",V118)))</formula>
    </cfRule>
  </conditionalFormatting>
  <conditionalFormatting sqref="W16:X16">
    <cfRule type="cellIs" dxfId="685" priority="93" operator="equal">
      <formula>"Significant"</formula>
    </cfRule>
    <cfRule type="containsText" dxfId="684" priority="94" operator="containsText" text="Not">
      <formula>NOT(ISERROR(SEARCH("Not",W16)))</formula>
    </cfRule>
  </conditionalFormatting>
  <conditionalFormatting sqref="W33:X33">
    <cfRule type="cellIs" dxfId="683" priority="73" operator="equal">
      <formula>"Significant"</formula>
    </cfRule>
    <cfRule type="containsText" dxfId="682" priority="74" operator="containsText" text="Not">
      <formula>NOT(ISERROR(SEARCH("Not",W33)))</formula>
    </cfRule>
  </conditionalFormatting>
  <conditionalFormatting sqref="W50:X50">
    <cfRule type="cellIs" dxfId="681" priority="61" operator="equal">
      <formula>"Significant"</formula>
    </cfRule>
    <cfRule type="containsText" dxfId="680" priority="62" operator="containsText" text="Not">
      <formula>NOT(ISERROR(SEARCH("Not",W50)))</formula>
    </cfRule>
  </conditionalFormatting>
  <conditionalFormatting sqref="W67:X67">
    <cfRule type="cellIs" dxfId="679" priority="49" operator="equal">
      <formula>"Significant"</formula>
    </cfRule>
    <cfRule type="containsText" dxfId="678" priority="50" operator="containsText" text="Not">
      <formula>NOT(ISERROR(SEARCH("Not",W67)))</formula>
    </cfRule>
  </conditionalFormatting>
  <conditionalFormatting sqref="W84:X84">
    <cfRule type="cellIs" dxfId="677" priority="37" operator="equal">
      <formula>"Significant"</formula>
    </cfRule>
    <cfRule type="containsText" dxfId="676" priority="38" operator="containsText" text="Not">
      <formula>NOT(ISERROR(SEARCH("Not",W84)))</formula>
    </cfRule>
  </conditionalFormatting>
  <conditionalFormatting sqref="W101:X101">
    <cfRule type="cellIs" dxfId="675" priority="25" operator="equal">
      <formula>"Significant"</formula>
    </cfRule>
    <cfRule type="containsText" dxfId="674" priority="26" operator="containsText" text="Not">
      <formula>NOT(ISERROR(SEARCH("Not",W101)))</formula>
    </cfRule>
  </conditionalFormatting>
  <conditionalFormatting sqref="W118:X118">
    <cfRule type="cellIs" dxfId="673" priority="13" operator="equal">
      <formula>"Significant"</formula>
    </cfRule>
    <cfRule type="containsText" dxfId="672" priority="14" operator="containsText" text="Not">
      <formula>NOT(ISERROR(SEARCH("Not",W118)))</formula>
    </cfRule>
  </conditionalFormatting>
  <conditionalFormatting sqref="Z16">
    <cfRule type="containsText" dxfId="671" priority="79" operator="containsText" text="&lt;">
      <formula>NOT(ISERROR(SEARCH("&lt;",Z16)))</formula>
    </cfRule>
    <cfRule type="containsText" dxfId="670" priority="80" operator="containsText" text="&gt;">
      <formula>NOT(ISERROR(SEARCH("&gt;",Z16)))</formula>
    </cfRule>
  </conditionalFormatting>
  <conditionalFormatting sqref="Z33">
    <cfRule type="containsText" dxfId="669" priority="67" operator="containsText" text="&lt;">
      <formula>NOT(ISERROR(SEARCH("&lt;",Z33)))</formula>
    </cfRule>
    <cfRule type="containsText" dxfId="668" priority="68" operator="containsText" text="&gt;">
      <formula>NOT(ISERROR(SEARCH("&gt;",Z33)))</formula>
    </cfRule>
  </conditionalFormatting>
  <conditionalFormatting sqref="Z50">
    <cfRule type="containsText" dxfId="667" priority="55" operator="containsText" text="&lt;">
      <formula>NOT(ISERROR(SEARCH("&lt;",Z50)))</formula>
    </cfRule>
    <cfRule type="containsText" dxfId="666" priority="56" operator="containsText" text="&gt;">
      <formula>NOT(ISERROR(SEARCH("&gt;",Z50)))</formula>
    </cfRule>
  </conditionalFormatting>
  <conditionalFormatting sqref="Z67">
    <cfRule type="containsText" dxfId="665" priority="43" operator="containsText" text="&lt;">
      <formula>NOT(ISERROR(SEARCH("&lt;",Z67)))</formula>
    </cfRule>
    <cfRule type="containsText" dxfId="664" priority="44" operator="containsText" text="&gt;">
      <formula>NOT(ISERROR(SEARCH("&gt;",Z67)))</formula>
    </cfRule>
  </conditionalFormatting>
  <conditionalFormatting sqref="Z84">
    <cfRule type="containsText" dxfId="663" priority="31" operator="containsText" text="&lt;">
      <formula>NOT(ISERROR(SEARCH("&lt;",Z84)))</formula>
    </cfRule>
    <cfRule type="containsText" dxfId="662" priority="32" operator="containsText" text="&gt;">
      <formula>NOT(ISERROR(SEARCH("&gt;",Z84)))</formula>
    </cfRule>
  </conditionalFormatting>
  <conditionalFormatting sqref="Z101">
    <cfRule type="containsText" dxfId="661" priority="19" operator="containsText" text="&lt;">
      <formula>NOT(ISERROR(SEARCH("&lt;",Z101)))</formula>
    </cfRule>
    <cfRule type="containsText" dxfId="660" priority="20" operator="containsText" text="&gt;">
      <formula>NOT(ISERROR(SEARCH("&gt;",Z101)))</formula>
    </cfRule>
  </conditionalFormatting>
  <conditionalFormatting sqref="Z118">
    <cfRule type="containsText" dxfId="659" priority="5" operator="containsText" text="&gt;">
      <formula>NOT(ISERROR(SEARCH("&gt;",Z118)))</formula>
    </cfRule>
    <cfRule type="containsText" dxfId="658" priority="6" operator="containsText" text="&lt;">
      <formula>NOT(ISERROR(SEARCH("&lt;",Z118)))</formula>
    </cfRule>
  </conditionalFormatting>
  <conditionalFormatting sqref="AA16:AB16">
    <cfRule type="cellIs" dxfId="657" priority="81" operator="equal">
      <formula>"Significant"</formula>
    </cfRule>
    <cfRule type="containsText" dxfId="656" priority="82" operator="containsText" text="Not">
      <formula>NOT(ISERROR(SEARCH("Not",AA16)))</formula>
    </cfRule>
  </conditionalFormatting>
  <conditionalFormatting sqref="AA33:AB33">
    <cfRule type="cellIs" dxfId="655" priority="69" operator="equal">
      <formula>"Significant"</formula>
    </cfRule>
    <cfRule type="containsText" dxfId="654" priority="70" operator="containsText" text="Not">
      <formula>NOT(ISERROR(SEARCH("Not",AA33)))</formula>
    </cfRule>
  </conditionalFormatting>
  <conditionalFormatting sqref="AA50:AB50">
    <cfRule type="cellIs" dxfId="653" priority="57" operator="equal">
      <formula>"Significant"</formula>
    </cfRule>
    <cfRule type="containsText" dxfId="652" priority="58" operator="containsText" text="Not">
      <formula>NOT(ISERROR(SEARCH("Not",AA50)))</formula>
    </cfRule>
  </conditionalFormatting>
  <conditionalFormatting sqref="AA67:AB67">
    <cfRule type="cellIs" dxfId="651" priority="45" operator="equal">
      <formula>"Significant"</formula>
    </cfRule>
    <cfRule type="containsText" dxfId="650" priority="46" operator="containsText" text="Not">
      <formula>NOT(ISERROR(SEARCH("Not",AA67)))</formula>
    </cfRule>
  </conditionalFormatting>
  <conditionalFormatting sqref="AA84:AB84">
    <cfRule type="cellIs" dxfId="649" priority="33" operator="equal">
      <formula>"Significant"</formula>
    </cfRule>
    <cfRule type="containsText" dxfId="648" priority="34" operator="containsText" text="Not">
      <formula>NOT(ISERROR(SEARCH("Not",AA84)))</formula>
    </cfRule>
  </conditionalFormatting>
  <conditionalFormatting sqref="AA101:AB101">
    <cfRule type="cellIs" dxfId="647" priority="21" operator="equal">
      <formula>"Significant"</formula>
    </cfRule>
    <cfRule type="containsText" dxfId="646" priority="22" operator="containsText" text="Not">
      <formula>NOT(ISERROR(SEARCH("Not",AA101)))</formula>
    </cfRule>
  </conditionalFormatting>
  <conditionalFormatting sqref="AA118:AB118">
    <cfRule type="cellIs" dxfId="645" priority="7" operator="equal">
      <formula>"Significant"</formula>
    </cfRule>
    <cfRule type="containsText" dxfId="644" priority="8" operator="containsText" text="Not">
      <formula>NOT(ISERROR(SEARCH("Not",AA118)))</formula>
    </cfRule>
  </conditionalFormatting>
  <conditionalFormatting sqref="AD16">
    <cfRule type="containsText" dxfId="643" priority="75" operator="containsText" text="&lt;">
      <formula>NOT(ISERROR(SEARCH("&lt;",AD16)))</formula>
    </cfRule>
    <cfRule type="containsText" dxfId="642" priority="76" operator="containsText" text="&gt;">
      <formula>NOT(ISERROR(SEARCH("&gt;",AD16)))</formula>
    </cfRule>
  </conditionalFormatting>
  <conditionalFormatting sqref="AD33">
    <cfRule type="containsText" dxfId="641" priority="63" operator="containsText" text="&lt;">
      <formula>NOT(ISERROR(SEARCH("&lt;",AD33)))</formula>
    </cfRule>
    <cfRule type="containsText" dxfId="640" priority="64" operator="containsText" text="&gt;">
      <formula>NOT(ISERROR(SEARCH("&gt;",AD33)))</formula>
    </cfRule>
  </conditionalFormatting>
  <conditionalFormatting sqref="AD50">
    <cfRule type="containsText" dxfId="639" priority="51" operator="containsText" text="&lt;">
      <formula>NOT(ISERROR(SEARCH("&lt;",AD50)))</formula>
    </cfRule>
    <cfRule type="containsText" dxfId="638" priority="52" operator="containsText" text="&gt;">
      <formula>NOT(ISERROR(SEARCH("&gt;",AD50)))</formula>
    </cfRule>
  </conditionalFormatting>
  <conditionalFormatting sqref="AD67">
    <cfRule type="containsText" dxfId="637" priority="39" operator="containsText" text="&lt;">
      <formula>NOT(ISERROR(SEARCH("&lt;",AD67)))</formula>
    </cfRule>
    <cfRule type="containsText" dxfId="636" priority="40" operator="containsText" text="&gt;">
      <formula>NOT(ISERROR(SEARCH("&gt;",AD67)))</formula>
    </cfRule>
  </conditionalFormatting>
  <conditionalFormatting sqref="AD84">
    <cfRule type="containsText" dxfId="635" priority="27" operator="containsText" text="&lt;">
      <formula>NOT(ISERROR(SEARCH("&lt;",AD84)))</formula>
    </cfRule>
    <cfRule type="containsText" dxfId="634" priority="28" operator="containsText" text="&gt;">
      <formula>NOT(ISERROR(SEARCH("&gt;",AD84)))</formula>
    </cfRule>
  </conditionalFormatting>
  <conditionalFormatting sqref="AD101">
    <cfRule type="containsText" dxfId="633" priority="15" operator="containsText" text="&lt;">
      <formula>NOT(ISERROR(SEARCH("&lt;",AD101)))</formula>
    </cfRule>
    <cfRule type="containsText" dxfId="632" priority="16" operator="containsText" text="&gt;">
      <formula>NOT(ISERROR(SEARCH("&gt;",AD101)))</formula>
    </cfRule>
  </conditionalFormatting>
  <conditionalFormatting sqref="AD118">
    <cfRule type="containsText" dxfId="631" priority="1" operator="containsText" text="&gt;">
      <formula>NOT(ISERROR(SEARCH("&gt;",AD118)))</formula>
    </cfRule>
    <cfRule type="containsText" dxfId="630" priority="2" operator="containsText" text="&lt;">
      <formula>NOT(ISERROR(SEARCH("&lt;",AD118)))</formula>
    </cfRule>
  </conditionalFormatting>
  <conditionalFormatting sqref="AE16:AF16">
    <cfRule type="cellIs" dxfId="629" priority="77" operator="equal">
      <formula>"Significant"</formula>
    </cfRule>
    <cfRule type="containsText" dxfId="628" priority="78" operator="containsText" text="Not">
      <formula>NOT(ISERROR(SEARCH("Not",AE16)))</formula>
    </cfRule>
  </conditionalFormatting>
  <conditionalFormatting sqref="AE33:AF33">
    <cfRule type="cellIs" dxfId="627" priority="65" operator="equal">
      <formula>"Significant"</formula>
    </cfRule>
    <cfRule type="containsText" dxfId="626" priority="66" operator="containsText" text="Not">
      <formula>NOT(ISERROR(SEARCH("Not",AE33)))</formula>
    </cfRule>
  </conditionalFormatting>
  <conditionalFormatting sqref="AE50:AF50">
    <cfRule type="cellIs" dxfId="625" priority="53" operator="equal">
      <formula>"Significant"</formula>
    </cfRule>
    <cfRule type="containsText" dxfId="624" priority="54" operator="containsText" text="Not">
      <formula>NOT(ISERROR(SEARCH("Not",AE50)))</formula>
    </cfRule>
  </conditionalFormatting>
  <conditionalFormatting sqref="AE67:AF67">
    <cfRule type="cellIs" dxfId="623" priority="41" operator="equal">
      <formula>"Significant"</formula>
    </cfRule>
    <cfRule type="containsText" dxfId="622" priority="42" operator="containsText" text="Not">
      <formula>NOT(ISERROR(SEARCH("Not",AE67)))</formula>
    </cfRule>
  </conditionalFormatting>
  <conditionalFormatting sqref="AE84:AF84">
    <cfRule type="cellIs" dxfId="621" priority="29" operator="equal">
      <formula>"Significant"</formula>
    </cfRule>
    <cfRule type="containsText" dxfId="620" priority="30" operator="containsText" text="Not">
      <formula>NOT(ISERROR(SEARCH("Not",AE84)))</formula>
    </cfRule>
  </conditionalFormatting>
  <conditionalFormatting sqref="AE101:AF101">
    <cfRule type="cellIs" dxfId="619" priority="17" operator="equal">
      <formula>"Significant"</formula>
    </cfRule>
    <cfRule type="containsText" dxfId="618" priority="18" operator="containsText" text="Not">
      <formula>NOT(ISERROR(SEARCH("Not",AE101)))</formula>
    </cfRule>
  </conditionalFormatting>
  <conditionalFormatting sqref="AE118:AF118">
    <cfRule type="cellIs" dxfId="617" priority="3" operator="equal">
      <formula>"Significant"</formula>
    </cfRule>
    <cfRule type="containsText" dxfId="616" priority="4" operator="containsText" text="Not">
      <formula>NOT(ISERROR(SEARCH("Not",AE118)))</formula>
    </cfRule>
  </conditionalFormatting>
  <pageMargins left="0.25" right="0.25" top="0.75" bottom="0.75" header="0.3" footer="0.3"/>
  <pageSetup paperSize="9" scale="2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B794-6AA1-47FD-98D6-13F5C0AE48EA}">
  <sheetPr>
    <tabColor theme="8" tint="0.39997558519241921"/>
    <pageSetUpPr fitToPage="1"/>
  </sheetPr>
  <dimension ref="A1:AF119"/>
  <sheetViews>
    <sheetView topLeftCell="A15" workbookViewId="0">
      <selection activeCell="P47" sqref="P47"/>
    </sheetView>
  </sheetViews>
  <sheetFormatPr defaultRowHeight="15" x14ac:dyDescent="0.25"/>
  <cols>
    <col min="1" max="1" width="14.5703125" customWidth="1"/>
    <col min="4" max="4" width="13.7109375" customWidth="1"/>
    <col min="5" max="5" width="15.7109375" customWidth="1"/>
    <col min="6" max="17" width="11.42578125" customWidth="1"/>
    <col min="18" max="18" width="5.28515625" customWidth="1"/>
    <col min="19" max="19" width="5.140625" customWidth="1"/>
    <col min="20" max="20" width="14.28515625" customWidth="1"/>
    <col min="22" max="22" width="27.5703125" customWidth="1"/>
    <col min="23" max="23" width="10" customWidth="1"/>
    <col min="25" max="25" width="4.42578125" customWidth="1"/>
    <col min="26" max="26" width="27.85546875" customWidth="1"/>
    <col min="29" max="29" width="4" customWidth="1"/>
    <col min="30" max="30" width="25.28515625" customWidth="1"/>
  </cols>
  <sheetData>
    <row r="1" spans="1:32" x14ac:dyDescent="0.25">
      <c r="A1" s="126" t="s">
        <v>0</v>
      </c>
      <c r="B1" s="128"/>
      <c r="C1" s="126" t="s">
        <v>12</v>
      </c>
      <c r="D1" s="200" t="s">
        <v>72</v>
      </c>
      <c r="E1" s="167"/>
      <c r="F1" s="148" t="s">
        <v>13</v>
      </c>
      <c r="G1" s="115"/>
      <c r="H1" s="115"/>
      <c r="I1" s="115"/>
      <c r="J1" s="115"/>
      <c r="K1" s="116"/>
      <c r="L1" s="117" t="s">
        <v>14</v>
      </c>
      <c r="M1" s="118"/>
      <c r="N1" s="118"/>
      <c r="O1" s="118"/>
      <c r="P1" s="118"/>
      <c r="Q1" s="118"/>
      <c r="T1" s="105" t="s">
        <v>86</v>
      </c>
      <c r="U1" s="105">
        <v>18</v>
      </c>
      <c r="V1" s="195" t="s">
        <v>13</v>
      </c>
      <c r="W1" s="195"/>
      <c r="X1" s="195"/>
      <c r="Y1" s="195"/>
      <c r="Z1" s="195"/>
      <c r="AA1" s="195"/>
      <c r="AB1" s="195"/>
      <c r="AC1" s="195"/>
      <c r="AD1" s="195"/>
      <c r="AE1" s="195"/>
      <c r="AF1" s="195"/>
    </row>
    <row r="2" spans="1:32" x14ac:dyDescent="0.25">
      <c r="A2" s="126" t="s">
        <v>16</v>
      </c>
      <c r="B2" s="128" t="s">
        <v>17</v>
      </c>
      <c r="C2" s="126"/>
      <c r="D2" s="201" t="s">
        <v>73</v>
      </c>
      <c r="E2" s="160" t="s">
        <v>74</v>
      </c>
      <c r="F2" s="197" t="s">
        <v>19</v>
      </c>
      <c r="G2" s="162"/>
      <c r="H2" s="162"/>
      <c r="I2" s="163" t="s">
        <v>71</v>
      </c>
      <c r="J2" s="163"/>
      <c r="K2" s="163"/>
      <c r="L2" s="197" t="s">
        <v>19</v>
      </c>
      <c r="M2" s="162"/>
      <c r="N2" s="162"/>
      <c r="O2" s="163" t="s">
        <v>71</v>
      </c>
      <c r="P2" s="163"/>
      <c r="Q2" s="163"/>
      <c r="T2" s="105"/>
      <c r="U2" s="105"/>
      <c r="V2" s="194" t="s">
        <v>4</v>
      </c>
      <c r="W2" s="194"/>
      <c r="X2" s="194"/>
      <c r="Z2" s="194" t="s">
        <v>5</v>
      </c>
      <c r="AA2" s="194"/>
      <c r="AB2" s="194"/>
      <c r="AD2" s="194" t="s">
        <v>70</v>
      </c>
      <c r="AE2" s="194"/>
      <c r="AF2" s="194"/>
    </row>
    <row r="3" spans="1:32" ht="15.75" thickBot="1" x14ac:dyDescent="0.3">
      <c r="A3" s="127"/>
      <c r="B3" s="129"/>
      <c r="C3" s="127"/>
      <c r="D3" s="202"/>
      <c r="E3" s="161"/>
      <c r="F3" s="13" t="s">
        <v>4</v>
      </c>
      <c r="G3" s="12" t="s">
        <v>5</v>
      </c>
      <c r="H3" s="12" t="s">
        <v>70</v>
      </c>
      <c r="I3" s="13" t="s">
        <v>4</v>
      </c>
      <c r="J3" s="12" t="s">
        <v>5</v>
      </c>
      <c r="K3" s="12" t="s">
        <v>70</v>
      </c>
      <c r="L3" s="13" t="s">
        <v>4</v>
      </c>
      <c r="M3" s="12" t="s">
        <v>5</v>
      </c>
      <c r="N3" s="12" t="s">
        <v>70</v>
      </c>
      <c r="O3" s="13" t="s">
        <v>4</v>
      </c>
      <c r="P3" s="12" t="s">
        <v>5</v>
      </c>
      <c r="Q3" s="12" t="s">
        <v>70</v>
      </c>
      <c r="T3" s="105"/>
      <c r="U3" s="105"/>
    </row>
    <row r="4" spans="1:32" x14ac:dyDescent="0.25">
      <c r="A4" s="105" t="s">
        <v>22</v>
      </c>
      <c r="B4" s="111">
        <v>18</v>
      </c>
      <c r="C4" s="11">
        <f>'Table for t-test'!C16</f>
        <v>1</v>
      </c>
      <c r="D4" s="6">
        <f>'Table for t-test'!D16</f>
        <v>18</v>
      </c>
      <c r="E4" s="11">
        <f>'Table for t-test'!E16</f>
        <v>6</v>
      </c>
      <c r="F4" s="6">
        <f>'Table for t-test'!F16</f>
        <v>0.41237112879753102</v>
      </c>
      <c r="G4" s="6">
        <f>'Table for t-test'!G16</f>
        <v>0.82613962888717596</v>
      </c>
      <c r="H4" s="6">
        <f>'Table for t-test'!H16</f>
        <v>0.37366023659706099</v>
      </c>
      <c r="I4" s="6">
        <f>'Table for t-test'!I16</f>
        <v>0.52173912525177002</v>
      </c>
      <c r="J4" s="6">
        <f>'Table for t-test'!J16</f>
        <v>0.84867036342620805</v>
      </c>
      <c r="K4" s="11">
        <f>'Table for t-test'!K16</f>
        <v>0.49701082706451399</v>
      </c>
      <c r="L4" s="6">
        <f>'Table for t-test'!L16</f>
        <v>0.40601503849029502</v>
      </c>
      <c r="M4" s="6">
        <f>'Table for t-test'!M16</f>
        <v>0.83245998620986905</v>
      </c>
      <c r="N4" s="6">
        <f>'Table for t-test'!N16</f>
        <v>0.38715964555740301</v>
      </c>
      <c r="O4" s="6">
        <f>'Table for t-test'!O16</f>
        <v>0.44370859861373901</v>
      </c>
      <c r="P4" s="6">
        <f>'Table for t-test'!P16</f>
        <v>0.85996675491332997</v>
      </c>
      <c r="Q4" s="11">
        <f>'Table for t-test'!Q16</f>
        <v>0.39321514964103699</v>
      </c>
      <c r="T4" s="105"/>
      <c r="U4" s="105"/>
      <c r="V4" s="17"/>
      <c r="W4" s="17" t="s">
        <v>19</v>
      </c>
      <c r="X4" s="17" t="s">
        <v>71</v>
      </c>
      <c r="Z4" s="17"/>
      <c r="AA4" s="17" t="s">
        <v>19</v>
      </c>
      <c r="AB4" s="17" t="s">
        <v>71</v>
      </c>
      <c r="AD4" s="17"/>
      <c r="AE4" s="17" t="s">
        <v>19</v>
      </c>
      <c r="AF4" s="17" t="s">
        <v>71</v>
      </c>
    </row>
    <row r="5" spans="1:32" x14ac:dyDescent="0.25">
      <c r="A5" s="105"/>
      <c r="B5" s="105"/>
      <c r="C5" s="3">
        <f>'Table for t-test'!C17</f>
        <v>2</v>
      </c>
      <c r="D5">
        <f>'Table for t-test'!D17</f>
        <v>4</v>
      </c>
      <c r="E5" s="3">
        <f>'Table for t-test'!E17</f>
        <v>8</v>
      </c>
      <c r="F5">
        <f>'Table for t-test'!F17</f>
        <v>0.40336135029792702</v>
      </c>
      <c r="G5">
        <f>'Table for t-test'!G17</f>
        <v>0.85889452695846502</v>
      </c>
      <c r="H5">
        <f>'Table for t-test'!H17</f>
        <v>0.35103896260261502</v>
      </c>
      <c r="I5">
        <f>'Table for t-test'!I17</f>
        <v>0.41379311680793701</v>
      </c>
      <c r="J5">
        <f>'Table for t-test'!J17</f>
        <v>0.88900679349899203</v>
      </c>
      <c r="K5" s="3">
        <f>'Table for t-test'!K17</f>
        <v>0.54354256391525202</v>
      </c>
      <c r="L5">
        <f>'Table for t-test'!L17</f>
        <v>0.36213991045951799</v>
      </c>
      <c r="M5">
        <f>'Table for t-test'!M17</f>
        <v>0.813964784145355</v>
      </c>
      <c r="N5">
        <f>'Table for t-test'!N17</f>
        <v>0.27334547042846602</v>
      </c>
      <c r="O5">
        <f>'Table for t-test'!O17</f>
        <v>0.39779004454612699</v>
      </c>
      <c r="P5">
        <f>'Table for t-test'!P17</f>
        <v>0.86401391029357899</v>
      </c>
      <c r="Q5" s="3">
        <f>'Table for t-test'!Q17</f>
        <v>0.44246089458465498</v>
      </c>
      <c r="T5" s="105"/>
      <c r="U5" s="105"/>
      <c r="V5" t="s">
        <v>75</v>
      </c>
      <c r="W5">
        <v>0.41128449887037227</v>
      </c>
      <c r="X5">
        <v>0.46814570575952474</v>
      </c>
      <c r="Z5" t="s">
        <v>75</v>
      </c>
      <c r="AA5">
        <v>0.84894847869873002</v>
      </c>
      <c r="AB5">
        <v>0.86854425072669927</v>
      </c>
      <c r="AD5" t="s">
        <v>75</v>
      </c>
      <c r="AE5">
        <v>0.39053112268447854</v>
      </c>
      <c r="AF5">
        <v>0.49195814132690374</v>
      </c>
    </row>
    <row r="6" spans="1:32" x14ac:dyDescent="0.25">
      <c r="A6" s="105"/>
      <c r="B6" s="105"/>
      <c r="C6" s="3">
        <f>'Table for t-test'!C18</f>
        <v>3</v>
      </c>
      <c r="D6">
        <f>'Table for t-test'!D18</f>
        <v>24</v>
      </c>
      <c r="E6" s="3">
        <f>'Table for t-test'!E18</f>
        <v>6</v>
      </c>
      <c r="F6">
        <f>'Table for t-test'!F18</f>
        <v>0.37442922592163003</v>
      </c>
      <c r="G6">
        <f>'Table for t-test'!G18</f>
        <v>0.846088826656341</v>
      </c>
      <c r="H6">
        <f>'Table for t-test'!H18</f>
        <v>0.34211677312850902</v>
      </c>
      <c r="I6">
        <f>'Table for t-test'!I18</f>
        <v>0.46540880203246998</v>
      </c>
      <c r="J6">
        <f>'Table for t-test'!J18</f>
        <v>0.84707576036453203</v>
      </c>
      <c r="K6" s="3">
        <f>'Table for t-test'!K18</f>
        <v>0.42528277635574302</v>
      </c>
      <c r="L6">
        <f>'Table for t-test'!L18</f>
        <v>0.33333334326744002</v>
      </c>
      <c r="M6">
        <f>'Table for t-test'!M18</f>
        <v>0.82397317886352495</v>
      </c>
      <c r="N6">
        <f>'Table for t-test'!N18</f>
        <v>0.33387562632560702</v>
      </c>
      <c r="O6">
        <f>'Table for t-test'!O18</f>
        <v>0.401129931211471</v>
      </c>
      <c r="P6">
        <f>'Table for t-test'!P18</f>
        <v>0.86666423082351596</v>
      </c>
      <c r="Q6" s="3">
        <f>'Table for t-test'!Q18</f>
        <v>0.392840266227722</v>
      </c>
      <c r="T6" s="105"/>
      <c r="U6" s="105"/>
      <c r="V6" t="s">
        <v>76</v>
      </c>
      <c r="W6">
        <v>1.1104136149073238E-3</v>
      </c>
      <c r="X6">
        <v>1.9487239027826152E-3</v>
      </c>
      <c r="Z6" t="s">
        <v>76</v>
      </c>
      <c r="AA6">
        <v>2.9151355417885702E-4</v>
      </c>
      <c r="AB6">
        <v>5.7018354553997933E-4</v>
      </c>
      <c r="AD6" t="s">
        <v>76</v>
      </c>
      <c r="AE6">
        <v>5.055503134399804E-3</v>
      </c>
      <c r="AF6">
        <v>2.4109510591495934E-3</v>
      </c>
    </row>
    <row r="7" spans="1:32" x14ac:dyDescent="0.25">
      <c r="A7" s="105"/>
      <c r="B7" s="107"/>
      <c r="C7" s="8">
        <f>'Table for t-test'!C19</f>
        <v>4</v>
      </c>
      <c r="D7" s="7">
        <f>'Table for t-test'!D19</f>
        <v>29</v>
      </c>
      <c r="E7" s="8">
        <f>'Table for t-test'!E19</f>
        <v>8</v>
      </c>
      <c r="F7" s="7">
        <f>'Table for t-test'!F19</f>
        <v>0.45497629046440102</v>
      </c>
      <c r="G7" s="7">
        <f>'Table for t-test'!G19</f>
        <v>0.86467093229293801</v>
      </c>
      <c r="H7" s="7">
        <f>'Table for t-test'!H19</f>
        <v>0.495308518409729</v>
      </c>
      <c r="I7" s="7">
        <f>'Table for t-test'!I19</f>
        <v>0.47164177894592202</v>
      </c>
      <c r="J7" s="7">
        <f>'Table for t-test'!J19</f>
        <v>0.88942408561706499</v>
      </c>
      <c r="K7" s="8">
        <f>'Table for t-test'!K19</f>
        <v>0.50199639797210605</v>
      </c>
      <c r="L7" s="7">
        <f>'Table for t-test'!L19</f>
        <v>0.374502003192901</v>
      </c>
      <c r="M7" s="7">
        <f>'Table for t-test'!M19</f>
        <v>0.812730312347412</v>
      </c>
      <c r="N7" s="7">
        <f>'Table for t-test'!N19</f>
        <v>0.34888857603073098</v>
      </c>
      <c r="O7" s="7">
        <f>'Table for t-test'!O19</f>
        <v>0.40000000596046398</v>
      </c>
      <c r="P7" s="7">
        <f>'Table for t-test'!P19</f>
        <v>0.87003928422927801</v>
      </c>
      <c r="Q7" s="8">
        <f>'Table for t-test'!Q19</f>
        <v>0.42728608846664401</v>
      </c>
      <c r="T7" s="105"/>
      <c r="U7" s="105"/>
      <c r="V7" t="s">
        <v>77</v>
      </c>
      <c r="W7">
        <v>4</v>
      </c>
      <c r="X7">
        <v>4</v>
      </c>
      <c r="Z7" t="s">
        <v>77</v>
      </c>
      <c r="AA7">
        <v>4</v>
      </c>
      <c r="AB7">
        <v>4</v>
      </c>
      <c r="AD7" t="s">
        <v>77</v>
      </c>
      <c r="AE7">
        <v>4</v>
      </c>
      <c r="AF7">
        <v>4</v>
      </c>
    </row>
    <row r="8" spans="1:32" x14ac:dyDescent="0.25">
      <c r="A8" s="105"/>
      <c r="B8" s="103">
        <v>34</v>
      </c>
      <c r="C8" s="10">
        <f>'Table for t-test'!C20</f>
        <v>1</v>
      </c>
      <c r="D8" s="9">
        <f>'Table for t-test'!D20</f>
        <v>24</v>
      </c>
      <c r="E8" s="10">
        <f>'Table for t-test'!E20</f>
        <v>3</v>
      </c>
      <c r="F8" s="9">
        <f>'Table for t-test'!F20</f>
        <v>0.43097642064094499</v>
      </c>
      <c r="G8" s="9">
        <f>'Table for t-test'!G20</f>
        <v>0.84165871143340998</v>
      </c>
      <c r="H8" s="9">
        <f>'Table for t-test'!H20</f>
        <v>0.37042039632797202</v>
      </c>
      <c r="I8" s="9">
        <f>'Table for t-test'!I20</f>
        <v>0.48135593533515902</v>
      </c>
      <c r="J8" s="9">
        <f>'Table for t-test'!J20</f>
        <v>0.85361671447753895</v>
      </c>
      <c r="K8" s="10">
        <f>'Table for t-test'!K20</f>
        <v>0.38477489352226202</v>
      </c>
      <c r="L8" s="9">
        <f>'Table for t-test'!L20</f>
        <v>0.44518271088600098</v>
      </c>
      <c r="M8" s="9">
        <f>'Table for t-test'!M20</f>
        <v>0.83746600151062001</v>
      </c>
      <c r="N8" s="9">
        <f>'Table for t-test'!N20</f>
        <v>0.35077840089797901</v>
      </c>
      <c r="O8" s="9">
        <f>'Table for t-test'!O20</f>
        <v>0.44444444775581299</v>
      </c>
      <c r="P8" s="9">
        <f>'Table for t-test'!P20</f>
        <v>0.84364998340606601</v>
      </c>
      <c r="Q8" s="10">
        <f>'Table for t-test'!Q20</f>
        <v>0.351035356521606</v>
      </c>
      <c r="T8" s="105"/>
      <c r="U8" s="105"/>
      <c r="V8" t="s">
        <v>78</v>
      </c>
      <c r="W8">
        <v>0.16825074912573079</v>
      </c>
      <c r="Z8" t="s">
        <v>78</v>
      </c>
      <c r="AA8">
        <v>0.85561787493452546</v>
      </c>
      <c r="AD8" t="s">
        <v>78</v>
      </c>
      <c r="AE8">
        <v>0.2059840940353295</v>
      </c>
    </row>
    <row r="9" spans="1:32" x14ac:dyDescent="0.25">
      <c r="A9" s="105"/>
      <c r="B9" s="105"/>
      <c r="C9" s="3">
        <f>'Table for t-test'!C21</f>
        <v>2</v>
      </c>
      <c r="D9">
        <f>'Table for t-test'!D21</f>
        <v>31</v>
      </c>
      <c r="E9" s="3">
        <f>'Table for t-test'!E21</f>
        <v>20</v>
      </c>
      <c r="F9">
        <f>'Table for t-test'!F21</f>
        <v>0.45736435055732699</v>
      </c>
      <c r="G9">
        <f>'Table for t-test'!G21</f>
        <v>0.86739140748977595</v>
      </c>
      <c r="H9">
        <f>'Table for t-test'!H21</f>
        <v>0.45576864480972201</v>
      </c>
      <c r="I9">
        <f>'Table for t-test'!I21</f>
        <v>0.48868778347969</v>
      </c>
      <c r="J9">
        <f>'Table for t-test'!J21</f>
        <v>0.89228439331054599</v>
      </c>
      <c r="K9" s="3">
        <f>'Table for t-test'!K21</f>
        <v>0.52881020307540805</v>
      </c>
      <c r="L9">
        <f>'Table for t-test'!L21</f>
        <v>0.33707866072654702</v>
      </c>
      <c r="M9">
        <f>'Table for t-test'!M21</f>
        <v>0.80572330951690596</v>
      </c>
      <c r="N9">
        <f>'Table for t-test'!N21</f>
        <v>0.30210384726524298</v>
      </c>
      <c r="O9">
        <f>'Table for t-test'!O21</f>
        <v>0.460317462682724</v>
      </c>
      <c r="P9">
        <f>'Table for t-test'!P21</f>
        <v>0.86284357309341397</v>
      </c>
      <c r="Q9" s="3">
        <f>'Table for t-test'!Q21</f>
        <v>0.40798449516296298</v>
      </c>
      <c r="T9" s="105"/>
      <c r="U9" s="105"/>
      <c r="V9" t="s">
        <v>79</v>
      </c>
      <c r="W9">
        <v>0</v>
      </c>
      <c r="Z9" t="s">
        <v>79</v>
      </c>
      <c r="AA9">
        <v>0</v>
      </c>
      <c r="AD9" t="s">
        <v>79</v>
      </c>
      <c r="AE9">
        <v>0</v>
      </c>
    </row>
    <row r="10" spans="1:32" x14ac:dyDescent="0.25">
      <c r="A10" s="105"/>
      <c r="B10" s="105"/>
      <c r="C10" s="3">
        <f>'Table for t-test'!C22</f>
        <v>3</v>
      </c>
      <c r="D10">
        <f>'Table for t-test'!D22</f>
        <v>45</v>
      </c>
      <c r="E10" s="3">
        <f>'Table for t-test'!E22</f>
        <v>10</v>
      </c>
      <c r="F10">
        <f>'Table for t-test'!F22</f>
        <v>0.47926267981529203</v>
      </c>
      <c r="G10">
        <f>'Table for t-test'!G22</f>
        <v>0.85060513019561701</v>
      </c>
      <c r="H10">
        <f>'Table for t-test'!H22</f>
        <v>0.44406235218048001</v>
      </c>
      <c r="I10">
        <f>'Table for t-test'!I22</f>
        <v>0.37037035822868303</v>
      </c>
      <c r="J10">
        <f>'Table for t-test'!J22</f>
        <v>0.86327779293060303</v>
      </c>
      <c r="K10" s="3">
        <f>'Table for t-test'!K22</f>
        <v>0.42630520462989802</v>
      </c>
      <c r="L10">
        <f>'Table for t-test'!L22</f>
        <v>0.38709676265716497</v>
      </c>
      <c r="M10">
        <f>'Table for t-test'!M22</f>
        <v>0.82949256896972601</v>
      </c>
      <c r="N10">
        <f>'Table for t-test'!N22</f>
        <v>0.378551036119461</v>
      </c>
      <c r="O10">
        <f>'Table for t-test'!O22</f>
        <v>0.31707316637039101</v>
      </c>
      <c r="P10">
        <f>'Table for t-test'!P22</f>
        <v>0.85711264610290505</v>
      </c>
      <c r="Q10" s="3">
        <f>'Table for t-test'!Q22</f>
        <v>0.405340135097503</v>
      </c>
      <c r="T10" s="105"/>
      <c r="U10" s="105"/>
      <c r="V10" t="s">
        <v>80</v>
      </c>
      <c r="W10">
        <v>3</v>
      </c>
      <c r="Z10" t="s">
        <v>80</v>
      </c>
      <c r="AA10">
        <v>3</v>
      </c>
      <c r="AD10" t="s">
        <v>80</v>
      </c>
      <c r="AE10">
        <v>3</v>
      </c>
    </row>
    <row r="11" spans="1:32" x14ac:dyDescent="0.25">
      <c r="A11" s="105"/>
      <c r="B11" s="107"/>
      <c r="C11" s="8">
        <f>'Table for t-test'!C23</f>
        <v>4</v>
      </c>
      <c r="D11" s="7">
        <f>'Table for t-test'!D23</f>
        <v>20</v>
      </c>
      <c r="E11" s="8">
        <f>'Table for t-test'!E23</f>
        <v>31</v>
      </c>
      <c r="F11" s="7">
        <f>'Table for t-test'!F23</f>
        <v>0.46231156587600702</v>
      </c>
      <c r="G11" s="7">
        <f>'Table for t-test'!G23</f>
        <v>0.86663621664047197</v>
      </c>
      <c r="H11" s="7">
        <f>'Table for t-test'!H23</f>
        <v>0.51087421178817705</v>
      </c>
      <c r="I11" s="7">
        <f>'Table for t-test'!I23</f>
        <v>0.50847458839416504</v>
      </c>
      <c r="J11" s="7">
        <f>'Table for t-test'!J23</f>
        <v>0.89585912227630604</v>
      </c>
      <c r="K11" s="8">
        <f>'Table for t-test'!K23</f>
        <v>0.49422031641006398</v>
      </c>
      <c r="L11" s="7">
        <f>'Table for t-test'!L23</f>
        <v>0.370731711387634</v>
      </c>
      <c r="M11" s="7">
        <f>'Table for t-test'!M23</f>
        <v>0.83450627326965299</v>
      </c>
      <c r="N11" s="7">
        <f>'Table for t-test'!N23</f>
        <v>0.36765474081039401</v>
      </c>
      <c r="O11" s="7">
        <f>'Table for t-test'!O23</f>
        <v>0.431095391511917</v>
      </c>
      <c r="P11" s="7">
        <f>'Table for t-test'!P23</f>
        <v>0.84563577175140303</v>
      </c>
      <c r="Q11" s="8">
        <f>'Table for t-test'!Q23</f>
        <v>0.38255935907363797</v>
      </c>
      <c r="T11" s="105"/>
      <c r="U11" s="105"/>
      <c r="V11" t="s">
        <v>81</v>
      </c>
      <c r="W11">
        <v>-2.2458220917985887</v>
      </c>
      <c r="Z11" t="s">
        <v>81</v>
      </c>
      <c r="AA11">
        <v>-3.0600403563792402</v>
      </c>
      <c r="AD11" t="s">
        <v>81</v>
      </c>
      <c r="AE11">
        <v>-2.6127048820945591</v>
      </c>
    </row>
    <row r="12" spans="1:32" x14ac:dyDescent="0.25">
      <c r="A12" s="105"/>
      <c r="B12" s="103">
        <v>50</v>
      </c>
      <c r="C12" s="10">
        <f>'Table for t-test'!C24</f>
        <v>1</v>
      </c>
      <c r="D12" s="9">
        <f>'Table for t-test'!D24</f>
        <v>13</v>
      </c>
      <c r="E12" s="10">
        <f>'Table for t-test'!E24</f>
        <v>20</v>
      </c>
      <c r="F12" s="9">
        <f>'Table for t-test'!F24</f>
        <v>0.41481480002403198</v>
      </c>
      <c r="G12" s="9">
        <f>'Table for t-test'!G24</f>
        <v>0.825838923454284</v>
      </c>
      <c r="H12" s="9">
        <f>'Table for t-test'!H24</f>
        <v>0.42227467894554099</v>
      </c>
      <c r="I12" s="9">
        <f>'Table for t-test'!I24</f>
        <v>0.430894315242767</v>
      </c>
      <c r="J12" s="9">
        <f>'Table for t-test'!J24</f>
        <v>0.85489863157272294</v>
      </c>
      <c r="K12" s="10">
        <f>'Table for t-test'!K24</f>
        <v>0.382311850786209</v>
      </c>
      <c r="L12" s="9">
        <f>'Table for t-test'!L24</f>
        <v>0.40701752901077198</v>
      </c>
      <c r="M12" s="9">
        <f>'Table for t-test'!M24</f>
        <v>0.86419510841369596</v>
      </c>
      <c r="N12" s="9">
        <f>'Table for t-test'!N24</f>
        <v>0.38425895571708601</v>
      </c>
      <c r="O12" s="9">
        <f>'Table for t-test'!O24</f>
        <v>0.47191011905670099</v>
      </c>
      <c r="P12" s="9">
        <f>'Table for t-test'!P24</f>
        <v>0.85637271404266302</v>
      </c>
      <c r="Q12" s="10">
        <f>'Table for t-test'!Q24</f>
        <v>0.49981117248535101</v>
      </c>
      <c r="T12" s="105"/>
      <c r="U12" s="105"/>
      <c r="V12" t="s">
        <v>82</v>
      </c>
      <c r="W12">
        <v>5.5182153723112963E-2</v>
      </c>
      <c r="Z12" t="s">
        <v>82</v>
      </c>
      <c r="AA12">
        <v>2.7495650403104505E-2</v>
      </c>
      <c r="AD12" t="s">
        <v>82</v>
      </c>
      <c r="AE12">
        <v>3.974968517575786E-2</v>
      </c>
    </row>
    <row r="13" spans="1:32" x14ac:dyDescent="0.25">
      <c r="A13" s="105"/>
      <c r="B13" s="105"/>
      <c r="C13" s="3">
        <f>'Table for t-test'!C25</f>
        <v>2</v>
      </c>
      <c r="D13">
        <f>'Table for t-test'!D25</f>
        <v>25</v>
      </c>
      <c r="E13" s="3">
        <f>'Table for t-test'!E25</f>
        <v>4</v>
      </c>
      <c r="F13">
        <f>'Table for t-test'!F25</f>
        <v>0.34920635819435097</v>
      </c>
      <c r="G13">
        <f>'Table for t-test'!G25</f>
        <v>0.85023266077041604</v>
      </c>
      <c r="H13">
        <f>'Table for t-test'!H25</f>
        <v>0.41191568970680198</v>
      </c>
      <c r="I13">
        <f>'Table for t-test'!I25</f>
        <v>0.48760330677032399</v>
      </c>
      <c r="J13">
        <f>'Table for t-test'!J25</f>
        <v>0.90357160568237305</v>
      </c>
      <c r="K13" s="3">
        <f>'Table for t-test'!K25</f>
        <v>0.49297505617141701</v>
      </c>
      <c r="L13">
        <f>'Table for t-test'!L25</f>
        <v>0.34146341681480402</v>
      </c>
      <c r="M13">
        <f>'Table for t-test'!M25</f>
        <v>0.80423593521118097</v>
      </c>
      <c r="N13">
        <f>'Table for t-test'!N25</f>
        <v>0.30751499533653198</v>
      </c>
      <c r="O13">
        <f>'Table for t-test'!O25</f>
        <v>0.41245135664939803</v>
      </c>
      <c r="P13">
        <f>'Table for t-test'!P25</f>
        <v>0.85785257816314697</v>
      </c>
      <c r="Q13" s="3">
        <f>'Table for t-test'!Q25</f>
        <v>0.37971735000610302</v>
      </c>
      <c r="T13" s="105"/>
      <c r="U13" s="105"/>
      <c r="V13" t="s">
        <v>83</v>
      </c>
      <c r="W13">
        <v>2.3533634348018233</v>
      </c>
      <c r="Z13" t="s">
        <v>83</v>
      </c>
      <c r="AA13">
        <v>2.3533634348018233</v>
      </c>
      <c r="AD13" t="s">
        <v>83</v>
      </c>
      <c r="AE13">
        <v>2.3533634348018233</v>
      </c>
    </row>
    <row r="14" spans="1:32" x14ac:dyDescent="0.25">
      <c r="A14" s="105"/>
      <c r="B14" s="105"/>
      <c r="C14" s="3">
        <f>'Table for t-test'!C26</f>
        <v>3</v>
      </c>
      <c r="D14">
        <f>'Table for t-test'!D26</f>
        <v>29</v>
      </c>
      <c r="E14" s="3">
        <f>'Table for t-test'!E26</f>
        <v>9</v>
      </c>
      <c r="F14">
        <f>'Table for t-test'!F26</f>
        <v>0.35532996058464</v>
      </c>
      <c r="G14">
        <f>'Table for t-test'!G26</f>
        <v>0.84073555469512895</v>
      </c>
      <c r="H14">
        <f>'Table for t-test'!H26</f>
        <v>0.41208741068839999</v>
      </c>
      <c r="I14">
        <f>'Table for t-test'!I26</f>
        <v>0.48068669438362099</v>
      </c>
      <c r="J14">
        <f>'Table for t-test'!J26</f>
        <v>0.85838246345519997</v>
      </c>
      <c r="K14" s="3">
        <f>'Table for t-test'!K26</f>
        <v>0.48779803514480502</v>
      </c>
      <c r="L14">
        <f>'Table for t-test'!L26</f>
        <v>0.31067961454391402</v>
      </c>
      <c r="M14">
        <f>'Table for t-test'!M26</f>
        <v>0.80970251560211104</v>
      </c>
      <c r="N14">
        <f>'Table for t-test'!N26</f>
        <v>0.29779574275016701</v>
      </c>
      <c r="O14">
        <f>'Table for t-test'!O26</f>
        <v>0.453237414360046</v>
      </c>
      <c r="P14">
        <f>'Table for t-test'!P26</f>
        <v>0.86078971624374301</v>
      </c>
      <c r="Q14" s="3">
        <f>'Table for t-test'!Q26</f>
        <v>0.46594262123107899</v>
      </c>
      <c r="T14" s="105"/>
      <c r="U14" s="105"/>
      <c r="V14" t="s">
        <v>84</v>
      </c>
      <c r="W14">
        <v>0.11036430744622593</v>
      </c>
      <c r="Z14" t="s">
        <v>84</v>
      </c>
      <c r="AA14">
        <v>5.4991300806209009E-2</v>
      </c>
      <c r="AD14" t="s">
        <v>84</v>
      </c>
      <c r="AE14">
        <v>7.9499370351515719E-2</v>
      </c>
    </row>
    <row r="15" spans="1:32" ht="15.75" thickBot="1" x14ac:dyDescent="0.3">
      <c r="A15" s="107"/>
      <c r="B15" s="107"/>
      <c r="C15" s="8">
        <f>'Table for t-test'!C27</f>
        <v>4</v>
      </c>
      <c r="D15" s="7">
        <f>'Table for t-test'!D27</f>
        <v>16</v>
      </c>
      <c r="E15" s="8">
        <f>'Table for t-test'!E27</f>
        <v>8</v>
      </c>
      <c r="F15" s="7">
        <f>'Table for t-test'!F27</f>
        <v>0.46486485004424999</v>
      </c>
      <c r="G15" s="7">
        <f>'Table for t-test'!G27</f>
        <v>0.88147175312042203</v>
      </c>
      <c r="H15" s="7">
        <f>'Table for t-test'!H27</f>
        <v>0.49897056818008401</v>
      </c>
      <c r="I15" s="7">
        <f>'Table for t-test'!I27</f>
        <v>0.47468355298042297</v>
      </c>
      <c r="J15" s="7">
        <f>'Table for t-test'!J27</f>
        <v>0.89904934167861905</v>
      </c>
      <c r="K15" s="8">
        <f>'Table for t-test'!K27</f>
        <v>0.48348343372344899</v>
      </c>
      <c r="L15" s="7">
        <f>'Table for t-test'!L27</f>
        <v>0.33980581164360002</v>
      </c>
      <c r="M15" s="7">
        <f>'Table for t-test'!M27</f>
        <v>0.83089709281921298</v>
      </c>
      <c r="N15" s="7">
        <f>'Table for t-test'!N27</f>
        <v>0.316507518291473</v>
      </c>
      <c r="O15" s="7">
        <f>'Table for t-test'!O27</f>
        <v>0.434782594442367</v>
      </c>
      <c r="P15" s="7">
        <f>'Table for t-test'!P27</f>
        <v>0.87798994779586703</v>
      </c>
      <c r="Q15" s="8">
        <f>'Table for t-test'!Q27</f>
        <v>0.39214628934860202</v>
      </c>
      <c r="T15" s="105"/>
      <c r="U15" s="105"/>
      <c r="V15" s="16" t="s">
        <v>85</v>
      </c>
      <c r="W15" s="16">
        <v>3.1824463052837091</v>
      </c>
      <c r="X15" s="16"/>
      <c r="Z15" s="16" t="s">
        <v>85</v>
      </c>
      <c r="AA15" s="16">
        <v>3.1824463052837091</v>
      </c>
      <c r="AB15" s="16"/>
      <c r="AD15" s="16" t="s">
        <v>85</v>
      </c>
      <c r="AE15" s="16">
        <v>3.1824463052837091</v>
      </c>
      <c r="AF15" s="16"/>
    </row>
    <row r="16" spans="1:32" x14ac:dyDescent="0.25">
      <c r="A16" s="111" t="s">
        <v>18</v>
      </c>
      <c r="B16" s="111">
        <v>18</v>
      </c>
      <c r="C16" cm="1">
        <f t="array" ref="C16:C27">'Medicalnet t-test'!C4:C15</f>
        <v>1</v>
      </c>
      <c r="D16" cm="1">
        <f t="array" ref="D16:D27">'Medicalnet t-test'!D4:D15</f>
        <v>34</v>
      </c>
      <c r="E16" cm="1">
        <f t="array" ref="E16:E27">'Medicalnet t-test'!E4:E15</f>
        <v>26</v>
      </c>
      <c r="F16" cm="1">
        <f t="array" ref="F16:F27">'Medicalnet t-test'!F4:F15</f>
        <v>0.39072847366333002</v>
      </c>
      <c r="G16" cm="1">
        <f t="array" ref="G16:G27">'Medicalnet t-test'!G4:G15</f>
        <v>0.82061576843261697</v>
      </c>
      <c r="H16" cm="1">
        <f t="array" ref="H16:H27">'Medicalnet t-test'!H4:H15</f>
        <v>0.29654428362846302</v>
      </c>
      <c r="I16" cm="1">
        <f t="array" ref="I16:I27">'Medicalnet t-test'!I4:I15</f>
        <v>0.44055944681167603</v>
      </c>
      <c r="J16" cm="1">
        <f t="array" ref="J16:J27">'Medicalnet t-test'!J4:J15</f>
        <v>0.82682806253433205</v>
      </c>
      <c r="K16" cm="1">
        <f t="array" ref="K16:K27">'Medicalnet t-test'!K4:K15</f>
        <v>0.373557448387146</v>
      </c>
      <c r="L16" cm="1">
        <f t="array" ref="L16:L27">'Medicalnet t-test'!L4:L15</f>
        <v>0.40540540218353199</v>
      </c>
      <c r="M16" cm="1">
        <f t="array" ref="M16:M27">'Medicalnet t-test'!M4:M15</f>
        <v>0.84757626056671098</v>
      </c>
      <c r="N16" cm="1">
        <f t="array" ref="N16:N27">'Medicalnet t-test'!N4:N15</f>
        <v>0.37488147616386402</v>
      </c>
      <c r="O16" cm="1">
        <f t="array" ref="O16:O27">'Medicalnet t-test'!O4:O15</f>
        <v>0.39464882016181901</v>
      </c>
      <c r="P16" cm="1">
        <f t="array" ref="P16:P27">'Medicalnet t-test'!P4:P15</f>
        <v>0.81551653146743697</v>
      </c>
      <c r="Q16" cm="1">
        <f t="array" ref="Q16:Q27">'Medicalnet t-test'!Q4:Q15</f>
        <v>0.35379672050476002</v>
      </c>
      <c r="T16" s="105"/>
      <c r="U16" s="105"/>
      <c r="V16" t="str">
        <f>IF(X5 &gt; W5, "Pretrained &gt; Fresh", "Pretrained &lt; Fresh")</f>
        <v>Pretrained &gt; Fresh</v>
      </c>
      <c r="W16" s="171" t="str">
        <f>IF(W12 &lt; 0.05, "Significant", "Not Significant")</f>
        <v>Not Significant</v>
      </c>
      <c r="X16" s="171"/>
      <c r="Z16" t="str">
        <f>IF(AB5 &gt; AA5, "Pretrained &gt; Fresh", "Pretrained &lt; Fresh")</f>
        <v>Pretrained &gt; Fresh</v>
      </c>
      <c r="AA16" s="171" t="str">
        <f>IF(AA12 &lt; 0.05, "Significant", "Not Significant")</f>
        <v>Significant</v>
      </c>
      <c r="AB16" s="171"/>
      <c r="AD16" t="str">
        <f>IF(AF5 &gt; AE5, "Pretrained &gt; Fresh", "Pretrained &lt; Fresh")</f>
        <v>Pretrained &gt; Fresh</v>
      </c>
      <c r="AE16" s="171" t="str">
        <f>IF(AE12 &lt; 0.05, "Significant", "Not Significant")</f>
        <v>Significant</v>
      </c>
      <c r="AF16" s="171"/>
    </row>
    <row r="17" spans="1:32" x14ac:dyDescent="0.25">
      <c r="A17" s="105"/>
      <c r="B17" s="105"/>
      <c r="C17">
        <v>2</v>
      </c>
      <c r="D17">
        <v>24</v>
      </c>
      <c r="E17">
        <v>37</v>
      </c>
      <c r="F17">
        <v>0.46896553039550698</v>
      </c>
      <c r="G17">
        <v>0.88657021522521895</v>
      </c>
      <c r="H17">
        <v>0.47210073471069303</v>
      </c>
      <c r="I17">
        <v>0.46994534134864802</v>
      </c>
      <c r="J17">
        <v>0.88385057449340798</v>
      </c>
      <c r="K17">
        <v>0.532526135444641</v>
      </c>
      <c r="L17">
        <v>0.34055727720260598</v>
      </c>
      <c r="M17">
        <v>0.78593331575393599</v>
      </c>
      <c r="N17">
        <v>0.299771457910537</v>
      </c>
      <c r="O17">
        <v>0.273291915655136</v>
      </c>
      <c r="P17">
        <v>0.82139086723327603</v>
      </c>
      <c r="Q17">
        <v>0.32400599122047402</v>
      </c>
      <c r="T17" s="105"/>
      <c r="U17" s="105"/>
      <c r="V17">
        <f>W12</f>
        <v>5.5182153723112963E-2</v>
      </c>
      <c r="Z17">
        <f>AA12</f>
        <v>2.7495650403104505E-2</v>
      </c>
      <c r="AD17">
        <f>AE12</f>
        <v>3.974968517575786E-2</v>
      </c>
    </row>
    <row r="18" spans="1:32" x14ac:dyDescent="0.25">
      <c r="A18" s="105"/>
      <c r="B18" s="105"/>
      <c r="C18">
        <v>3</v>
      </c>
      <c r="D18">
        <v>36</v>
      </c>
      <c r="E18">
        <v>39</v>
      </c>
      <c r="F18">
        <v>0.35242289304733199</v>
      </c>
      <c r="G18">
        <v>0.83903002738952603</v>
      </c>
      <c r="H18">
        <v>0.363223016262054</v>
      </c>
      <c r="I18">
        <v>0.48245614767074502</v>
      </c>
      <c r="J18">
        <v>0.87084978818893399</v>
      </c>
      <c r="K18">
        <v>0.44323885440826399</v>
      </c>
      <c r="L18">
        <v>0.39543727040290799</v>
      </c>
      <c r="M18">
        <v>0.814791560173034</v>
      </c>
      <c r="N18">
        <v>0.29309141635894698</v>
      </c>
      <c r="O18">
        <v>0.36437246203422502</v>
      </c>
      <c r="P18">
        <v>0.83143305778503396</v>
      </c>
      <c r="Q18">
        <v>0.318134725093841</v>
      </c>
      <c r="T18" s="105"/>
      <c r="U18" s="105"/>
      <c r="V18" s="196" t="s">
        <v>14</v>
      </c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</row>
    <row r="19" spans="1:32" x14ac:dyDescent="0.25">
      <c r="A19" s="105"/>
      <c r="B19" s="107"/>
      <c r="C19">
        <v>4</v>
      </c>
      <c r="D19">
        <v>34</v>
      </c>
      <c r="E19">
        <v>42</v>
      </c>
      <c r="F19">
        <v>0.47686833143234197</v>
      </c>
      <c r="G19">
        <v>0.87851005792617798</v>
      </c>
      <c r="H19">
        <v>0.55413776636123602</v>
      </c>
      <c r="I19">
        <v>0.48510637879371599</v>
      </c>
      <c r="J19">
        <v>0.87267822027206399</v>
      </c>
      <c r="K19">
        <v>0.54256165027618397</v>
      </c>
      <c r="L19">
        <v>0.40000000596046398</v>
      </c>
      <c r="M19">
        <v>0.85419058799743597</v>
      </c>
      <c r="N19">
        <v>0.35654956102371199</v>
      </c>
      <c r="O19">
        <v>0.38910505175590498</v>
      </c>
      <c r="P19">
        <v>0.85246908664703303</v>
      </c>
      <c r="Q19">
        <v>0.37204933166503901</v>
      </c>
      <c r="T19" s="105"/>
      <c r="U19" s="105"/>
      <c r="V19" s="194" t="s">
        <v>4</v>
      </c>
      <c r="W19" s="194"/>
      <c r="X19" s="194"/>
      <c r="Z19" s="194" t="s">
        <v>5</v>
      </c>
      <c r="AA19" s="194"/>
      <c r="AB19" s="194"/>
      <c r="AD19" s="194" t="s">
        <v>70</v>
      </c>
      <c r="AE19" s="194"/>
      <c r="AF19" s="194"/>
    </row>
    <row r="20" spans="1:32" ht="15.75" thickBot="1" x14ac:dyDescent="0.3">
      <c r="A20" s="105"/>
      <c r="B20" s="103">
        <v>34</v>
      </c>
      <c r="C20">
        <v>1</v>
      </c>
      <c r="D20">
        <v>47</v>
      </c>
      <c r="E20">
        <v>33</v>
      </c>
      <c r="F20">
        <v>0.44368600845336897</v>
      </c>
      <c r="G20">
        <v>0.83456790447235096</v>
      </c>
      <c r="H20">
        <v>0.41071850061416598</v>
      </c>
      <c r="I20">
        <v>0.33519554138183499</v>
      </c>
      <c r="J20">
        <v>0.84637540578842096</v>
      </c>
      <c r="K20">
        <v>0.42002362012863098</v>
      </c>
      <c r="L20">
        <v>0.395904451608657</v>
      </c>
      <c r="M20">
        <v>0.842698574066162</v>
      </c>
      <c r="N20">
        <v>0.35345256328582703</v>
      </c>
      <c r="O20">
        <v>0.361581921577453</v>
      </c>
      <c r="P20">
        <v>0.83520078659057595</v>
      </c>
      <c r="Q20">
        <v>0.38183352351188599</v>
      </c>
      <c r="T20" s="105"/>
      <c r="U20" s="105"/>
    </row>
    <row r="21" spans="1:32" x14ac:dyDescent="0.25">
      <c r="A21" s="105"/>
      <c r="B21" s="105"/>
      <c r="C21">
        <v>2</v>
      </c>
      <c r="D21">
        <v>46</v>
      </c>
      <c r="E21">
        <v>29</v>
      </c>
      <c r="F21">
        <v>0.47959184646606401</v>
      </c>
      <c r="G21">
        <v>0.88806360960006703</v>
      </c>
      <c r="H21">
        <v>0.51720136404037398</v>
      </c>
      <c r="I21">
        <v>0.33333334326744002</v>
      </c>
      <c r="J21">
        <v>0.89451676607131902</v>
      </c>
      <c r="K21">
        <v>0.48057109117507901</v>
      </c>
      <c r="L21">
        <v>0.25414365530013999</v>
      </c>
      <c r="M21">
        <v>0.78586530685424805</v>
      </c>
      <c r="N21">
        <v>0.270405113697052</v>
      </c>
      <c r="O21">
        <v>0.21656051278114299</v>
      </c>
      <c r="P21">
        <v>0.82518118619918801</v>
      </c>
      <c r="Q21">
        <v>0.26359781622886602</v>
      </c>
      <c r="T21" s="105"/>
      <c r="U21" s="105"/>
      <c r="V21" s="17"/>
      <c r="W21" s="17" t="s">
        <v>19</v>
      </c>
      <c r="X21" s="17" t="s">
        <v>71</v>
      </c>
      <c r="Z21" s="17"/>
      <c r="AA21" s="17" t="s">
        <v>19</v>
      </c>
      <c r="AB21" s="17" t="s">
        <v>71</v>
      </c>
      <c r="AD21" s="17"/>
      <c r="AE21" s="17" t="s">
        <v>19</v>
      </c>
      <c r="AF21" s="17" t="s">
        <v>71</v>
      </c>
    </row>
    <row r="22" spans="1:32" x14ac:dyDescent="0.25">
      <c r="A22" s="105"/>
      <c r="B22" s="105"/>
      <c r="C22">
        <v>3</v>
      </c>
      <c r="D22">
        <v>22</v>
      </c>
      <c r="E22">
        <v>45</v>
      </c>
      <c r="F22">
        <v>0.387931048870086</v>
      </c>
      <c r="G22">
        <v>0.84649145603179898</v>
      </c>
      <c r="H22">
        <v>0.33777293562889099</v>
      </c>
      <c r="I22">
        <v>0.39543727040290799</v>
      </c>
      <c r="J22">
        <v>0.84839439392089799</v>
      </c>
      <c r="K22">
        <v>0.35826829075813199</v>
      </c>
      <c r="L22">
        <v>0.32478633522987299</v>
      </c>
      <c r="M22">
        <v>0.81576555967330899</v>
      </c>
      <c r="N22">
        <v>0.30284184217452997</v>
      </c>
      <c r="O22">
        <v>0.43727597594261097</v>
      </c>
      <c r="P22">
        <v>0.86955595016479403</v>
      </c>
      <c r="Q22">
        <v>0.38694450259208601</v>
      </c>
      <c r="T22" s="105"/>
      <c r="U22" s="105"/>
      <c r="V22" t="s">
        <v>75</v>
      </c>
      <c r="W22">
        <v>0.36899757385253845</v>
      </c>
      <c r="X22">
        <v>0.41065714508295026</v>
      </c>
      <c r="Z22" t="s">
        <v>75</v>
      </c>
      <c r="AA22">
        <v>0.82078206539154031</v>
      </c>
      <c r="AB22">
        <v>0.86517104506492581</v>
      </c>
      <c r="AD22" t="s">
        <v>75</v>
      </c>
      <c r="AE22">
        <v>0.33581732958555177</v>
      </c>
      <c r="AF22">
        <v>0.41395059973001452</v>
      </c>
    </row>
    <row r="23" spans="1:32" x14ac:dyDescent="0.25">
      <c r="A23" s="105"/>
      <c r="B23" s="107"/>
      <c r="C23">
        <v>4</v>
      </c>
      <c r="D23">
        <v>43</v>
      </c>
      <c r="E23">
        <v>27</v>
      </c>
      <c r="F23">
        <v>0.458823531866073</v>
      </c>
      <c r="G23">
        <v>0.86962527036666804</v>
      </c>
      <c r="H23">
        <v>0.48580339550971902</v>
      </c>
      <c r="I23">
        <v>0.394366204738616</v>
      </c>
      <c r="J23">
        <v>0.86474406719207697</v>
      </c>
      <c r="K23">
        <v>0.52845835685729903</v>
      </c>
      <c r="L23">
        <v>0.182857140898704</v>
      </c>
      <c r="M23">
        <v>0.83652973175048795</v>
      </c>
      <c r="N23">
        <v>0.27166512608528098</v>
      </c>
      <c r="O23">
        <v>0.19402985274791701</v>
      </c>
      <c r="P23">
        <v>0.85674268007278398</v>
      </c>
      <c r="Q23">
        <v>0.37238350510597201</v>
      </c>
      <c r="T23" s="105"/>
      <c r="U23" s="105"/>
      <c r="V23" t="s">
        <v>76</v>
      </c>
      <c r="W23">
        <v>9.0651877366988189E-4</v>
      </c>
      <c r="X23">
        <v>4.8743442505051358E-4</v>
      </c>
      <c r="Z23" t="s">
        <v>76</v>
      </c>
      <c r="AA23">
        <v>8.5954363501152366E-5</v>
      </c>
      <c r="AB23">
        <v>1.8117651044015458E-5</v>
      </c>
      <c r="AD23" t="s">
        <v>76</v>
      </c>
      <c r="AE23">
        <v>2.2377980970254749E-3</v>
      </c>
      <c r="AF23">
        <v>6.2209241450460098E-4</v>
      </c>
    </row>
    <row r="24" spans="1:32" x14ac:dyDescent="0.25">
      <c r="A24" s="105"/>
      <c r="B24" s="103">
        <v>50</v>
      </c>
      <c r="C24">
        <v>1</v>
      </c>
      <c r="D24">
        <v>28</v>
      </c>
      <c r="E24">
        <v>13</v>
      </c>
      <c r="F24">
        <v>0.44155845046043302</v>
      </c>
      <c r="G24">
        <v>0.83556497097015303</v>
      </c>
      <c r="H24">
        <v>0.42802810668945301</v>
      </c>
      <c r="I24">
        <v>0.42207792401313698</v>
      </c>
      <c r="J24">
        <v>0.82881456613540605</v>
      </c>
      <c r="K24">
        <v>0.37043792009353599</v>
      </c>
      <c r="L24">
        <v>0.41176471114158603</v>
      </c>
      <c r="M24">
        <v>0.85384315252303999</v>
      </c>
      <c r="N24">
        <v>0.37506282329559298</v>
      </c>
      <c r="O24">
        <v>0.36417910456657399</v>
      </c>
      <c r="P24">
        <v>0.83456659317016602</v>
      </c>
      <c r="Q24">
        <v>0.35174927115440302</v>
      </c>
      <c r="T24" s="105"/>
      <c r="U24" s="105"/>
      <c r="V24" t="s">
        <v>77</v>
      </c>
      <c r="W24">
        <v>4</v>
      </c>
      <c r="X24">
        <v>4</v>
      </c>
      <c r="Z24" t="s">
        <v>77</v>
      </c>
      <c r="AA24">
        <v>4</v>
      </c>
      <c r="AB24">
        <v>4</v>
      </c>
      <c r="AD24" t="s">
        <v>77</v>
      </c>
      <c r="AE24">
        <v>4</v>
      </c>
      <c r="AF24">
        <v>4</v>
      </c>
    </row>
    <row r="25" spans="1:32" x14ac:dyDescent="0.25">
      <c r="A25" s="105"/>
      <c r="B25" s="105"/>
      <c r="C25">
        <v>2</v>
      </c>
      <c r="D25">
        <v>9</v>
      </c>
      <c r="E25">
        <v>12</v>
      </c>
      <c r="F25">
        <v>0.43434342741966198</v>
      </c>
      <c r="G25">
        <v>0.88175189495086603</v>
      </c>
      <c r="H25">
        <v>0.459152221679687</v>
      </c>
      <c r="I25">
        <v>0.38857144117355302</v>
      </c>
      <c r="J25">
        <v>0.83639883995056097</v>
      </c>
      <c r="K25">
        <v>0.43921542167663502</v>
      </c>
      <c r="L25">
        <v>0.33333334326744002</v>
      </c>
      <c r="M25">
        <v>0.85286170244216897</v>
      </c>
      <c r="N25">
        <v>0.33635324239730802</v>
      </c>
      <c r="O25">
        <v>0.24561403691768599</v>
      </c>
      <c r="P25">
        <v>0.79870134592056197</v>
      </c>
      <c r="Q25">
        <v>0.25840446352958601</v>
      </c>
      <c r="T25" s="105"/>
      <c r="U25" s="105"/>
      <c r="V25" t="s">
        <v>78</v>
      </c>
      <c r="W25">
        <v>0.7987373630125012</v>
      </c>
      <c r="Z25" t="s">
        <v>78</v>
      </c>
      <c r="AA25">
        <v>-0.73757488048476483</v>
      </c>
      <c r="AD25" t="s">
        <v>78</v>
      </c>
      <c r="AE25">
        <v>-0.74312509390297898</v>
      </c>
    </row>
    <row r="26" spans="1:32" x14ac:dyDescent="0.25">
      <c r="A26" s="105"/>
      <c r="B26" s="105"/>
      <c r="C26">
        <v>3</v>
      </c>
      <c r="D26">
        <v>18</v>
      </c>
      <c r="E26">
        <v>24</v>
      </c>
      <c r="F26">
        <v>0.36559140682220398</v>
      </c>
      <c r="G26">
        <v>0.82869464159011796</v>
      </c>
      <c r="H26">
        <v>0.39162975549697798</v>
      </c>
      <c r="I26">
        <v>0.40569394826888999</v>
      </c>
      <c r="J26">
        <v>0.84645992517471302</v>
      </c>
      <c r="K26">
        <v>0.36728855967521601</v>
      </c>
      <c r="L26">
        <v>0.26744186878204301</v>
      </c>
      <c r="M26">
        <v>0.84774994850158603</v>
      </c>
      <c r="N26">
        <v>0.320197343826293</v>
      </c>
      <c r="O26">
        <v>0.288808673620224</v>
      </c>
      <c r="P26">
        <v>0.79241162538528398</v>
      </c>
      <c r="Q26">
        <v>0.248978301882743</v>
      </c>
      <c r="T26" s="105"/>
      <c r="U26" s="105"/>
      <c r="V26" t="s">
        <v>79</v>
      </c>
      <c r="W26">
        <v>0</v>
      </c>
      <c r="Z26" t="s">
        <v>79</v>
      </c>
      <c r="AA26">
        <v>0</v>
      </c>
      <c r="AD26" t="s">
        <v>79</v>
      </c>
      <c r="AE26">
        <v>0</v>
      </c>
    </row>
    <row r="27" spans="1:32" x14ac:dyDescent="0.25">
      <c r="A27" s="107"/>
      <c r="B27" s="107"/>
      <c r="C27">
        <v>4</v>
      </c>
      <c r="D27">
        <v>16</v>
      </c>
      <c r="E27">
        <v>24</v>
      </c>
      <c r="F27">
        <v>0.450450450181961</v>
      </c>
      <c r="G27">
        <v>0.86980807781219405</v>
      </c>
      <c r="H27">
        <v>0.52274638414382901</v>
      </c>
      <c r="I27">
        <v>0.52777779102325395</v>
      </c>
      <c r="J27">
        <v>0.89623397588729803</v>
      </c>
      <c r="K27">
        <v>0.50428050756454401</v>
      </c>
      <c r="L27">
        <v>0.44343891739845198</v>
      </c>
      <c r="M27">
        <v>0.85299003124237005</v>
      </c>
      <c r="N27">
        <v>0.405628621578216</v>
      </c>
      <c r="O27">
        <v>0.32307693362236001</v>
      </c>
      <c r="P27">
        <v>0.82004678249359098</v>
      </c>
      <c r="Q27">
        <v>0.25700038671493503</v>
      </c>
      <c r="T27" s="105"/>
      <c r="U27" s="105"/>
      <c r="V27" t="s">
        <v>80</v>
      </c>
      <c r="W27">
        <v>3</v>
      </c>
      <c r="Z27" t="s">
        <v>80</v>
      </c>
      <c r="AA27">
        <v>3</v>
      </c>
      <c r="AD27" t="s">
        <v>80</v>
      </c>
      <c r="AE27">
        <v>3</v>
      </c>
    </row>
    <row r="28" spans="1:32" x14ac:dyDescent="0.25">
      <c r="T28" s="105"/>
      <c r="U28" s="105"/>
      <c r="V28" t="s">
        <v>81</v>
      </c>
      <c r="W28">
        <v>-4.5723130891642754</v>
      </c>
      <c r="Z28" t="s">
        <v>81</v>
      </c>
      <c r="AA28">
        <v>-6.9689245383376379</v>
      </c>
      <c r="AD28" t="s">
        <v>81</v>
      </c>
      <c r="AE28">
        <v>-2.3006540382422598</v>
      </c>
    </row>
    <row r="29" spans="1:32" x14ac:dyDescent="0.25">
      <c r="T29" s="105"/>
      <c r="U29" s="105"/>
      <c r="V29" t="s">
        <v>82</v>
      </c>
      <c r="W29">
        <v>9.8147982046999666E-3</v>
      </c>
      <c r="Z29" t="s">
        <v>82</v>
      </c>
      <c r="AA29">
        <v>3.0314646851790088E-3</v>
      </c>
      <c r="AD29" t="s">
        <v>82</v>
      </c>
      <c r="AE29">
        <v>5.2462710195798588E-2</v>
      </c>
    </row>
    <row r="30" spans="1:32" x14ac:dyDescent="0.25">
      <c r="F30" t="s">
        <v>159</v>
      </c>
      <c r="J30" t="s">
        <v>160</v>
      </c>
      <c r="N30" t="s">
        <v>161</v>
      </c>
      <c r="T30" s="105"/>
      <c r="U30" s="105"/>
      <c r="V30" t="s">
        <v>83</v>
      </c>
      <c r="W30">
        <v>2.3533634348018233</v>
      </c>
      <c r="Z30" t="s">
        <v>83</v>
      </c>
      <c r="AA30">
        <v>2.3533634348018233</v>
      </c>
      <c r="AD30" t="s">
        <v>83</v>
      </c>
      <c r="AE30">
        <v>2.3533634348018233</v>
      </c>
    </row>
    <row r="31" spans="1:32" ht="15.75" thickBot="1" x14ac:dyDescent="0.3">
      <c r="T31" s="105"/>
      <c r="U31" s="105"/>
      <c r="V31" t="s">
        <v>84</v>
      </c>
      <c r="W31">
        <v>1.9629596409399933E-2</v>
      </c>
      <c r="Z31" t="s">
        <v>84</v>
      </c>
      <c r="AA31">
        <v>6.0629293703580176E-3</v>
      </c>
      <c r="AD31" t="s">
        <v>84</v>
      </c>
      <c r="AE31">
        <v>0.10492542039159718</v>
      </c>
    </row>
    <row r="32" spans="1:32" ht="15.75" thickBot="1" x14ac:dyDescent="0.3">
      <c r="F32" s="235"/>
      <c r="G32" s="235" t="s">
        <v>157</v>
      </c>
      <c r="H32" s="235" t="s">
        <v>158</v>
      </c>
      <c r="J32" s="235"/>
      <c r="K32" s="235" t="s">
        <v>157</v>
      </c>
      <c r="L32" s="235" t="s">
        <v>158</v>
      </c>
      <c r="N32" s="235"/>
      <c r="O32" s="235" t="s">
        <v>157</v>
      </c>
      <c r="P32" s="235" t="s">
        <v>158</v>
      </c>
      <c r="T32" s="105"/>
      <c r="U32" s="105"/>
      <c r="V32" s="16" t="s">
        <v>85</v>
      </c>
      <c r="W32" s="16">
        <v>3.1824463052837091</v>
      </c>
      <c r="X32" s="16"/>
      <c r="Z32" s="16" t="s">
        <v>85</v>
      </c>
      <c r="AA32" s="16">
        <v>3.1824463052837091</v>
      </c>
      <c r="AB32" s="16"/>
      <c r="AD32" s="16" t="s">
        <v>85</v>
      </c>
      <c r="AE32" s="16">
        <v>3.1824463052837091</v>
      </c>
      <c r="AF32" s="16"/>
    </row>
    <row r="33" spans="6:32" x14ac:dyDescent="0.25">
      <c r="F33" s="233" t="s">
        <v>75</v>
      </c>
      <c r="G33" s="233">
        <v>0.86517104506492581</v>
      </c>
      <c r="H33" s="233">
        <v>0.83020238578319505</v>
      </c>
      <c r="J33" s="233" t="s">
        <v>75</v>
      </c>
      <c r="K33" s="233">
        <v>0.8523104935884469</v>
      </c>
      <c r="L33" s="233">
        <v>0.84667015075683549</v>
      </c>
      <c r="N33" s="233" t="s">
        <v>75</v>
      </c>
      <c r="O33" s="233">
        <v>0.86325123906135504</v>
      </c>
      <c r="P33" s="233">
        <v>0.81143158674240068</v>
      </c>
      <c r="T33" s="105"/>
      <c r="U33" s="105"/>
      <c r="V33" t="str">
        <f>IF(X22 &gt; W22, "Pretrained &gt; Fresh", "Pretrained &lt; Fresh")</f>
        <v>Pretrained &gt; Fresh</v>
      </c>
      <c r="W33" s="171" t="str">
        <f>IF(W29 &lt; 0.05, "Significant", "Not Significant")</f>
        <v>Significant</v>
      </c>
      <c r="X33" s="171"/>
      <c r="Z33" t="str">
        <f>IF(AB22 &gt; AA22, "Pretrained &gt; Fresh", "Pretrained &lt; Fresh")</f>
        <v>Pretrained &gt; Fresh</v>
      </c>
      <c r="AA33" s="171" t="str">
        <f>IF(AA29 &lt; 0.05, "Significant", "Not Significant")</f>
        <v>Significant</v>
      </c>
      <c r="AB33" s="171"/>
      <c r="AD33" t="str">
        <f>IF(AF22 &gt; AE22, "Pretrained &gt; Fresh", "Pretrained &lt; Fresh")</f>
        <v>Pretrained &gt; Fresh</v>
      </c>
      <c r="AE33" s="171" t="str">
        <f>IF(AE29 &lt; 0.05, "Significant", "Not Significant")</f>
        <v>Not Significant</v>
      </c>
      <c r="AF33" s="171"/>
    </row>
    <row r="34" spans="6:32" x14ac:dyDescent="0.25">
      <c r="F34" s="233" t="s">
        <v>76</v>
      </c>
      <c r="G34" s="233">
        <v>1.8117651044015458E-5</v>
      </c>
      <c r="H34" s="233">
        <v>2.6354589902499677E-4</v>
      </c>
      <c r="J34" s="233" t="s">
        <v>76</v>
      </c>
      <c r="K34" s="233">
        <v>8.4520926950369188E-5</v>
      </c>
      <c r="L34" s="233">
        <v>4.0617919116668844E-4</v>
      </c>
      <c r="N34" s="233" t="s">
        <v>76</v>
      </c>
      <c r="O34" s="233">
        <v>9.9916091889672531E-5</v>
      </c>
      <c r="P34" s="233">
        <v>3.7775602721743071E-4</v>
      </c>
      <c r="T34" s="105"/>
      <c r="U34" s="105"/>
      <c r="V34">
        <f>W29</f>
        <v>9.8147982046999666E-3</v>
      </c>
      <c r="W34" s="194"/>
      <c r="X34" s="194"/>
      <c r="Z34">
        <f>AA29</f>
        <v>3.0314646851790088E-3</v>
      </c>
      <c r="AD34">
        <f>AE29</f>
        <v>5.2462710195798588E-2</v>
      </c>
    </row>
    <row r="35" spans="6:32" x14ac:dyDescent="0.25">
      <c r="F35" s="233" t="s">
        <v>77</v>
      </c>
      <c r="G35" s="233">
        <v>4</v>
      </c>
      <c r="H35" s="233">
        <v>4</v>
      </c>
      <c r="J35" s="233" t="s">
        <v>77</v>
      </c>
      <c r="K35" s="233">
        <v>4</v>
      </c>
      <c r="L35" s="233">
        <v>4</v>
      </c>
      <c r="N35" s="233" t="s">
        <v>77</v>
      </c>
      <c r="O35" s="233">
        <v>4</v>
      </c>
      <c r="P35" s="233">
        <v>4</v>
      </c>
      <c r="T35" s="105"/>
      <c r="U35" s="105">
        <v>34</v>
      </c>
      <c r="V35" s="195" t="s">
        <v>13</v>
      </c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</row>
    <row r="36" spans="6:32" x14ac:dyDescent="0.25">
      <c r="F36" s="233" t="s">
        <v>78</v>
      </c>
      <c r="G36" s="233">
        <v>0.94964950330486153</v>
      </c>
      <c r="H36" s="233"/>
      <c r="J36" s="233" t="s">
        <v>78</v>
      </c>
      <c r="K36" s="233">
        <v>-0.15173835525407936</v>
      </c>
      <c r="L36" s="233"/>
      <c r="N36" s="233" t="s">
        <v>78</v>
      </c>
      <c r="O36" s="233">
        <v>0.14307075706476025</v>
      </c>
      <c r="P36" s="233"/>
      <c r="T36" s="105"/>
      <c r="U36" s="105"/>
      <c r="V36" s="194" t="s">
        <v>4</v>
      </c>
      <c r="W36" s="194"/>
      <c r="X36" s="194"/>
      <c r="Z36" s="194" t="s">
        <v>5</v>
      </c>
      <c r="AA36" s="194"/>
      <c r="AB36" s="194"/>
      <c r="AD36" s="194" t="s">
        <v>70</v>
      </c>
      <c r="AE36" s="194"/>
      <c r="AF36" s="194"/>
    </row>
    <row r="37" spans="6:32" ht="15.75" thickBot="1" x14ac:dyDescent="0.3">
      <c r="F37" s="233" t="s">
        <v>79</v>
      </c>
      <c r="G37" s="233">
        <v>0</v>
      </c>
      <c r="H37" s="233"/>
      <c r="J37" s="233" t="s">
        <v>79</v>
      </c>
      <c r="K37" s="233">
        <v>0</v>
      </c>
      <c r="L37" s="233"/>
      <c r="N37" s="233" t="s">
        <v>79</v>
      </c>
      <c r="O37" s="233">
        <v>0</v>
      </c>
      <c r="P37" s="233"/>
      <c r="T37" s="105"/>
      <c r="U37" s="105"/>
    </row>
    <row r="38" spans="6:32" x14ac:dyDescent="0.25">
      <c r="F38" s="233" t="s">
        <v>80</v>
      </c>
      <c r="G38" s="233">
        <v>3</v>
      </c>
      <c r="H38" s="233"/>
      <c r="J38" s="233" t="s">
        <v>80</v>
      </c>
      <c r="K38" s="233">
        <v>3</v>
      </c>
      <c r="L38" s="233"/>
      <c r="N38" s="233" t="s">
        <v>80</v>
      </c>
      <c r="O38" s="233">
        <v>3</v>
      </c>
      <c r="P38" s="233"/>
      <c r="T38" s="105"/>
      <c r="U38" s="105"/>
      <c r="V38" s="17"/>
      <c r="W38" s="17" t="s">
        <v>19</v>
      </c>
      <c r="X38" s="17" t="s">
        <v>71</v>
      </c>
      <c r="Z38" s="17"/>
      <c r="AA38" s="17" t="s">
        <v>19</v>
      </c>
      <c r="AB38" s="17" t="s">
        <v>71</v>
      </c>
      <c r="AD38" s="17"/>
      <c r="AE38" s="17" t="s">
        <v>19</v>
      </c>
      <c r="AF38" s="17" t="s">
        <v>71</v>
      </c>
    </row>
    <row r="39" spans="6:32" x14ac:dyDescent="0.25">
      <c r="F39" s="233" t="s">
        <v>81</v>
      </c>
      <c r="G39" s="233">
        <v>5.70234859686534</v>
      </c>
      <c r="H39" s="233"/>
      <c r="J39" s="233" t="s">
        <v>81</v>
      </c>
      <c r="K39" s="233">
        <v>0.4823582025766166</v>
      </c>
      <c r="L39" s="233"/>
      <c r="N39" s="233" t="s">
        <v>81</v>
      </c>
      <c r="O39" s="233">
        <v>5.0445974373567077</v>
      </c>
      <c r="P39" s="233"/>
      <c r="T39" s="105"/>
      <c r="U39" s="105"/>
      <c r="V39" t="s">
        <v>75</v>
      </c>
      <c r="W39">
        <v>0.45747875422239281</v>
      </c>
      <c r="X39">
        <v>0.46222216635942426</v>
      </c>
      <c r="Z39" t="s">
        <v>75</v>
      </c>
      <c r="AA39">
        <v>0.85657286643981878</v>
      </c>
      <c r="AB39">
        <v>0.87625950574874856</v>
      </c>
      <c r="AD39" t="s">
        <v>75</v>
      </c>
      <c r="AE39">
        <v>0.44528140127658777</v>
      </c>
      <c r="AF39">
        <v>0.45852765440940801</v>
      </c>
    </row>
    <row r="40" spans="6:32" x14ac:dyDescent="0.25">
      <c r="F40" s="233" t="s">
        <v>82</v>
      </c>
      <c r="G40" s="233">
        <v>5.3477613558267556E-3</v>
      </c>
      <c r="H40" s="233"/>
      <c r="J40" s="233" t="s">
        <v>82</v>
      </c>
      <c r="K40" s="233">
        <v>0.33127885471045315</v>
      </c>
      <c r="L40" s="233"/>
      <c r="N40" s="233" t="s">
        <v>82</v>
      </c>
      <c r="O40" s="233">
        <v>7.5110054250161658E-3</v>
      </c>
      <c r="P40" s="233"/>
      <c r="T40" s="105"/>
      <c r="U40" s="105"/>
      <c r="V40" t="s">
        <v>76</v>
      </c>
      <c r="W40">
        <v>4.0009408539239865E-4</v>
      </c>
      <c r="X40">
        <v>3.8808570685798793E-3</v>
      </c>
      <c r="Z40" t="s">
        <v>76</v>
      </c>
      <c r="AA40">
        <v>1.5878591438204769E-4</v>
      </c>
      <c r="AB40">
        <v>4.4072095121330812E-4</v>
      </c>
      <c r="AD40" t="s">
        <v>76</v>
      </c>
      <c r="AE40">
        <v>3.3393517367826067E-3</v>
      </c>
      <c r="AF40">
        <v>4.2304529253171337E-3</v>
      </c>
    </row>
    <row r="41" spans="6:32" x14ac:dyDescent="0.25">
      <c r="F41" s="233" t="s">
        <v>83</v>
      </c>
      <c r="G41" s="233">
        <v>2.3533634348018233</v>
      </c>
      <c r="H41" s="233"/>
      <c r="J41" s="233" t="s">
        <v>83</v>
      </c>
      <c r="K41" s="233">
        <v>2.3533634348018233</v>
      </c>
      <c r="L41" s="233"/>
      <c r="N41" s="233" t="s">
        <v>83</v>
      </c>
      <c r="O41" s="233">
        <v>2.3533634348018233</v>
      </c>
      <c r="P41" s="233"/>
      <c r="T41" s="105"/>
      <c r="U41" s="105"/>
      <c r="V41" t="s">
        <v>77</v>
      </c>
      <c r="W41">
        <v>4</v>
      </c>
      <c r="X41">
        <v>4</v>
      </c>
      <c r="Z41" t="s">
        <v>77</v>
      </c>
      <c r="AA41">
        <v>4</v>
      </c>
      <c r="AB41">
        <v>4</v>
      </c>
      <c r="AD41" t="s">
        <v>77</v>
      </c>
      <c r="AE41">
        <v>4</v>
      </c>
      <c r="AF41">
        <v>4</v>
      </c>
    </row>
    <row r="42" spans="6:32" x14ac:dyDescent="0.25">
      <c r="F42" s="233" t="s">
        <v>84</v>
      </c>
      <c r="G42" s="233">
        <v>1.0695522711653511E-2</v>
      </c>
      <c r="H42" s="233"/>
      <c r="J42" s="233" t="s">
        <v>84</v>
      </c>
      <c r="K42" s="233">
        <v>0.6625577094209063</v>
      </c>
      <c r="L42" s="233"/>
      <c r="N42" s="233" t="s">
        <v>84</v>
      </c>
      <c r="O42" s="233">
        <v>1.5022010850032332E-2</v>
      </c>
      <c r="P42" s="233"/>
      <c r="T42" s="105"/>
      <c r="U42" s="105"/>
      <c r="V42" t="s">
        <v>78</v>
      </c>
      <c r="W42">
        <v>-0.61191535519629348</v>
      </c>
      <c r="Z42" t="s">
        <v>78</v>
      </c>
      <c r="AA42">
        <v>0.99012071661595902</v>
      </c>
      <c r="AD42" t="s">
        <v>78</v>
      </c>
      <c r="AE42">
        <v>0.76613370691414151</v>
      </c>
    </row>
    <row r="43" spans="6:32" ht="15.75" thickBot="1" x14ac:dyDescent="0.3">
      <c r="F43" s="234" t="s">
        <v>85</v>
      </c>
      <c r="G43" s="234">
        <v>3.1824463052837091</v>
      </c>
      <c r="H43" s="234"/>
      <c r="J43" s="234" t="s">
        <v>85</v>
      </c>
      <c r="K43" s="234">
        <v>3.1824463052837091</v>
      </c>
      <c r="L43" s="234"/>
      <c r="N43" s="234" t="s">
        <v>85</v>
      </c>
      <c r="O43" s="234">
        <v>3.1824463052837091</v>
      </c>
      <c r="P43" s="234"/>
      <c r="T43" s="105"/>
      <c r="U43" s="105"/>
      <c r="V43" t="s">
        <v>79</v>
      </c>
      <c r="W43">
        <v>0</v>
      </c>
      <c r="Z43" t="s">
        <v>79</v>
      </c>
      <c r="AA43">
        <v>0</v>
      </c>
      <c r="AD43" t="s">
        <v>79</v>
      </c>
      <c r="AE43">
        <v>0</v>
      </c>
    </row>
    <row r="44" spans="6:32" x14ac:dyDescent="0.25">
      <c r="F44" t="str">
        <f>IF(H33 &gt; G33, "Medical &lt; Video", "Medical &gt; Video")</f>
        <v>Medical &gt; Video</v>
      </c>
      <c r="G44" s="171" t="str">
        <f>IF(G40 &lt; 0.05, "Significant", "Not Significant")</f>
        <v>Significant</v>
      </c>
      <c r="H44" s="171"/>
      <c r="J44" t="str">
        <f>IF(L33 &gt; K33, "Medical &lt; Video", "Medical &gt; Video")</f>
        <v>Medical &gt; Video</v>
      </c>
      <c r="K44" s="171" t="str">
        <f>IF(K40 &lt; 0.05, "Significant", "Not Significant")</f>
        <v>Not Significant</v>
      </c>
      <c r="L44" s="171"/>
      <c r="N44" t="str">
        <f>IF(P33 &gt; O33, "Medical &lt; Video", "Medical &gt; Video")</f>
        <v>Medical &gt; Video</v>
      </c>
      <c r="O44" s="171" t="str">
        <f>IF(O40 &lt; 0.05, "Significant", "Not Significant")</f>
        <v>Significant</v>
      </c>
      <c r="P44" s="171"/>
      <c r="T44" s="105"/>
      <c r="U44" s="105"/>
      <c r="V44" t="s">
        <v>80</v>
      </c>
      <c r="W44">
        <v>3</v>
      </c>
      <c r="Z44" t="s">
        <v>80</v>
      </c>
      <c r="AA44">
        <v>3</v>
      </c>
      <c r="AD44" t="s">
        <v>80</v>
      </c>
      <c r="AE44">
        <v>3</v>
      </c>
    </row>
    <row r="45" spans="6:32" x14ac:dyDescent="0.25">
      <c r="F45">
        <f>G40</f>
        <v>5.3477613558267556E-3</v>
      </c>
      <c r="J45">
        <f>K40</f>
        <v>0.33127885471045315</v>
      </c>
      <c r="N45">
        <f>O40</f>
        <v>7.5110054250161658E-3</v>
      </c>
      <c r="T45" s="105"/>
      <c r="U45" s="105"/>
      <c r="V45" t="s">
        <v>81</v>
      </c>
      <c r="W45">
        <v>-0.12450438316189789</v>
      </c>
      <c r="Z45" t="s">
        <v>81</v>
      </c>
      <c r="AA45">
        <v>-4.5266201354952722</v>
      </c>
      <c r="AD45" t="s">
        <v>81</v>
      </c>
      <c r="AE45">
        <v>-0.62259600937276238</v>
      </c>
    </row>
    <row r="46" spans="6:32" x14ac:dyDescent="0.25">
      <c r="T46" s="105"/>
      <c r="U46" s="105"/>
      <c r="V46" t="s">
        <v>82</v>
      </c>
      <c r="W46">
        <v>0.45439499914269216</v>
      </c>
      <c r="Z46" t="s">
        <v>82</v>
      </c>
      <c r="AA46">
        <v>1.0083968944100618E-2</v>
      </c>
      <c r="AD46" t="s">
        <v>82</v>
      </c>
      <c r="AE46">
        <v>0.28883339330184421</v>
      </c>
    </row>
    <row r="47" spans="6:32" x14ac:dyDescent="0.25">
      <c r="F47" t="s">
        <v>162</v>
      </c>
      <c r="J47" t="s">
        <v>163</v>
      </c>
      <c r="N47" t="s">
        <v>164</v>
      </c>
      <c r="T47" s="105"/>
      <c r="U47" s="105"/>
      <c r="V47" t="s">
        <v>83</v>
      </c>
      <c r="W47">
        <v>2.3533634348018233</v>
      </c>
      <c r="Z47" t="s">
        <v>83</v>
      </c>
      <c r="AA47">
        <v>2.3533634348018233</v>
      </c>
      <c r="AD47" t="s">
        <v>83</v>
      </c>
      <c r="AE47">
        <v>2.3533634348018233</v>
      </c>
    </row>
    <row r="48" spans="6:32" ht="15.75" thickBot="1" x14ac:dyDescent="0.3">
      <c r="T48" s="105"/>
      <c r="U48" s="105"/>
      <c r="V48" t="s">
        <v>84</v>
      </c>
      <c r="W48">
        <v>0.90878999828538432</v>
      </c>
      <c r="Z48" t="s">
        <v>84</v>
      </c>
      <c r="AA48">
        <v>2.0167937888201235E-2</v>
      </c>
      <c r="AD48" t="s">
        <v>84</v>
      </c>
      <c r="AE48">
        <v>0.57766678660368842</v>
      </c>
    </row>
    <row r="49" spans="6:32" ht="15.75" thickBot="1" x14ac:dyDescent="0.3">
      <c r="F49" s="235"/>
      <c r="G49" s="235" t="s">
        <v>152</v>
      </c>
      <c r="H49" s="235" t="s">
        <v>153</v>
      </c>
      <c r="J49" s="235"/>
      <c r="K49" s="235" t="s">
        <v>152</v>
      </c>
      <c r="L49" s="235" t="s">
        <v>153</v>
      </c>
      <c r="N49" s="235"/>
      <c r="O49" s="235" t="s">
        <v>152</v>
      </c>
      <c r="P49" s="235" t="s">
        <v>153</v>
      </c>
      <c r="T49" s="105"/>
      <c r="U49" s="105"/>
      <c r="V49" s="16" t="s">
        <v>85</v>
      </c>
      <c r="W49" s="16">
        <v>3.1824463052837091</v>
      </c>
      <c r="X49" s="16"/>
      <c r="Z49" s="16" t="s">
        <v>85</v>
      </c>
      <c r="AA49" s="16">
        <v>3.1824463052837091</v>
      </c>
      <c r="AB49" s="16"/>
      <c r="AD49" s="16" t="s">
        <v>85</v>
      </c>
      <c r="AE49" s="16">
        <v>3.1824463052837091</v>
      </c>
      <c r="AF49" s="16"/>
    </row>
    <row r="50" spans="6:32" x14ac:dyDescent="0.25">
      <c r="F50" s="233" t="s">
        <v>75</v>
      </c>
      <c r="G50" s="233">
        <v>0.41395059973001452</v>
      </c>
      <c r="H50" s="233">
        <v>0.34199669212102851</v>
      </c>
      <c r="J50" s="233" t="s">
        <v>75</v>
      </c>
      <c r="K50" s="233">
        <v>0.3867298364639275</v>
      </c>
      <c r="L50" s="233">
        <v>0.35118983685970256</v>
      </c>
      <c r="N50" s="233" t="s">
        <v>75</v>
      </c>
      <c r="O50" s="233">
        <v>0.43440435826778373</v>
      </c>
      <c r="P50" s="233">
        <v>0.27903310582041679</v>
      </c>
      <c r="T50" s="105"/>
      <c r="U50" s="105"/>
      <c r="V50" t="str">
        <f>IF(X39 &gt; W39, "Pretrained &gt; Fresh", "Pretrained &lt; Fresh")</f>
        <v>Pretrained &gt; Fresh</v>
      </c>
      <c r="W50" s="171" t="str">
        <f>IF(W46 &lt; 0.05, "Significant", "Not Significant")</f>
        <v>Not Significant</v>
      </c>
      <c r="X50" s="171"/>
      <c r="Z50" t="str">
        <f>IF(AB39 &gt; AA39, "Pretrained &gt; Fresh", "Pretrained &lt; Fresh")</f>
        <v>Pretrained &gt; Fresh</v>
      </c>
      <c r="AA50" s="171" t="str">
        <f>IF(AA46 &lt; 0.05, "Significant", "Not Significant")</f>
        <v>Significant</v>
      </c>
      <c r="AB50" s="171"/>
      <c r="AD50" t="str">
        <f>IF(AF39 &gt; AE39, "Pretrained &gt; Fresh", "Pretrained &lt; Fresh")</f>
        <v>Pretrained &gt; Fresh</v>
      </c>
      <c r="AE50" s="171" t="str">
        <f>IF(AE46 &lt; 0.05, "Significant", "Not Significant")</f>
        <v>Not Significant</v>
      </c>
      <c r="AF50" s="171"/>
    </row>
    <row r="51" spans="6:32" x14ac:dyDescent="0.25">
      <c r="F51" s="233" t="s">
        <v>76</v>
      </c>
      <c r="G51" s="233">
        <v>6.2209241450460098E-4</v>
      </c>
      <c r="H51" s="233">
        <v>6.4515353423962951E-4</v>
      </c>
      <c r="J51" s="233" t="s">
        <v>76</v>
      </c>
      <c r="K51" s="233">
        <v>6.9653083721968486E-4</v>
      </c>
      <c r="L51" s="233">
        <v>3.4463217683991152E-3</v>
      </c>
      <c r="N51" s="233" t="s">
        <v>76</v>
      </c>
      <c r="O51" s="233">
        <v>3.3497088794082566E-3</v>
      </c>
      <c r="P51" s="233">
        <v>2.3673045115185642E-3</v>
      </c>
      <c r="T51" s="105"/>
      <c r="U51" s="105"/>
      <c r="V51">
        <f>W46</f>
        <v>0.45439499914269216</v>
      </c>
      <c r="Z51">
        <f>AA46</f>
        <v>1.0083968944100618E-2</v>
      </c>
      <c r="AD51">
        <f>AE46</f>
        <v>0.28883339330184421</v>
      </c>
    </row>
    <row r="52" spans="6:32" x14ac:dyDescent="0.25">
      <c r="F52" s="233" t="s">
        <v>77</v>
      </c>
      <c r="G52" s="233">
        <v>4</v>
      </c>
      <c r="H52" s="233">
        <v>4</v>
      </c>
      <c r="J52" s="233" t="s">
        <v>77</v>
      </c>
      <c r="K52" s="233">
        <v>4</v>
      </c>
      <c r="L52" s="233">
        <v>4</v>
      </c>
      <c r="N52" s="233" t="s">
        <v>77</v>
      </c>
      <c r="O52" s="233">
        <v>4</v>
      </c>
      <c r="P52" s="233">
        <v>4</v>
      </c>
      <c r="T52" s="105"/>
      <c r="U52" s="105"/>
      <c r="V52" s="196" t="s">
        <v>14</v>
      </c>
      <c r="W52" s="196"/>
      <c r="X52" s="196"/>
      <c r="Y52" s="196"/>
      <c r="Z52" s="196"/>
      <c r="AA52" s="196"/>
      <c r="AB52" s="196"/>
      <c r="AC52" s="196"/>
      <c r="AD52" s="196"/>
      <c r="AE52" s="196"/>
      <c r="AF52" s="196"/>
    </row>
    <row r="53" spans="6:32" x14ac:dyDescent="0.25">
      <c r="F53" s="233" t="s">
        <v>78</v>
      </c>
      <c r="G53" s="233">
        <v>7.7294104545059875E-2</v>
      </c>
      <c r="H53" s="233"/>
      <c r="J53" s="233" t="s">
        <v>78</v>
      </c>
      <c r="K53" s="233">
        <v>-0.51172849127555231</v>
      </c>
      <c r="L53" s="233"/>
      <c r="N53" s="233" t="s">
        <v>78</v>
      </c>
      <c r="O53" s="233">
        <v>0.69453871554192326</v>
      </c>
      <c r="P53" s="233"/>
      <c r="T53" s="105"/>
      <c r="U53" s="105"/>
      <c r="V53" s="194" t="s">
        <v>4</v>
      </c>
      <c r="W53" s="194"/>
      <c r="X53" s="194"/>
      <c r="Z53" s="194" t="s">
        <v>5</v>
      </c>
      <c r="AA53" s="194"/>
      <c r="AB53" s="194"/>
      <c r="AD53" s="194" t="s">
        <v>70</v>
      </c>
      <c r="AE53" s="194"/>
      <c r="AF53" s="194"/>
    </row>
    <row r="54" spans="6:32" ht="15.75" thickBot="1" x14ac:dyDescent="0.3">
      <c r="F54" s="233" t="s">
        <v>79</v>
      </c>
      <c r="G54" s="233">
        <v>0</v>
      </c>
      <c r="H54" s="233"/>
      <c r="J54" s="233" t="s">
        <v>79</v>
      </c>
      <c r="K54" s="233">
        <v>0</v>
      </c>
      <c r="L54" s="233"/>
      <c r="N54" s="233" t="s">
        <v>79</v>
      </c>
      <c r="O54" s="233">
        <v>0</v>
      </c>
      <c r="P54" s="233"/>
      <c r="T54" s="105"/>
      <c r="U54" s="105"/>
    </row>
    <row r="55" spans="6:32" x14ac:dyDescent="0.25">
      <c r="F55" s="233" t="s">
        <v>80</v>
      </c>
      <c r="G55" s="233">
        <v>3</v>
      </c>
      <c r="H55" s="233"/>
      <c r="J55" s="233" t="s">
        <v>80</v>
      </c>
      <c r="K55" s="233">
        <v>3</v>
      </c>
      <c r="L55" s="233"/>
      <c r="N55" s="233" t="s">
        <v>80</v>
      </c>
      <c r="O55" s="233">
        <v>3</v>
      </c>
      <c r="P55" s="233"/>
      <c r="T55" s="105"/>
      <c r="U55" s="105"/>
      <c r="V55" s="17"/>
      <c r="W55" s="17" t="s">
        <v>19</v>
      </c>
      <c r="X55" s="17" t="s">
        <v>71</v>
      </c>
      <c r="Z55" s="17"/>
      <c r="AA55" s="17" t="s">
        <v>19</v>
      </c>
      <c r="AB55" s="17" t="s">
        <v>71</v>
      </c>
      <c r="AD55" s="17"/>
      <c r="AE55" s="17" t="s">
        <v>19</v>
      </c>
      <c r="AF55" s="17" t="s">
        <v>71</v>
      </c>
    </row>
    <row r="56" spans="6:32" x14ac:dyDescent="0.25">
      <c r="F56" s="233" t="s">
        <v>81</v>
      </c>
      <c r="G56" s="233">
        <v>4.2084218250599319</v>
      </c>
      <c r="H56" s="233"/>
      <c r="J56" s="233" t="s">
        <v>81</v>
      </c>
      <c r="K56" s="233">
        <v>0.93912937432231391</v>
      </c>
      <c r="L56" s="233"/>
      <c r="N56" s="233" t="s">
        <v>81</v>
      </c>
      <c r="O56" s="233">
        <v>7.3133298748541158</v>
      </c>
      <c r="P56" s="233"/>
      <c r="T56" s="105"/>
      <c r="U56" s="105"/>
      <c r="V56" t="s">
        <v>75</v>
      </c>
      <c r="W56">
        <v>0.38502246141433677</v>
      </c>
      <c r="X56">
        <v>0.4132326170802112</v>
      </c>
      <c r="Z56" t="s">
        <v>75</v>
      </c>
      <c r="AA56">
        <v>0.82679703831672624</v>
      </c>
      <c r="AB56">
        <v>0.8523104935884469</v>
      </c>
      <c r="AD56" t="s">
        <v>75</v>
      </c>
      <c r="AE56">
        <v>0.34977200627326926</v>
      </c>
      <c r="AF56">
        <v>0.3867298364639275</v>
      </c>
    </row>
    <row r="57" spans="6:32" x14ac:dyDescent="0.25">
      <c r="F57" s="233" t="s">
        <v>82</v>
      </c>
      <c r="G57" s="233">
        <v>1.2250866968115504E-2</v>
      </c>
      <c r="H57" s="233"/>
      <c r="J57" s="233" t="s">
        <v>82</v>
      </c>
      <c r="K57" s="233">
        <v>0.20847273510922854</v>
      </c>
      <c r="L57" s="233"/>
      <c r="N57" s="233" t="s">
        <v>82</v>
      </c>
      <c r="O57" s="233">
        <v>2.6400332393895897E-3</v>
      </c>
      <c r="P57" s="233"/>
      <c r="T57" s="105"/>
      <c r="U57" s="105"/>
      <c r="V57" t="s">
        <v>76</v>
      </c>
      <c r="W57">
        <v>2.0421306342850074E-3</v>
      </c>
      <c r="X57">
        <v>4.2522932435824501E-3</v>
      </c>
      <c r="Z57" t="s">
        <v>76</v>
      </c>
      <c r="AA57">
        <v>2.0820900340724109E-4</v>
      </c>
      <c r="AB57">
        <v>8.4520926950369188E-5</v>
      </c>
      <c r="AD57" t="s">
        <v>76</v>
      </c>
      <c r="AE57">
        <v>1.1404303222561304E-3</v>
      </c>
      <c r="AF57">
        <v>6.9653083721968486E-4</v>
      </c>
    </row>
    <row r="58" spans="6:32" x14ac:dyDescent="0.25">
      <c r="F58" s="233" t="s">
        <v>83</v>
      </c>
      <c r="G58" s="233">
        <v>2.3533634348018233</v>
      </c>
      <c r="H58" s="233"/>
      <c r="J58" s="233" t="s">
        <v>83</v>
      </c>
      <c r="K58" s="233">
        <v>2.3533634348018233</v>
      </c>
      <c r="L58" s="233"/>
      <c r="N58" s="233" t="s">
        <v>83</v>
      </c>
      <c r="O58" s="233">
        <v>2.3533634348018233</v>
      </c>
      <c r="P58" s="233"/>
      <c r="T58" s="105"/>
      <c r="U58" s="105"/>
      <c r="V58" t="s">
        <v>77</v>
      </c>
      <c r="W58">
        <v>4</v>
      </c>
      <c r="X58">
        <v>4</v>
      </c>
      <c r="Z58" t="s">
        <v>77</v>
      </c>
      <c r="AA58">
        <v>4</v>
      </c>
      <c r="AB58">
        <v>4</v>
      </c>
      <c r="AD58" t="s">
        <v>77</v>
      </c>
      <c r="AE58">
        <v>4</v>
      </c>
      <c r="AF58">
        <v>4</v>
      </c>
    </row>
    <row r="59" spans="6:32" x14ac:dyDescent="0.25">
      <c r="F59" s="233" t="s">
        <v>84</v>
      </c>
      <c r="G59" s="233">
        <v>2.4501733936231007E-2</v>
      </c>
      <c r="H59" s="233"/>
      <c r="J59" s="233" t="s">
        <v>84</v>
      </c>
      <c r="K59" s="233">
        <v>0.41694547021845707</v>
      </c>
      <c r="L59" s="233"/>
      <c r="N59" s="233" t="s">
        <v>84</v>
      </c>
      <c r="O59" s="233">
        <v>5.2800664787791794E-3</v>
      </c>
      <c r="P59" s="233"/>
      <c r="T59" s="105"/>
      <c r="U59" s="105"/>
      <c r="V59" t="s">
        <v>78</v>
      </c>
      <c r="W59">
        <v>-9.4390056274429021E-2</v>
      </c>
      <c r="Z59" t="s">
        <v>78</v>
      </c>
      <c r="AA59">
        <v>-0.88670075976385365</v>
      </c>
      <c r="AD59" t="s">
        <v>78</v>
      </c>
      <c r="AE59">
        <v>-0.21994561953290079</v>
      </c>
    </row>
    <row r="60" spans="6:32" ht="15.75" thickBot="1" x14ac:dyDescent="0.3">
      <c r="F60" s="234" t="s">
        <v>85</v>
      </c>
      <c r="G60" s="234">
        <v>3.1824463052837091</v>
      </c>
      <c r="H60" s="234"/>
      <c r="J60" s="234" t="s">
        <v>85</v>
      </c>
      <c r="K60" s="234">
        <v>3.1824463052837091</v>
      </c>
      <c r="L60" s="234"/>
      <c r="N60" s="234" t="s">
        <v>85</v>
      </c>
      <c r="O60" s="234">
        <v>3.1824463052837091</v>
      </c>
      <c r="P60" s="234"/>
      <c r="T60" s="105"/>
      <c r="U60" s="105"/>
      <c r="V60" t="s">
        <v>79</v>
      </c>
      <c r="W60">
        <v>0</v>
      </c>
      <c r="Z60" t="s">
        <v>79</v>
      </c>
      <c r="AA60">
        <v>0</v>
      </c>
      <c r="AD60" t="s">
        <v>79</v>
      </c>
      <c r="AE60">
        <v>0</v>
      </c>
    </row>
    <row r="61" spans="6:32" x14ac:dyDescent="0.25">
      <c r="F61" t="str">
        <f>IF(H50 &gt; G50, "Medical &lt; Video", "Medical &gt; Video")</f>
        <v>Medical &gt; Video</v>
      </c>
      <c r="G61" s="171" t="str">
        <f>IF(G57 &lt; 0.05, "Significant", "Not Significant")</f>
        <v>Significant</v>
      </c>
      <c r="H61" s="171"/>
      <c r="J61" t="str">
        <f>IF(L50 &gt; K50, "Medical &lt; Video", "Medical &gt; Video")</f>
        <v>Medical &gt; Video</v>
      </c>
      <c r="K61" s="171" t="str">
        <f>IF(K57 &lt; 0.05, "Significant", "Not Significant")</f>
        <v>Not Significant</v>
      </c>
      <c r="L61" s="171"/>
      <c r="N61" t="str">
        <f>IF(P50 &gt; O50, "Medical &lt; Video", "Medical &gt; Video")</f>
        <v>Medical &gt; Video</v>
      </c>
      <c r="O61" s="171" t="str">
        <f>IF(O57 &lt; 0.05, "Significant", "Not Significant")</f>
        <v>Significant</v>
      </c>
      <c r="P61" s="171"/>
      <c r="T61" s="105"/>
      <c r="U61" s="105"/>
      <c r="V61" t="s">
        <v>80</v>
      </c>
      <c r="W61">
        <v>3</v>
      </c>
      <c r="Z61" t="s">
        <v>80</v>
      </c>
      <c r="AA61">
        <v>3</v>
      </c>
      <c r="AD61" t="s">
        <v>80</v>
      </c>
      <c r="AE61">
        <v>3</v>
      </c>
    </row>
    <row r="62" spans="6:32" x14ac:dyDescent="0.25">
      <c r="F62">
        <f>G57</f>
        <v>1.2250866968115504E-2</v>
      </c>
      <c r="J62">
        <f>K57</f>
        <v>0.20847273510922854</v>
      </c>
      <c r="N62">
        <f>O57</f>
        <v>2.6400332393895897E-3</v>
      </c>
      <c r="T62" s="105"/>
      <c r="U62" s="105"/>
      <c r="V62" t="s">
        <v>81</v>
      </c>
      <c r="W62">
        <v>-0.68165908067244019</v>
      </c>
      <c r="Z62" t="s">
        <v>81</v>
      </c>
      <c r="AA62">
        <v>-2.2206928301546718</v>
      </c>
      <c r="AD62" t="s">
        <v>81</v>
      </c>
      <c r="AE62">
        <v>-1.5655956308709396</v>
      </c>
    </row>
    <row r="63" spans="6:32" x14ac:dyDescent="0.25">
      <c r="T63" s="105"/>
      <c r="U63" s="105"/>
      <c r="V63" t="s">
        <v>82</v>
      </c>
      <c r="W63">
        <v>0.27218127403924619</v>
      </c>
      <c r="Z63" t="s">
        <v>82</v>
      </c>
      <c r="AA63">
        <v>5.6485147534553679E-2</v>
      </c>
      <c r="AD63" t="s">
        <v>82</v>
      </c>
      <c r="AE63">
        <v>0.10770771606398115</v>
      </c>
    </row>
    <row r="64" spans="6:32" x14ac:dyDescent="0.25">
      <c r="T64" s="105"/>
      <c r="U64" s="105"/>
      <c r="V64" t="s">
        <v>83</v>
      </c>
      <c r="W64">
        <v>2.3533634348018233</v>
      </c>
      <c r="Z64" t="s">
        <v>83</v>
      </c>
      <c r="AA64">
        <v>2.3533634348018233</v>
      </c>
      <c r="AD64" t="s">
        <v>83</v>
      </c>
      <c r="AE64">
        <v>2.3533634348018233</v>
      </c>
    </row>
    <row r="65" spans="20:32" x14ac:dyDescent="0.25">
      <c r="T65" s="105"/>
      <c r="U65" s="105"/>
      <c r="V65" t="s">
        <v>84</v>
      </c>
      <c r="W65">
        <v>0.54436254807849238</v>
      </c>
      <c r="Z65" t="s">
        <v>84</v>
      </c>
      <c r="AA65">
        <v>0.11297029506910736</v>
      </c>
      <c r="AD65" t="s">
        <v>84</v>
      </c>
      <c r="AE65">
        <v>0.2154154321279623</v>
      </c>
    </row>
    <row r="66" spans="20:32" ht="15.75" thickBot="1" x14ac:dyDescent="0.3">
      <c r="T66" s="105"/>
      <c r="U66" s="105"/>
      <c r="V66" s="16" t="s">
        <v>85</v>
      </c>
      <c r="W66" s="16">
        <v>3.1824463052837091</v>
      </c>
      <c r="X66" s="16"/>
      <c r="Z66" s="16" t="s">
        <v>85</v>
      </c>
      <c r="AA66" s="16">
        <v>3.1824463052837091</v>
      </c>
      <c r="AB66" s="16"/>
      <c r="AD66" s="16" t="s">
        <v>85</v>
      </c>
      <c r="AE66" s="16">
        <v>3.1824463052837091</v>
      </c>
      <c r="AF66" s="16"/>
    </row>
    <row r="67" spans="20:32" x14ac:dyDescent="0.25">
      <c r="T67" s="105"/>
      <c r="U67" s="105"/>
      <c r="V67" t="str">
        <f>IF(X56 &gt; W56, "Pretrained &gt; Fresh", "Pretrained &lt; Fresh")</f>
        <v>Pretrained &gt; Fresh</v>
      </c>
      <c r="W67" s="171" t="str">
        <f>IF(W63 &lt; 0.05, "Significant", "Not Significant")</f>
        <v>Not Significant</v>
      </c>
      <c r="X67" s="171"/>
      <c r="Z67" t="str">
        <f>IF(AB56 &gt; AA56, "Pretrained &gt; Fresh", "Pretrained &lt; Fresh")</f>
        <v>Pretrained &gt; Fresh</v>
      </c>
      <c r="AA67" s="171" t="str">
        <f>IF(AA63 &lt; 0.05, "Significant", "Not Significant")</f>
        <v>Not Significant</v>
      </c>
      <c r="AB67" s="171"/>
      <c r="AD67" t="str">
        <f>IF(AF56 &gt; AE56, "Pretrained &gt; Fresh", "Pretrained &lt; Fresh")</f>
        <v>Pretrained &gt; Fresh</v>
      </c>
      <c r="AE67" s="171" t="str">
        <f>IF(AE63 &lt; 0.05, "Significant", "Not Significant")</f>
        <v>Not Significant</v>
      </c>
      <c r="AF67" s="171"/>
    </row>
    <row r="68" spans="20:32" x14ac:dyDescent="0.25">
      <c r="T68" s="105"/>
      <c r="U68" s="105"/>
      <c r="V68">
        <f>W63</f>
        <v>0.27218127403924619</v>
      </c>
      <c r="Z68">
        <f>AA63</f>
        <v>5.6485147534553679E-2</v>
      </c>
      <c r="AD68">
        <f>AE63</f>
        <v>0.10770771606398115</v>
      </c>
    </row>
    <row r="69" spans="20:32" x14ac:dyDescent="0.25">
      <c r="T69" s="105"/>
      <c r="U69" s="105">
        <v>50</v>
      </c>
      <c r="V69" s="195" t="s">
        <v>13</v>
      </c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</row>
    <row r="70" spans="20:32" x14ac:dyDescent="0.25">
      <c r="T70" s="105"/>
      <c r="U70" s="105"/>
      <c r="V70" t="s">
        <v>140</v>
      </c>
      <c r="Z70" t="s">
        <v>140</v>
      </c>
      <c r="AD70" t="s">
        <v>140</v>
      </c>
    </row>
    <row r="71" spans="20:32" ht="15.75" thickBot="1" x14ac:dyDescent="0.3">
      <c r="T71" s="105"/>
      <c r="U71" s="105"/>
    </row>
    <row r="72" spans="20:32" x14ac:dyDescent="0.25">
      <c r="T72" s="105"/>
      <c r="U72" s="105"/>
      <c r="V72" s="17"/>
      <c r="W72" s="17" t="s">
        <v>19</v>
      </c>
      <c r="X72" s="17" t="s">
        <v>71</v>
      </c>
      <c r="Z72" s="17"/>
      <c r="AA72" s="17" t="s">
        <v>19</v>
      </c>
      <c r="AB72" s="17" t="s">
        <v>71</v>
      </c>
      <c r="AD72" s="17"/>
      <c r="AE72" s="17" t="s">
        <v>19</v>
      </c>
      <c r="AF72" s="17" t="s">
        <v>71</v>
      </c>
    </row>
    <row r="73" spans="20:32" x14ac:dyDescent="0.25">
      <c r="T73" s="105"/>
      <c r="U73" s="105"/>
      <c r="V73" t="s">
        <v>75</v>
      </c>
      <c r="W73">
        <v>0.39605399221181825</v>
      </c>
      <c r="X73">
        <v>0.46846696734428372</v>
      </c>
      <c r="Z73" t="s">
        <v>75</v>
      </c>
      <c r="AA73">
        <v>0.84956972301006273</v>
      </c>
      <c r="AB73">
        <v>0.87897551059722867</v>
      </c>
      <c r="AD73" t="s">
        <v>75</v>
      </c>
      <c r="AE73">
        <v>0.43631208688020673</v>
      </c>
      <c r="AF73">
        <v>0.46164209395646999</v>
      </c>
    </row>
    <row r="74" spans="20:32" x14ac:dyDescent="0.25">
      <c r="T74" s="105"/>
      <c r="U74" s="105"/>
      <c r="V74" t="s">
        <v>76</v>
      </c>
      <c r="W74">
        <v>2.980016543469318E-3</v>
      </c>
      <c r="X74">
        <v>6.552904461525318E-4</v>
      </c>
      <c r="Z74" t="s">
        <v>76</v>
      </c>
      <c r="AA74">
        <v>5.531241296698339E-4</v>
      </c>
      <c r="AB74">
        <v>6.7056542729205268E-4</v>
      </c>
      <c r="AD74" t="s">
        <v>76</v>
      </c>
      <c r="AE74">
        <v>1.7683844106572289E-3</v>
      </c>
      <c r="AF74">
        <v>2.8120731282934327E-3</v>
      </c>
    </row>
    <row r="75" spans="20:32" x14ac:dyDescent="0.25">
      <c r="T75" s="105"/>
      <c r="U75" s="105"/>
      <c r="V75" t="s">
        <v>77</v>
      </c>
      <c r="W75">
        <v>4</v>
      </c>
      <c r="X75">
        <v>4</v>
      </c>
      <c r="Z75" t="s">
        <v>77</v>
      </c>
      <c r="AA75">
        <v>4</v>
      </c>
      <c r="AB75">
        <v>4</v>
      </c>
      <c r="AD75" t="s">
        <v>77</v>
      </c>
      <c r="AE75">
        <v>4</v>
      </c>
      <c r="AF75">
        <v>4</v>
      </c>
    </row>
    <row r="76" spans="20:32" x14ac:dyDescent="0.25">
      <c r="T76" s="105"/>
      <c r="U76" s="105"/>
      <c r="V76" t="s">
        <v>78</v>
      </c>
      <c r="W76">
        <v>-0.39865279846057972</v>
      </c>
      <c r="Z76" t="s">
        <v>78</v>
      </c>
      <c r="AA76">
        <v>0.77172431002670505</v>
      </c>
      <c r="AD76" t="s">
        <v>78</v>
      </c>
      <c r="AE76">
        <v>0.16204986594605292</v>
      </c>
    </row>
    <row r="77" spans="20:32" x14ac:dyDescent="0.25">
      <c r="T77" s="105"/>
      <c r="U77" s="105"/>
      <c r="V77" t="s">
        <v>79</v>
      </c>
      <c r="W77">
        <v>0</v>
      </c>
      <c r="Z77" t="s">
        <v>79</v>
      </c>
      <c r="AA77">
        <v>0</v>
      </c>
      <c r="AD77" t="s">
        <v>79</v>
      </c>
      <c r="AE77">
        <v>0</v>
      </c>
    </row>
    <row r="78" spans="20:32" x14ac:dyDescent="0.25">
      <c r="T78" s="105"/>
      <c r="U78" s="105"/>
      <c r="V78" t="s">
        <v>80</v>
      </c>
      <c r="W78">
        <v>3</v>
      </c>
      <c r="Z78" t="s">
        <v>80</v>
      </c>
      <c r="AA78">
        <v>3</v>
      </c>
      <c r="AD78" t="s">
        <v>80</v>
      </c>
      <c r="AE78">
        <v>3</v>
      </c>
    </row>
    <row r="79" spans="20:32" x14ac:dyDescent="0.25">
      <c r="T79" s="105"/>
      <c r="U79" s="105"/>
      <c r="V79" t="s">
        <v>81</v>
      </c>
      <c r="W79">
        <v>-2.1014716659167174</v>
      </c>
      <c r="Z79" t="s">
        <v>81</v>
      </c>
      <c r="AA79">
        <v>-3.4916833290145184</v>
      </c>
      <c r="AD79" t="s">
        <v>81</v>
      </c>
      <c r="AE79">
        <v>-0.81564265131082503</v>
      </c>
    </row>
    <row r="80" spans="20:32" x14ac:dyDescent="0.25">
      <c r="T80" s="105"/>
      <c r="U80" s="105"/>
      <c r="V80" t="s">
        <v>82</v>
      </c>
      <c r="W80">
        <v>6.319401373850668E-2</v>
      </c>
      <c r="Z80" t="s">
        <v>82</v>
      </c>
      <c r="AA80">
        <v>1.9859268259337478E-2</v>
      </c>
      <c r="AD80" t="s">
        <v>82</v>
      </c>
      <c r="AE80">
        <v>0.23722088149359102</v>
      </c>
    </row>
    <row r="81" spans="20:32" x14ac:dyDescent="0.25">
      <c r="T81" s="105"/>
      <c r="U81" s="105"/>
      <c r="V81" t="s">
        <v>83</v>
      </c>
      <c r="W81">
        <v>2.3533634348018233</v>
      </c>
      <c r="Z81" t="s">
        <v>83</v>
      </c>
      <c r="AA81">
        <v>2.3533634348018233</v>
      </c>
      <c r="AD81" t="s">
        <v>83</v>
      </c>
      <c r="AE81">
        <v>2.3533634348018233</v>
      </c>
    </row>
    <row r="82" spans="20:32" x14ac:dyDescent="0.25">
      <c r="T82" s="105"/>
      <c r="U82" s="105"/>
      <c r="V82" t="s">
        <v>84</v>
      </c>
      <c r="W82">
        <v>0.12638802747701336</v>
      </c>
      <c r="Z82" t="s">
        <v>84</v>
      </c>
      <c r="AA82">
        <v>3.9718536518674956E-2</v>
      </c>
      <c r="AD82" t="s">
        <v>84</v>
      </c>
      <c r="AE82">
        <v>0.47444176298718205</v>
      </c>
    </row>
    <row r="83" spans="20:32" ht="15.75" thickBot="1" x14ac:dyDescent="0.3">
      <c r="T83" s="105"/>
      <c r="U83" s="105"/>
      <c r="V83" s="16" t="s">
        <v>85</v>
      </c>
      <c r="W83" s="16">
        <v>3.1824463052837091</v>
      </c>
      <c r="X83" s="16"/>
      <c r="Z83" s="16" t="s">
        <v>85</v>
      </c>
      <c r="AA83" s="16">
        <v>3.1824463052837091</v>
      </c>
      <c r="AB83" s="16"/>
      <c r="AD83" s="16" t="s">
        <v>85</v>
      </c>
      <c r="AE83" s="16">
        <v>3.1824463052837091</v>
      </c>
      <c r="AF83" s="16"/>
    </row>
    <row r="84" spans="20:32" x14ac:dyDescent="0.25">
      <c r="T84" s="105"/>
      <c r="U84" s="105"/>
      <c r="V84" t="str">
        <f>IF(X73 &gt; W73, "Pretrained &gt; Fresh", "Pretrained &lt; Fresh")</f>
        <v>Pretrained &gt; Fresh</v>
      </c>
      <c r="W84" s="171" t="str">
        <f>IF(W80 &lt; 0.05, "Significant", "Not Significant")</f>
        <v>Not Significant</v>
      </c>
      <c r="X84" s="171"/>
      <c r="Z84" t="str">
        <f>IF(AB73 &gt; AA73, "Pretrained &gt; Fresh", "Pretrained &lt; Fresh")</f>
        <v>Pretrained &gt; Fresh</v>
      </c>
      <c r="AA84" s="171" t="str">
        <f>IF(AA80 &lt; 0.05, "Significant", "Not Significant")</f>
        <v>Significant</v>
      </c>
      <c r="AB84" s="171"/>
      <c r="AD84" t="str">
        <f>IF(AF73 &gt; AE73, "Pretrained &gt; Fresh", "Pretrained &lt; Fresh")</f>
        <v>Pretrained &gt; Fresh</v>
      </c>
      <c r="AE84" s="171" t="str">
        <f>IF(AE80 &lt; 0.05, "Significant", "Not Significant")</f>
        <v>Not Significant</v>
      </c>
      <c r="AF84" s="171"/>
    </row>
    <row r="85" spans="20:32" x14ac:dyDescent="0.25">
      <c r="T85" s="105"/>
      <c r="U85" s="105"/>
      <c r="V85">
        <f>W80</f>
        <v>6.319401373850668E-2</v>
      </c>
      <c r="Z85">
        <f>AA80</f>
        <v>1.9859268259337478E-2</v>
      </c>
      <c r="AD85">
        <f>AE80</f>
        <v>0.23722088149359102</v>
      </c>
    </row>
    <row r="86" spans="20:32" x14ac:dyDescent="0.25">
      <c r="T86" s="105"/>
      <c r="U86" s="105"/>
      <c r="V86" s="196" t="s">
        <v>14</v>
      </c>
      <c r="W86" s="196"/>
      <c r="X86" s="196"/>
      <c r="Y86" s="196"/>
      <c r="Z86" s="196"/>
      <c r="AA86" s="196"/>
      <c r="AB86" s="196"/>
      <c r="AC86" s="196"/>
      <c r="AD86" s="196"/>
      <c r="AE86" s="196"/>
      <c r="AF86" s="196"/>
    </row>
    <row r="87" spans="20:32" x14ac:dyDescent="0.25">
      <c r="T87" s="105"/>
      <c r="U87" s="105"/>
      <c r="V87" t="s">
        <v>140</v>
      </c>
      <c r="Z87" t="s">
        <v>140</v>
      </c>
      <c r="AD87" t="s">
        <v>140</v>
      </c>
    </row>
    <row r="88" spans="20:32" ht="15.75" thickBot="1" x14ac:dyDescent="0.3">
      <c r="T88" s="105"/>
      <c r="U88" s="105"/>
    </row>
    <row r="89" spans="20:32" x14ac:dyDescent="0.25">
      <c r="T89" s="105"/>
      <c r="U89" s="105"/>
      <c r="V89" s="17"/>
      <c r="W89" s="17" t="s">
        <v>19</v>
      </c>
      <c r="X89" s="17" t="s">
        <v>71</v>
      </c>
      <c r="Z89" s="17"/>
      <c r="AA89" s="17" t="s">
        <v>19</v>
      </c>
      <c r="AB89" s="17" t="s">
        <v>71</v>
      </c>
      <c r="AD89" s="17"/>
      <c r="AE89" s="17" t="s">
        <v>19</v>
      </c>
      <c r="AF89" s="17" t="s">
        <v>71</v>
      </c>
    </row>
    <row r="90" spans="20:32" x14ac:dyDescent="0.25">
      <c r="T90" s="105"/>
      <c r="U90" s="105"/>
      <c r="V90" t="s">
        <v>75</v>
      </c>
      <c r="W90">
        <v>0.34974159300327251</v>
      </c>
      <c r="X90">
        <v>0.44309537112712805</v>
      </c>
      <c r="Z90" t="s">
        <v>75</v>
      </c>
      <c r="AA90">
        <v>0.82725766301155024</v>
      </c>
      <c r="AB90">
        <v>0.86325123906135504</v>
      </c>
      <c r="AD90" t="s">
        <v>75</v>
      </c>
      <c r="AE90">
        <v>0.32651930302381449</v>
      </c>
      <c r="AF90">
        <v>0.43440435826778373</v>
      </c>
    </row>
    <row r="91" spans="20:32" x14ac:dyDescent="0.25">
      <c r="T91" s="105"/>
      <c r="U91" s="105"/>
      <c r="V91" t="s">
        <v>76</v>
      </c>
      <c r="W91">
        <v>1.6578729863096868E-3</v>
      </c>
      <c r="X91">
        <v>6.4710287290174653E-4</v>
      </c>
      <c r="Z91" t="s">
        <v>76</v>
      </c>
      <c r="AA91">
        <v>7.3860115788094494E-4</v>
      </c>
      <c r="AB91">
        <v>9.9916091889672531E-5</v>
      </c>
      <c r="AD91" t="s">
        <v>76</v>
      </c>
      <c r="AE91">
        <v>1.5401033173776946E-3</v>
      </c>
      <c r="AF91">
        <v>3.3497088794082566E-3</v>
      </c>
    </row>
    <row r="92" spans="20:32" x14ac:dyDescent="0.25">
      <c r="T92" s="105"/>
      <c r="U92" s="105"/>
      <c r="V92" t="s">
        <v>77</v>
      </c>
      <c r="W92">
        <v>4</v>
      </c>
      <c r="X92">
        <v>4</v>
      </c>
      <c r="Z92" t="s">
        <v>77</v>
      </c>
      <c r="AA92">
        <v>4</v>
      </c>
      <c r="AB92">
        <v>4</v>
      </c>
      <c r="AD92" t="s">
        <v>77</v>
      </c>
      <c r="AE92">
        <v>4</v>
      </c>
      <c r="AF92">
        <v>4</v>
      </c>
    </row>
    <row r="93" spans="20:32" x14ac:dyDescent="0.25">
      <c r="T93" s="105"/>
      <c r="U93" s="105"/>
      <c r="V93" t="s">
        <v>78</v>
      </c>
      <c r="W93">
        <v>0.51185677080975722</v>
      </c>
      <c r="Z93" t="s">
        <v>78</v>
      </c>
      <c r="AA93">
        <v>-4.0413231244134727E-2</v>
      </c>
      <c r="AD93" t="s">
        <v>78</v>
      </c>
      <c r="AE93">
        <v>0.63590652279902948</v>
      </c>
    </row>
    <row r="94" spans="20:32" x14ac:dyDescent="0.25">
      <c r="T94" s="105"/>
      <c r="U94" s="105"/>
      <c r="V94" t="s">
        <v>79</v>
      </c>
      <c r="W94">
        <v>0</v>
      </c>
      <c r="Z94" t="s">
        <v>79</v>
      </c>
      <c r="AA94">
        <v>0</v>
      </c>
      <c r="AD94" t="s">
        <v>79</v>
      </c>
      <c r="AE94">
        <v>0</v>
      </c>
    </row>
    <row r="95" spans="20:32" x14ac:dyDescent="0.25">
      <c r="T95" s="105"/>
      <c r="U95" s="105"/>
      <c r="V95" t="s">
        <v>80</v>
      </c>
      <c r="W95">
        <v>3</v>
      </c>
      <c r="Z95" t="s">
        <v>80</v>
      </c>
      <c r="AA95">
        <v>3</v>
      </c>
      <c r="AD95" t="s">
        <v>80</v>
      </c>
      <c r="AE95">
        <v>3</v>
      </c>
    </row>
    <row r="96" spans="20:32" x14ac:dyDescent="0.25">
      <c r="T96" s="105"/>
      <c r="U96" s="105"/>
      <c r="V96" t="s">
        <v>81</v>
      </c>
      <c r="W96">
        <v>-5.2922318669486526</v>
      </c>
      <c r="Z96" t="s">
        <v>81</v>
      </c>
      <c r="AA96">
        <v>-2.4540647180195885</v>
      </c>
      <c r="AD96" t="s">
        <v>81</v>
      </c>
      <c r="AE96">
        <v>-4.8234197263711422</v>
      </c>
    </row>
    <row r="97" spans="20:32" x14ac:dyDescent="0.25">
      <c r="T97" s="105"/>
      <c r="U97" s="105"/>
      <c r="V97" t="s">
        <v>82</v>
      </c>
      <c r="W97">
        <v>6.5817162898569445E-3</v>
      </c>
      <c r="Z97" t="s">
        <v>82</v>
      </c>
      <c r="AA97">
        <v>4.567418284600485E-2</v>
      </c>
      <c r="AD97" t="s">
        <v>82</v>
      </c>
      <c r="AE97">
        <v>8.490783116542543E-3</v>
      </c>
    </row>
    <row r="98" spans="20:32" x14ac:dyDescent="0.25">
      <c r="T98" s="105"/>
      <c r="U98" s="105"/>
      <c r="V98" t="s">
        <v>83</v>
      </c>
      <c r="W98">
        <v>2.3533634348018233</v>
      </c>
      <c r="Z98" t="s">
        <v>83</v>
      </c>
      <c r="AA98">
        <v>2.3533634348018233</v>
      </c>
      <c r="AD98" t="s">
        <v>83</v>
      </c>
      <c r="AE98">
        <v>2.3533634348018233</v>
      </c>
    </row>
    <row r="99" spans="20:32" x14ac:dyDescent="0.25">
      <c r="T99" s="105"/>
      <c r="U99" s="105"/>
      <c r="V99" t="s">
        <v>84</v>
      </c>
      <c r="W99">
        <v>1.3163432579713889E-2</v>
      </c>
      <c r="Z99" t="s">
        <v>84</v>
      </c>
      <c r="AA99">
        <v>9.13483656920097E-2</v>
      </c>
      <c r="AD99" t="s">
        <v>84</v>
      </c>
      <c r="AE99">
        <v>1.6981566233085086E-2</v>
      </c>
    </row>
    <row r="100" spans="20:32" ht="15.75" thickBot="1" x14ac:dyDescent="0.3">
      <c r="T100" s="105"/>
      <c r="U100" s="105"/>
      <c r="V100" s="16" t="s">
        <v>85</v>
      </c>
      <c r="W100" s="16">
        <v>3.1824463052837091</v>
      </c>
      <c r="X100" s="16"/>
      <c r="Z100" s="16" t="s">
        <v>85</v>
      </c>
      <c r="AA100" s="16">
        <v>3.1824463052837091</v>
      </c>
      <c r="AB100" s="16"/>
      <c r="AD100" s="16" t="s">
        <v>85</v>
      </c>
      <c r="AE100" s="16">
        <v>3.1824463052837091</v>
      </c>
      <c r="AF100" s="16"/>
    </row>
    <row r="101" spans="20:32" x14ac:dyDescent="0.25">
      <c r="T101" s="105"/>
      <c r="U101" s="105"/>
      <c r="V101" t="str">
        <f>IF(X90 &gt; W90, "Pretrained &gt; Fresh", "Pretrained &lt; Fresh")</f>
        <v>Pretrained &gt; Fresh</v>
      </c>
      <c r="W101" s="171" t="str">
        <f>IF(W97 &lt; 0.05, "Significant", "Not Significant")</f>
        <v>Significant</v>
      </c>
      <c r="X101" s="171"/>
      <c r="Z101" t="str">
        <f>IF(AB90 &gt; AA90, "Pretrained &gt; Fresh", "Pretrained &lt; Fresh")</f>
        <v>Pretrained &gt; Fresh</v>
      </c>
      <c r="AA101" s="171" t="str">
        <f>IF(AA97 &lt; 0.05, "Significant", "Not Significant")</f>
        <v>Significant</v>
      </c>
      <c r="AB101" s="171"/>
      <c r="AD101" t="str">
        <f>IF(AF90 &gt; AE90, "Pretrained &gt; Fresh", "Pretrained &lt; Fresh")</f>
        <v>Pretrained &gt; Fresh</v>
      </c>
      <c r="AE101" s="171" t="str">
        <f>IF(AE97 &lt; 0.05, "Significant", "Not Significant")</f>
        <v>Significant</v>
      </c>
      <c r="AF101" s="171"/>
    </row>
    <row r="102" spans="20:32" x14ac:dyDescent="0.25">
      <c r="T102" s="105"/>
      <c r="U102" s="105"/>
      <c r="V102">
        <f>W97</f>
        <v>6.5817162898569445E-3</v>
      </c>
      <c r="Z102">
        <f>AA97</f>
        <v>4.567418284600485E-2</v>
      </c>
      <c r="AD102">
        <f>AE97</f>
        <v>8.490783116542543E-3</v>
      </c>
    </row>
    <row r="103" spans="20:32" x14ac:dyDescent="0.25">
      <c r="V103" s="193" t="s">
        <v>72</v>
      </c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</row>
    <row r="104" spans="20:32" x14ac:dyDescent="0.25">
      <c r="V104" s="194" t="s">
        <v>90</v>
      </c>
      <c r="W104" s="194"/>
      <c r="X104" s="194"/>
      <c r="Z104" s="194" t="s">
        <v>91</v>
      </c>
      <c r="AA104" s="194"/>
      <c r="AB104" s="194"/>
      <c r="AD104" s="194" t="s">
        <v>92</v>
      </c>
      <c r="AE104" s="194"/>
      <c r="AF104" s="194"/>
    </row>
    <row r="105" spans="20:32" ht="15.75" thickBot="1" x14ac:dyDescent="0.3"/>
    <row r="106" spans="20:32" x14ac:dyDescent="0.25">
      <c r="V106" s="17"/>
      <c r="W106" s="17" t="s">
        <v>19</v>
      </c>
      <c r="X106" s="17" t="s">
        <v>71</v>
      </c>
      <c r="Z106" s="17"/>
      <c r="AA106" s="17" t="s">
        <v>19</v>
      </c>
      <c r="AB106" s="17" t="s">
        <v>71</v>
      </c>
      <c r="AD106" s="17"/>
      <c r="AE106" s="17" t="s">
        <v>19</v>
      </c>
      <c r="AF106" s="17" t="s">
        <v>71</v>
      </c>
    </row>
    <row r="107" spans="20:32" x14ac:dyDescent="0.25">
      <c r="V107" t="s">
        <v>75</v>
      </c>
      <c r="W107">
        <v>18.75</v>
      </c>
      <c r="X107">
        <v>7</v>
      </c>
      <c r="Z107" t="s">
        <v>75</v>
      </c>
      <c r="AA107">
        <v>30</v>
      </c>
      <c r="AB107">
        <v>16</v>
      </c>
      <c r="AD107" t="s">
        <v>75</v>
      </c>
      <c r="AE107">
        <v>20.75</v>
      </c>
      <c r="AF107">
        <v>10.25</v>
      </c>
    </row>
    <row r="108" spans="20:32" x14ac:dyDescent="0.25">
      <c r="V108" t="s">
        <v>76</v>
      </c>
      <c r="W108">
        <v>116.91666666666667</v>
      </c>
      <c r="X108">
        <v>1.3333333333333333</v>
      </c>
      <c r="Z108" t="s">
        <v>76</v>
      </c>
      <c r="AA108">
        <v>120.66666666666667</v>
      </c>
      <c r="AB108">
        <v>148.66666666666666</v>
      </c>
      <c r="AD108" t="s">
        <v>76</v>
      </c>
      <c r="AE108">
        <v>56.25</v>
      </c>
      <c r="AF108">
        <v>46.916666666666664</v>
      </c>
    </row>
    <row r="109" spans="20:32" x14ac:dyDescent="0.25">
      <c r="V109" t="s">
        <v>77</v>
      </c>
      <c r="W109">
        <v>4</v>
      </c>
      <c r="X109">
        <v>4</v>
      </c>
      <c r="Z109" t="s">
        <v>77</v>
      </c>
      <c r="AA109">
        <v>4</v>
      </c>
      <c r="AB109">
        <v>4</v>
      </c>
      <c r="AD109" t="s">
        <v>77</v>
      </c>
      <c r="AE109">
        <v>4</v>
      </c>
      <c r="AF109">
        <v>4</v>
      </c>
    </row>
    <row r="110" spans="20:32" x14ac:dyDescent="0.25">
      <c r="V110" t="s">
        <v>78</v>
      </c>
      <c r="W110">
        <v>-0.24027781497213455</v>
      </c>
      <c r="Z110" t="s">
        <v>78</v>
      </c>
      <c r="AA110">
        <v>-0.39321979489919179</v>
      </c>
      <c r="AD110" t="s">
        <v>78</v>
      </c>
      <c r="AE110">
        <v>-0.66021946661377917</v>
      </c>
    </row>
    <row r="111" spans="20:32" x14ac:dyDescent="0.25">
      <c r="V111" t="s">
        <v>79</v>
      </c>
      <c r="W111">
        <v>0</v>
      </c>
      <c r="Z111" t="s">
        <v>79</v>
      </c>
      <c r="AA111">
        <v>0</v>
      </c>
      <c r="AD111" t="s">
        <v>79</v>
      </c>
      <c r="AE111">
        <v>0</v>
      </c>
    </row>
    <row r="112" spans="20:32" x14ac:dyDescent="0.25">
      <c r="V112" t="s">
        <v>80</v>
      </c>
      <c r="W112">
        <v>3</v>
      </c>
      <c r="Z112" t="s">
        <v>80</v>
      </c>
      <c r="AA112">
        <v>3</v>
      </c>
      <c r="AD112" t="s">
        <v>80</v>
      </c>
      <c r="AE112">
        <v>3</v>
      </c>
    </row>
    <row r="113" spans="22:32" x14ac:dyDescent="0.25">
      <c r="V113" t="s">
        <v>81</v>
      </c>
      <c r="W113">
        <v>2.108238128876406</v>
      </c>
      <c r="Z113" t="s">
        <v>81</v>
      </c>
      <c r="AA113">
        <v>1.4465568396684103</v>
      </c>
      <c r="AD113" t="s">
        <v>81</v>
      </c>
      <c r="AE113">
        <v>1.6059101370939324</v>
      </c>
    </row>
    <row r="114" spans="22:32" x14ac:dyDescent="0.25">
      <c r="V114" t="s">
        <v>82</v>
      </c>
      <c r="W114">
        <v>6.2788599662665465E-2</v>
      </c>
      <c r="Z114" t="s">
        <v>82</v>
      </c>
      <c r="AA114">
        <v>0.12190558684605773</v>
      </c>
      <c r="AD114" t="s">
        <v>82</v>
      </c>
      <c r="AE114">
        <v>0.1033221018754041</v>
      </c>
    </row>
    <row r="115" spans="22:32" x14ac:dyDescent="0.25">
      <c r="V115" t="s">
        <v>83</v>
      </c>
      <c r="W115">
        <v>2.3533634348018233</v>
      </c>
      <c r="Z115" t="s">
        <v>83</v>
      </c>
      <c r="AA115">
        <v>2.3533634348018233</v>
      </c>
      <c r="AD115" t="s">
        <v>83</v>
      </c>
      <c r="AE115">
        <v>2.3533634348018233</v>
      </c>
    </row>
    <row r="116" spans="22:32" x14ac:dyDescent="0.25">
      <c r="V116" t="s">
        <v>84</v>
      </c>
      <c r="W116">
        <v>0.12557719932533093</v>
      </c>
      <c r="Z116" t="s">
        <v>84</v>
      </c>
      <c r="AA116">
        <v>0.24381117369211547</v>
      </c>
      <c r="AD116" t="s">
        <v>84</v>
      </c>
      <c r="AE116">
        <v>0.20664420375080819</v>
      </c>
    </row>
    <row r="117" spans="22:32" ht="15.75" thickBot="1" x14ac:dyDescent="0.3">
      <c r="V117" s="16" t="s">
        <v>85</v>
      </c>
      <c r="W117" s="16">
        <v>3.1824463052837091</v>
      </c>
      <c r="X117" s="16"/>
      <c r="Z117" s="16" t="s">
        <v>85</v>
      </c>
      <c r="AA117" s="16">
        <v>3.1824463052837091</v>
      </c>
      <c r="AB117" s="16"/>
      <c r="AD117" s="16" t="s">
        <v>85</v>
      </c>
      <c r="AE117" s="16">
        <v>3.1824463052837091</v>
      </c>
      <c r="AF117" s="16"/>
    </row>
    <row r="118" spans="22:32" x14ac:dyDescent="0.25">
      <c r="V118" t="str">
        <f>IF(X107 &gt; W107, "Pretrained &gt; Fresh", "Pretrained &lt; Fresh")</f>
        <v>Pretrained &lt; Fresh</v>
      </c>
      <c r="W118" s="171" t="str">
        <f>IF(W114 &lt; 0.05, "Significant", "Not Significant")</f>
        <v>Not Significant</v>
      </c>
      <c r="X118" s="171"/>
      <c r="Z118" t="str">
        <f>IF(AB107 &gt; AA107, "Pretrained &gt; Fresh", "Pretrained &lt; Fresh")</f>
        <v>Pretrained &lt; Fresh</v>
      </c>
      <c r="AA118" s="171" t="str">
        <f>IF(AA114 &lt; 0.05, "Significant", "Not Significant")</f>
        <v>Not Significant</v>
      </c>
      <c r="AB118" s="171"/>
      <c r="AD118" t="str">
        <f>IF(AF107 &gt; AE107, "Pretrained &gt; Fresh", "Pretrained &lt; Fresh")</f>
        <v>Pretrained &lt; Fresh</v>
      </c>
      <c r="AE118" s="171" t="str">
        <f>IF(AE114 &lt; 0.05, "Significant", "Not Significant")</f>
        <v>Not Significant</v>
      </c>
      <c r="AF118" s="171"/>
    </row>
    <row r="119" spans="22:32" x14ac:dyDescent="0.25">
      <c r="V119">
        <f>W114</f>
        <v>6.2788599662665465E-2</v>
      </c>
      <c r="Z119">
        <f>AA114</f>
        <v>0.12190558684605773</v>
      </c>
      <c r="AD119">
        <f>AE114</f>
        <v>0.1033221018754041</v>
      </c>
    </row>
  </sheetData>
  <mergeCells count="75">
    <mergeCell ref="K44:L44"/>
    <mergeCell ref="O44:P44"/>
    <mergeCell ref="G61:H61"/>
    <mergeCell ref="K61:L61"/>
    <mergeCell ref="O61:P61"/>
    <mergeCell ref="A16:A27"/>
    <mergeCell ref="B16:B19"/>
    <mergeCell ref="B20:B23"/>
    <mergeCell ref="B24:B27"/>
    <mergeCell ref="G44:H44"/>
    <mergeCell ref="A1:B1"/>
    <mergeCell ref="C1:C3"/>
    <mergeCell ref="D1:E1"/>
    <mergeCell ref="F1:K1"/>
    <mergeCell ref="L1:Q1"/>
    <mergeCell ref="A2:A3"/>
    <mergeCell ref="B2:B3"/>
    <mergeCell ref="D2:D3"/>
    <mergeCell ref="E2:E3"/>
    <mergeCell ref="F2:H2"/>
    <mergeCell ref="I2:K2"/>
    <mergeCell ref="L2:N2"/>
    <mergeCell ref="O2:Q2"/>
    <mergeCell ref="A4:A15"/>
    <mergeCell ref="B4:B7"/>
    <mergeCell ref="B8:B11"/>
    <mergeCell ref="B12:B15"/>
    <mergeCell ref="W33:X33"/>
    <mergeCell ref="T1:T102"/>
    <mergeCell ref="U1:U34"/>
    <mergeCell ref="U35:U68"/>
    <mergeCell ref="U69:U102"/>
    <mergeCell ref="V1:AF1"/>
    <mergeCell ref="V2:X2"/>
    <mergeCell ref="Z2:AB2"/>
    <mergeCell ref="AD2:AF2"/>
    <mergeCell ref="W16:X16"/>
    <mergeCell ref="AA16:AB16"/>
    <mergeCell ref="AE16:AF16"/>
    <mergeCell ref="V18:AF18"/>
    <mergeCell ref="V19:X19"/>
    <mergeCell ref="Z19:AB19"/>
    <mergeCell ref="AD19:AF19"/>
    <mergeCell ref="V35:AF35"/>
    <mergeCell ref="V36:X36"/>
    <mergeCell ref="Z36:AB36"/>
    <mergeCell ref="AD36:AF36"/>
    <mergeCell ref="W34:X34"/>
    <mergeCell ref="AA33:AB33"/>
    <mergeCell ref="AE33:AF33"/>
    <mergeCell ref="W50:X50"/>
    <mergeCell ref="AA50:AB50"/>
    <mergeCell ref="AE50:AF50"/>
    <mergeCell ref="V86:AF86"/>
    <mergeCell ref="V69:AF69"/>
    <mergeCell ref="V52:AF52"/>
    <mergeCell ref="V53:X53"/>
    <mergeCell ref="Z53:AB53"/>
    <mergeCell ref="AD53:AF53"/>
    <mergeCell ref="W67:X67"/>
    <mergeCell ref="AA67:AB67"/>
    <mergeCell ref="AE67:AF67"/>
    <mergeCell ref="AE84:AF84"/>
    <mergeCell ref="W84:X84"/>
    <mergeCell ref="AA84:AB84"/>
    <mergeCell ref="W101:X101"/>
    <mergeCell ref="AA101:AB101"/>
    <mergeCell ref="AE101:AF101"/>
    <mergeCell ref="V103:AF103"/>
    <mergeCell ref="W118:X118"/>
    <mergeCell ref="AA118:AB118"/>
    <mergeCell ref="AE118:AF118"/>
    <mergeCell ref="V104:X104"/>
    <mergeCell ref="Z104:AB104"/>
    <mergeCell ref="AD104:AF104"/>
  </mergeCells>
  <conditionalFormatting sqref="V16">
    <cfRule type="containsText" dxfId="615" priority="111" operator="containsText" text="&lt;">
      <formula>NOT(ISERROR(SEARCH("&lt;",V16)))</formula>
    </cfRule>
    <cfRule type="containsText" dxfId="614" priority="112" operator="containsText" text="&gt;">
      <formula>NOT(ISERROR(SEARCH("&gt;",V16)))</formula>
    </cfRule>
  </conditionalFormatting>
  <conditionalFormatting sqref="V33">
    <cfRule type="containsText" dxfId="613" priority="99" operator="containsText" text="&lt;">
      <formula>NOT(ISERROR(SEARCH("&lt;",V33)))</formula>
    </cfRule>
    <cfRule type="containsText" dxfId="612" priority="100" operator="containsText" text="&gt;">
      <formula>NOT(ISERROR(SEARCH("&gt;",V33)))</formula>
    </cfRule>
  </conditionalFormatting>
  <conditionalFormatting sqref="V50">
    <cfRule type="containsText" dxfId="611" priority="87" operator="containsText" text="&lt;">
      <formula>NOT(ISERROR(SEARCH("&lt;",V50)))</formula>
    </cfRule>
    <cfRule type="containsText" dxfId="610" priority="88" operator="containsText" text="&gt;">
      <formula>NOT(ISERROR(SEARCH("&gt;",V50)))</formula>
    </cfRule>
  </conditionalFormatting>
  <conditionalFormatting sqref="V67">
    <cfRule type="containsText" dxfId="609" priority="75" operator="containsText" text="&lt;">
      <formula>NOT(ISERROR(SEARCH("&lt;",V67)))</formula>
    </cfRule>
    <cfRule type="containsText" dxfId="608" priority="76" operator="containsText" text="&gt;">
      <formula>NOT(ISERROR(SEARCH("&gt;",V67)))</formula>
    </cfRule>
  </conditionalFormatting>
  <conditionalFormatting sqref="V84">
    <cfRule type="containsText" dxfId="607" priority="63" operator="containsText" text="&lt;">
      <formula>NOT(ISERROR(SEARCH("&lt;",V84)))</formula>
    </cfRule>
    <cfRule type="containsText" dxfId="606" priority="64" operator="containsText" text="&gt;">
      <formula>NOT(ISERROR(SEARCH("&gt;",V84)))</formula>
    </cfRule>
  </conditionalFormatting>
  <conditionalFormatting sqref="V101">
    <cfRule type="containsText" dxfId="605" priority="51" operator="containsText" text="&lt;">
      <formula>NOT(ISERROR(SEARCH("&lt;",V101)))</formula>
    </cfRule>
    <cfRule type="containsText" dxfId="604" priority="52" operator="containsText" text="&gt;">
      <formula>NOT(ISERROR(SEARCH("&gt;",V101)))</formula>
    </cfRule>
  </conditionalFormatting>
  <conditionalFormatting sqref="V118">
    <cfRule type="containsText" dxfId="603" priority="37" operator="containsText" text="&gt;">
      <formula>NOT(ISERROR(SEARCH("&gt;",V118)))</formula>
    </cfRule>
    <cfRule type="containsText" dxfId="602" priority="38" operator="containsText" text="&lt;">
      <formula>NOT(ISERROR(SEARCH("&lt;",V118)))</formula>
    </cfRule>
  </conditionalFormatting>
  <conditionalFormatting sqref="W16:X16">
    <cfRule type="cellIs" dxfId="601" priority="113" operator="equal">
      <formula>"Significant"</formula>
    </cfRule>
    <cfRule type="containsText" dxfId="600" priority="114" operator="containsText" text="Not">
      <formula>NOT(ISERROR(SEARCH("Not",W16)))</formula>
    </cfRule>
  </conditionalFormatting>
  <conditionalFormatting sqref="W33:X33">
    <cfRule type="cellIs" dxfId="599" priority="101" operator="equal">
      <formula>"Significant"</formula>
    </cfRule>
    <cfRule type="containsText" dxfId="598" priority="102" operator="containsText" text="Not">
      <formula>NOT(ISERROR(SEARCH("Not",W33)))</formula>
    </cfRule>
  </conditionalFormatting>
  <conditionalFormatting sqref="W50:X50">
    <cfRule type="cellIs" dxfId="597" priority="89" operator="equal">
      <formula>"Significant"</formula>
    </cfRule>
    <cfRule type="containsText" dxfId="596" priority="90" operator="containsText" text="Not">
      <formula>NOT(ISERROR(SEARCH("Not",W50)))</formula>
    </cfRule>
  </conditionalFormatting>
  <conditionalFormatting sqref="W67:X67">
    <cfRule type="cellIs" dxfId="595" priority="77" operator="equal">
      <formula>"Significant"</formula>
    </cfRule>
    <cfRule type="containsText" dxfId="594" priority="78" operator="containsText" text="Not">
      <formula>NOT(ISERROR(SEARCH("Not",W67)))</formula>
    </cfRule>
  </conditionalFormatting>
  <conditionalFormatting sqref="W84:X84">
    <cfRule type="cellIs" dxfId="593" priority="65" operator="equal">
      <formula>"Significant"</formula>
    </cfRule>
    <cfRule type="containsText" dxfId="592" priority="66" operator="containsText" text="Not">
      <formula>NOT(ISERROR(SEARCH("Not",W84)))</formula>
    </cfRule>
  </conditionalFormatting>
  <conditionalFormatting sqref="W101:X101">
    <cfRule type="cellIs" dxfId="591" priority="53" operator="equal">
      <formula>"Significant"</formula>
    </cfRule>
    <cfRule type="containsText" dxfId="590" priority="54" operator="containsText" text="Not">
      <formula>NOT(ISERROR(SEARCH("Not",W101)))</formula>
    </cfRule>
  </conditionalFormatting>
  <conditionalFormatting sqref="W118:X118">
    <cfRule type="cellIs" dxfId="589" priority="39" operator="equal">
      <formula>"Significant"</formula>
    </cfRule>
    <cfRule type="containsText" dxfId="588" priority="40" operator="containsText" text="Not">
      <formula>NOT(ISERROR(SEARCH("Not",W118)))</formula>
    </cfRule>
  </conditionalFormatting>
  <conditionalFormatting sqref="Z16">
    <cfRule type="containsText" dxfId="587" priority="107" operator="containsText" text="&lt;">
      <formula>NOT(ISERROR(SEARCH("&lt;",Z16)))</formula>
    </cfRule>
    <cfRule type="containsText" dxfId="586" priority="108" operator="containsText" text="&gt;">
      <formula>NOT(ISERROR(SEARCH("&gt;",Z16)))</formula>
    </cfRule>
  </conditionalFormatting>
  <conditionalFormatting sqref="Z33">
    <cfRule type="containsText" dxfId="585" priority="95" operator="containsText" text="&lt;">
      <formula>NOT(ISERROR(SEARCH("&lt;",Z33)))</formula>
    </cfRule>
    <cfRule type="containsText" dxfId="584" priority="96" operator="containsText" text="&gt;">
      <formula>NOT(ISERROR(SEARCH("&gt;",Z33)))</formula>
    </cfRule>
  </conditionalFormatting>
  <conditionalFormatting sqref="Z50">
    <cfRule type="containsText" dxfId="583" priority="83" operator="containsText" text="&lt;">
      <formula>NOT(ISERROR(SEARCH("&lt;",Z50)))</formula>
    </cfRule>
    <cfRule type="containsText" dxfId="582" priority="84" operator="containsText" text="&gt;">
      <formula>NOT(ISERROR(SEARCH("&gt;",Z50)))</formula>
    </cfRule>
  </conditionalFormatting>
  <conditionalFormatting sqref="Z67">
    <cfRule type="containsText" dxfId="581" priority="71" operator="containsText" text="&lt;">
      <formula>NOT(ISERROR(SEARCH("&lt;",Z67)))</formula>
    </cfRule>
    <cfRule type="containsText" dxfId="580" priority="72" operator="containsText" text="&gt;">
      <formula>NOT(ISERROR(SEARCH("&gt;",Z67)))</formula>
    </cfRule>
  </conditionalFormatting>
  <conditionalFormatting sqref="Z84">
    <cfRule type="containsText" dxfId="579" priority="59" operator="containsText" text="&lt;">
      <formula>NOT(ISERROR(SEARCH("&lt;",Z84)))</formula>
    </cfRule>
    <cfRule type="containsText" dxfId="578" priority="60" operator="containsText" text="&gt;">
      <formula>NOT(ISERROR(SEARCH("&gt;",Z84)))</formula>
    </cfRule>
  </conditionalFormatting>
  <conditionalFormatting sqref="Z101">
    <cfRule type="containsText" dxfId="577" priority="47" operator="containsText" text="&lt;">
      <formula>NOT(ISERROR(SEARCH("&lt;",Z101)))</formula>
    </cfRule>
    <cfRule type="containsText" dxfId="576" priority="48" operator="containsText" text="&gt;">
      <formula>NOT(ISERROR(SEARCH("&gt;",Z101)))</formula>
    </cfRule>
  </conditionalFormatting>
  <conditionalFormatting sqref="Z118">
    <cfRule type="containsText" dxfId="575" priority="33" operator="containsText" text="&gt;">
      <formula>NOT(ISERROR(SEARCH("&gt;",Z118)))</formula>
    </cfRule>
    <cfRule type="containsText" dxfId="574" priority="34" operator="containsText" text="&lt;">
      <formula>NOT(ISERROR(SEARCH("&lt;",Z118)))</formula>
    </cfRule>
  </conditionalFormatting>
  <conditionalFormatting sqref="AA16:AB16">
    <cfRule type="cellIs" dxfId="573" priority="109" operator="equal">
      <formula>"Significant"</formula>
    </cfRule>
    <cfRule type="containsText" dxfId="572" priority="110" operator="containsText" text="Not">
      <formula>NOT(ISERROR(SEARCH("Not",AA16)))</formula>
    </cfRule>
  </conditionalFormatting>
  <conditionalFormatting sqref="AA33:AB33">
    <cfRule type="cellIs" dxfId="571" priority="97" operator="equal">
      <formula>"Significant"</formula>
    </cfRule>
    <cfRule type="containsText" dxfId="570" priority="98" operator="containsText" text="Not">
      <formula>NOT(ISERROR(SEARCH("Not",AA33)))</formula>
    </cfRule>
  </conditionalFormatting>
  <conditionalFormatting sqref="AA50:AB50">
    <cfRule type="cellIs" dxfId="569" priority="85" operator="equal">
      <formula>"Significant"</formula>
    </cfRule>
    <cfRule type="containsText" dxfId="568" priority="86" operator="containsText" text="Not">
      <formula>NOT(ISERROR(SEARCH("Not",AA50)))</formula>
    </cfRule>
  </conditionalFormatting>
  <conditionalFormatting sqref="AA67:AB67">
    <cfRule type="cellIs" dxfId="567" priority="73" operator="equal">
      <formula>"Significant"</formula>
    </cfRule>
    <cfRule type="containsText" dxfId="566" priority="74" operator="containsText" text="Not">
      <formula>NOT(ISERROR(SEARCH("Not",AA67)))</formula>
    </cfRule>
  </conditionalFormatting>
  <conditionalFormatting sqref="AA84:AB84">
    <cfRule type="cellIs" dxfId="565" priority="61" operator="equal">
      <formula>"Significant"</formula>
    </cfRule>
    <cfRule type="containsText" dxfId="564" priority="62" operator="containsText" text="Not">
      <formula>NOT(ISERROR(SEARCH("Not",AA84)))</formula>
    </cfRule>
  </conditionalFormatting>
  <conditionalFormatting sqref="AA101:AB101">
    <cfRule type="cellIs" dxfId="563" priority="49" operator="equal">
      <formula>"Significant"</formula>
    </cfRule>
    <cfRule type="containsText" dxfId="562" priority="50" operator="containsText" text="Not">
      <formula>NOT(ISERROR(SEARCH("Not",AA101)))</formula>
    </cfRule>
  </conditionalFormatting>
  <conditionalFormatting sqref="AA118:AB118">
    <cfRule type="cellIs" dxfId="561" priority="35" operator="equal">
      <formula>"Significant"</formula>
    </cfRule>
    <cfRule type="containsText" dxfId="560" priority="36" operator="containsText" text="Not">
      <formula>NOT(ISERROR(SEARCH("Not",AA118)))</formula>
    </cfRule>
  </conditionalFormatting>
  <conditionalFormatting sqref="AD16">
    <cfRule type="containsText" dxfId="559" priority="103" operator="containsText" text="&lt;">
      <formula>NOT(ISERROR(SEARCH("&lt;",AD16)))</formula>
    </cfRule>
    <cfRule type="containsText" dxfId="558" priority="104" operator="containsText" text="&gt;">
      <formula>NOT(ISERROR(SEARCH("&gt;",AD16)))</formula>
    </cfRule>
  </conditionalFormatting>
  <conditionalFormatting sqref="AD33">
    <cfRule type="containsText" dxfId="557" priority="91" operator="containsText" text="&lt;">
      <formula>NOT(ISERROR(SEARCH("&lt;",AD33)))</formula>
    </cfRule>
    <cfRule type="containsText" dxfId="556" priority="92" operator="containsText" text="&gt;">
      <formula>NOT(ISERROR(SEARCH("&gt;",AD33)))</formula>
    </cfRule>
  </conditionalFormatting>
  <conditionalFormatting sqref="AD50">
    <cfRule type="containsText" dxfId="555" priority="79" operator="containsText" text="&lt;">
      <formula>NOT(ISERROR(SEARCH("&lt;",AD50)))</formula>
    </cfRule>
    <cfRule type="containsText" dxfId="554" priority="80" operator="containsText" text="&gt;">
      <formula>NOT(ISERROR(SEARCH("&gt;",AD50)))</formula>
    </cfRule>
  </conditionalFormatting>
  <conditionalFormatting sqref="AD67">
    <cfRule type="containsText" dxfId="553" priority="67" operator="containsText" text="&lt;">
      <formula>NOT(ISERROR(SEARCH("&lt;",AD67)))</formula>
    </cfRule>
    <cfRule type="containsText" dxfId="552" priority="68" operator="containsText" text="&gt;">
      <formula>NOT(ISERROR(SEARCH("&gt;",AD67)))</formula>
    </cfRule>
  </conditionalFormatting>
  <conditionalFormatting sqref="AD84">
    <cfRule type="containsText" dxfId="551" priority="55" operator="containsText" text="&lt;">
      <formula>NOT(ISERROR(SEARCH("&lt;",AD84)))</formula>
    </cfRule>
    <cfRule type="containsText" dxfId="550" priority="56" operator="containsText" text="&gt;">
      <formula>NOT(ISERROR(SEARCH("&gt;",AD84)))</formula>
    </cfRule>
  </conditionalFormatting>
  <conditionalFormatting sqref="AD101">
    <cfRule type="containsText" dxfId="549" priority="43" operator="containsText" text="&lt;">
      <formula>NOT(ISERROR(SEARCH("&lt;",AD101)))</formula>
    </cfRule>
    <cfRule type="containsText" dxfId="548" priority="44" operator="containsText" text="&gt;">
      <formula>NOT(ISERROR(SEARCH("&gt;",AD101)))</formula>
    </cfRule>
  </conditionalFormatting>
  <conditionalFormatting sqref="AD118">
    <cfRule type="containsText" dxfId="547" priority="25" operator="containsText" text="&gt;">
      <formula>NOT(ISERROR(SEARCH("&gt;",AD118)))</formula>
    </cfRule>
    <cfRule type="containsText" dxfId="546" priority="26" operator="containsText" text="&lt;">
      <formula>NOT(ISERROR(SEARCH("&lt;",AD118)))</formula>
    </cfRule>
  </conditionalFormatting>
  <conditionalFormatting sqref="AE16:AF16">
    <cfRule type="cellIs" dxfId="545" priority="105" operator="equal">
      <formula>"Significant"</formula>
    </cfRule>
    <cfRule type="containsText" dxfId="544" priority="106" operator="containsText" text="Not">
      <formula>NOT(ISERROR(SEARCH("Not",AE16)))</formula>
    </cfRule>
  </conditionalFormatting>
  <conditionalFormatting sqref="AE33:AF33">
    <cfRule type="cellIs" dxfId="543" priority="93" operator="equal">
      <formula>"Significant"</formula>
    </cfRule>
    <cfRule type="containsText" dxfId="542" priority="94" operator="containsText" text="Not">
      <formula>NOT(ISERROR(SEARCH("Not",AE33)))</formula>
    </cfRule>
  </conditionalFormatting>
  <conditionalFormatting sqref="AE50:AF50">
    <cfRule type="cellIs" dxfId="541" priority="81" operator="equal">
      <formula>"Significant"</formula>
    </cfRule>
    <cfRule type="containsText" dxfId="540" priority="82" operator="containsText" text="Not">
      <formula>NOT(ISERROR(SEARCH("Not",AE50)))</formula>
    </cfRule>
  </conditionalFormatting>
  <conditionalFormatting sqref="AE67:AF67">
    <cfRule type="cellIs" dxfId="539" priority="69" operator="equal">
      <formula>"Significant"</formula>
    </cfRule>
    <cfRule type="containsText" dxfId="538" priority="70" operator="containsText" text="Not">
      <formula>NOT(ISERROR(SEARCH("Not",AE67)))</formula>
    </cfRule>
  </conditionalFormatting>
  <conditionalFormatting sqref="AE84:AF84">
    <cfRule type="cellIs" dxfId="537" priority="57" operator="equal">
      <formula>"Significant"</formula>
    </cfRule>
    <cfRule type="containsText" dxfId="536" priority="58" operator="containsText" text="Not">
      <formula>NOT(ISERROR(SEARCH("Not",AE84)))</formula>
    </cfRule>
  </conditionalFormatting>
  <conditionalFormatting sqref="AE101:AF101">
    <cfRule type="cellIs" dxfId="535" priority="45" operator="equal">
      <formula>"Significant"</formula>
    </cfRule>
    <cfRule type="containsText" dxfId="534" priority="46" operator="containsText" text="Not">
      <formula>NOT(ISERROR(SEARCH("Not",AE101)))</formula>
    </cfRule>
  </conditionalFormatting>
  <conditionalFormatting sqref="AE118:AF118">
    <cfRule type="cellIs" dxfId="533" priority="27" operator="equal">
      <formula>"Significant"</formula>
    </cfRule>
    <cfRule type="containsText" dxfId="532" priority="28" operator="containsText" text="Not">
      <formula>NOT(ISERROR(SEARCH("Not",AE118)))</formula>
    </cfRule>
  </conditionalFormatting>
  <conditionalFormatting sqref="F44">
    <cfRule type="containsText" dxfId="23" priority="21" operator="containsText" text="&lt;">
      <formula>NOT(ISERROR(SEARCH("&lt;",F44)))</formula>
    </cfRule>
    <cfRule type="containsText" dxfId="22" priority="22" operator="containsText" text="&gt;">
      <formula>NOT(ISERROR(SEARCH("&gt;",F44)))</formula>
    </cfRule>
  </conditionalFormatting>
  <conditionalFormatting sqref="G44:H44">
    <cfRule type="cellIs" dxfId="21" priority="23" operator="equal">
      <formula>"Significant"</formula>
    </cfRule>
    <cfRule type="containsText" dxfId="20" priority="24" operator="containsText" text="Not">
      <formula>NOT(ISERROR(SEARCH("Not",G44)))</formula>
    </cfRule>
  </conditionalFormatting>
  <conditionalFormatting sqref="J44">
    <cfRule type="containsText" dxfId="19" priority="17" operator="containsText" text="&lt;">
      <formula>NOT(ISERROR(SEARCH("&lt;",J44)))</formula>
    </cfRule>
    <cfRule type="containsText" dxfId="18" priority="18" operator="containsText" text="&gt;">
      <formula>NOT(ISERROR(SEARCH("&gt;",J44)))</formula>
    </cfRule>
  </conditionalFormatting>
  <conditionalFormatting sqref="K44:L44">
    <cfRule type="cellIs" dxfId="17" priority="19" operator="equal">
      <formula>"Significant"</formula>
    </cfRule>
    <cfRule type="containsText" dxfId="16" priority="20" operator="containsText" text="Not">
      <formula>NOT(ISERROR(SEARCH("Not",K44)))</formula>
    </cfRule>
  </conditionalFormatting>
  <conditionalFormatting sqref="N44">
    <cfRule type="containsText" dxfId="15" priority="13" operator="containsText" text="&lt;">
      <formula>NOT(ISERROR(SEARCH("&lt;",N44)))</formula>
    </cfRule>
    <cfRule type="containsText" dxfId="14" priority="14" operator="containsText" text="&gt;">
      <formula>NOT(ISERROR(SEARCH("&gt;",N44)))</formula>
    </cfRule>
  </conditionalFormatting>
  <conditionalFormatting sqref="O44:P44">
    <cfRule type="cellIs" dxfId="13" priority="15" operator="equal">
      <formula>"Significant"</formula>
    </cfRule>
    <cfRule type="containsText" dxfId="12" priority="16" operator="containsText" text="Not">
      <formula>NOT(ISERROR(SEARCH("Not",O44)))</formula>
    </cfRule>
  </conditionalFormatting>
  <conditionalFormatting sqref="F61">
    <cfRule type="containsText" dxfId="11" priority="9" operator="containsText" text="&lt;">
      <formula>NOT(ISERROR(SEARCH("&lt;",F61)))</formula>
    </cfRule>
    <cfRule type="containsText" dxfId="10" priority="10" operator="containsText" text="&gt;">
      <formula>NOT(ISERROR(SEARCH("&gt;",F61)))</formula>
    </cfRule>
  </conditionalFormatting>
  <conditionalFormatting sqref="G61:H61">
    <cfRule type="cellIs" dxfId="9" priority="11" operator="equal">
      <formula>"Significant"</formula>
    </cfRule>
    <cfRule type="containsText" dxfId="8" priority="12" operator="containsText" text="Not">
      <formula>NOT(ISERROR(SEARCH("Not",G61)))</formula>
    </cfRule>
  </conditionalFormatting>
  <conditionalFormatting sqref="J61">
    <cfRule type="containsText" dxfId="7" priority="5" operator="containsText" text="&lt;">
      <formula>NOT(ISERROR(SEARCH("&lt;",J61)))</formula>
    </cfRule>
    <cfRule type="containsText" dxfId="6" priority="6" operator="containsText" text="&gt;">
      <formula>NOT(ISERROR(SEARCH("&gt;",J61)))</formula>
    </cfRule>
  </conditionalFormatting>
  <conditionalFormatting sqref="K61:L61">
    <cfRule type="cellIs" dxfId="5" priority="7" operator="equal">
      <formula>"Significant"</formula>
    </cfRule>
    <cfRule type="containsText" dxfId="4" priority="8" operator="containsText" text="Not">
      <formula>NOT(ISERROR(SEARCH("Not",K61)))</formula>
    </cfRule>
  </conditionalFormatting>
  <conditionalFormatting sqref="N61">
    <cfRule type="containsText" dxfId="3" priority="1" operator="containsText" text="&lt;">
      <formula>NOT(ISERROR(SEARCH("&lt;",N61)))</formula>
    </cfRule>
    <cfRule type="containsText" dxfId="2" priority="2" operator="containsText" text="&gt;">
      <formula>NOT(ISERROR(SEARCH("&gt;",N61)))</formula>
    </cfRule>
  </conditionalFormatting>
  <conditionalFormatting sqref="O61:P61">
    <cfRule type="cellIs" dxfId="1" priority="3" operator="equal">
      <formula>"Significant"</formula>
    </cfRule>
    <cfRule type="containsText" dxfId="0" priority="4" operator="containsText" text="Not">
      <formula>NOT(ISERROR(SEARCH("Not",O61)))</formula>
    </cfRule>
  </conditionalFormatting>
  <pageMargins left="0.7" right="0.7" top="0.75" bottom="0.75" header="0.3" footer="0.3"/>
  <pageSetup paperSize="9" scale="2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3717-41E2-498D-B429-097278AE7613}">
  <sheetPr>
    <tabColor theme="8" tint="0.39997558519241921"/>
    <pageSetUpPr fitToPage="1"/>
  </sheetPr>
  <dimension ref="A1:AF119"/>
  <sheetViews>
    <sheetView workbookViewId="0">
      <selection activeCell="R86" sqref="R86"/>
    </sheetView>
  </sheetViews>
  <sheetFormatPr defaultRowHeight="15" x14ac:dyDescent="0.25"/>
  <cols>
    <col min="1" max="1" width="15.85546875" customWidth="1"/>
    <col min="18" max="18" width="4.5703125" customWidth="1"/>
    <col min="19" max="19" width="5" customWidth="1"/>
    <col min="20" max="20" width="13.28515625" customWidth="1"/>
    <col min="22" max="22" width="27.28515625" customWidth="1"/>
    <col min="25" max="25" width="3.140625" customWidth="1"/>
    <col min="26" max="26" width="27.5703125" customWidth="1"/>
    <col min="29" max="29" width="3.140625" customWidth="1"/>
    <col min="30" max="30" width="28.140625" customWidth="1"/>
  </cols>
  <sheetData>
    <row r="1" spans="1:32" x14ac:dyDescent="0.25">
      <c r="A1" s="126" t="s">
        <v>0</v>
      </c>
      <c r="B1" s="128"/>
      <c r="C1" s="126" t="s">
        <v>12</v>
      </c>
      <c r="D1" s="166" t="s">
        <v>72</v>
      </c>
      <c r="E1" s="167"/>
      <c r="F1" s="148" t="s">
        <v>13</v>
      </c>
      <c r="G1" s="115"/>
      <c r="H1" s="115"/>
      <c r="I1" s="115"/>
      <c r="J1" s="115"/>
      <c r="K1" s="116"/>
      <c r="L1" s="117" t="s">
        <v>14</v>
      </c>
      <c r="M1" s="118"/>
      <c r="N1" s="118"/>
      <c r="O1" s="118"/>
      <c r="P1" s="118"/>
      <c r="Q1" s="118"/>
      <c r="T1" s="105" t="s">
        <v>87</v>
      </c>
      <c r="U1" s="105">
        <v>18</v>
      </c>
      <c r="V1" s="195" t="s">
        <v>13</v>
      </c>
      <c r="W1" s="195"/>
      <c r="X1" s="195"/>
      <c r="Y1" s="195"/>
      <c r="Z1" s="195"/>
      <c r="AA1" s="195"/>
      <c r="AB1" s="195"/>
      <c r="AC1" s="195"/>
      <c r="AD1" s="195"/>
      <c r="AE1" s="195"/>
      <c r="AF1" s="195"/>
    </row>
    <row r="2" spans="1:32" x14ac:dyDescent="0.25">
      <c r="A2" s="126" t="s">
        <v>16</v>
      </c>
      <c r="B2" s="128" t="s">
        <v>17</v>
      </c>
      <c r="C2" s="126"/>
      <c r="D2" s="168" t="s">
        <v>73</v>
      </c>
      <c r="E2" s="160" t="s">
        <v>74</v>
      </c>
      <c r="F2" s="162" t="s">
        <v>19</v>
      </c>
      <c r="G2" s="162"/>
      <c r="H2" s="162"/>
      <c r="I2" s="163" t="s">
        <v>71</v>
      </c>
      <c r="J2" s="163"/>
      <c r="K2" s="163"/>
      <c r="L2" s="162" t="s">
        <v>19</v>
      </c>
      <c r="M2" s="162"/>
      <c r="N2" s="162"/>
      <c r="O2" s="163" t="s">
        <v>71</v>
      </c>
      <c r="P2" s="163"/>
      <c r="Q2" s="163"/>
      <c r="T2" s="105"/>
      <c r="U2" s="105"/>
      <c r="V2" s="194" t="s">
        <v>4</v>
      </c>
      <c r="W2" s="194"/>
      <c r="X2" s="194"/>
      <c r="Z2" s="194" t="s">
        <v>5</v>
      </c>
      <c r="AA2" s="194"/>
      <c r="AB2" s="194"/>
      <c r="AD2" s="194" t="s">
        <v>70</v>
      </c>
      <c r="AE2" s="194"/>
      <c r="AF2" s="194"/>
    </row>
    <row r="3" spans="1:32" ht="15.75" thickBot="1" x14ac:dyDescent="0.3">
      <c r="A3" s="127"/>
      <c r="B3" s="129"/>
      <c r="C3" s="127"/>
      <c r="D3" s="169"/>
      <c r="E3" s="161"/>
      <c r="F3" s="12" t="s">
        <v>4</v>
      </c>
      <c r="G3" s="12" t="s">
        <v>5</v>
      </c>
      <c r="H3" s="12" t="s">
        <v>70</v>
      </c>
      <c r="I3" s="13" t="s">
        <v>4</v>
      </c>
      <c r="J3" s="12" t="s">
        <v>5</v>
      </c>
      <c r="K3" s="12" t="s">
        <v>70</v>
      </c>
      <c r="L3" s="12" t="s">
        <v>4</v>
      </c>
      <c r="M3" s="12" t="s">
        <v>5</v>
      </c>
      <c r="N3" s="12" t="s">
        <v>70</v>
      </c>
      <c r="O3" s="13" t="s">
        <v>4</v>
      </c>
      <c r="P3" s="12" t="s">
        <v>5</v>
      </c>
      <c r="Q3" s="12" t="s">
        <v>70</v>
      </c>
      <c r="T3" s="105"/>
      <c r="U3" s="105"/>
    </row>
    <row r="4" spans="1:32" x14ac:dyDescent="0.25">
      <c r="A4" s="105" t="s">
        <v>23</v>
      </c>
      <c r="B4" s="111">
        <v>18</v>
      </c>
      <c r="C4" s="11">
        <f>'Table for t-test'!C28</f>
        <v>1</v>
      </c>
      <c r="D4" s="6">
        <f>'Table for t-test'!D28</f>
        <v>11</v>
      </c>
      <c r="E4" s="11">
        <f>'Table for t-test'!E28</f>
        <v>6</v>
      </c>
      <c r="F4" s="6">
        <f>'Table for t-test'!F28</f>
        <v>0.42804428935050898</v>
      </c>
      <c r="G4" s="6">
        <f>'Table for t-test'!G28</f>
        <v>0.84235513210296598</v>
      </c>
      <c r="H4" s="6">
        <f>'Table for t-test'!H28</f>
        <v>0.397595584392547</v>
      </c>
      <c r="I4" s="6">
        <f>'Table for t-test'!I28</f>
        <v>0.52173912525177002</v>
      </c>
      <c r="J4" s="6">
        <f>'Table for t-test'!J28</f>
        <v>0.84867036342620805</v>
      </c>
      <c r="K4" s="11">
        <f>'Table for t-test'!K28</f>
        <v>0.49701082706451399</v>
      </c>
      <c r="L4" s="6">
        <f>'Table for t-test'!L28</f>
        <v>0.35687732696533198</v>
      </c>
      <c r="M4" s="6">
        <f>'Table for t-test'!M28</f>
        <v>0.84149795770645097</v>
      </c>
      <c r="N4" s="6">
        <f>'Table for t-test'!N28</f>
        <v>0.35585039854049599</v>
      </c>
      <c r="O4" s="6">
        <f>'Table for t-test'!O28</f>
        <v>0.44370859861373901</v>
      </c>
      <c r="P4" s="6">
        <f>'Table for t-test'!P28</f>
        <v>0.85996675491332997</v>
      </c>
      <c r="Q4" s="11">
        <f>'Table for t-test'!Q28</f>
        <v>0.39321514964103699</v>
      </c>
      <c r="T4" s="105"/>
      <c r="U4" s="105"/>
      <c r="V4" s="17"/>
      <c r="W4" s="17" t="s">
        <v>19</v>
      </c>
      <c r="X4" s="17" t="s">
        <v>71</v>
      </c>
      <c r="Z4" s="17"/>
      <c r="AA4" s="17" t="s">
        <v>19</v>
      </c>
      <c r="AB4" s="17" t="s">
        <v>71</v>
      </c>
      <c r="AD4" s="17"/>
      <c r="AE4" s="17" t="s">
        <v>19</v>
      </c>
      <c r="AF4" s="17" t="s">
        <v>71</v>
      </c>
    </row>
    <row r="5" spans="1:32" x14ac:dyDescent="0.25">
      <c r="A5" s="105"/>
      <c r="B5" s="105"/>
      <c r="C5" s="3">
        <f>'Table for t-test'!C29</f>
        <v>2</v>
      </c>
      <c r="D5">
        <f>'Table for t-test'!D29</f>
        <v>7</v>
      </c>
      <c r="E5" s="3">
        <f>'Table for t-test'!E29</f>
        <v>8</v>
      </c>
      <c r="F5">
        <f>'Table for t-test'!F29</f>
        <v>0.37864077091217002</v>
      </c>
      <c r="G5">
        <f>'Table for t-test'!G29</f>
        <v>0.85435140132903997</v>
      </c>
      <c r="H5">
        <f>'Table for t-test'!H29</f>
        <v>0.363403290510177</v>
      </c>
      <c r="I5">
        <f>'Table for t-test'!I29</f>
        <v>0.41379311680793701</v>
      </c>
      <c r="J5">
        <f>'Table for t-test'!J29</f>
        <v>0.88900679349899203</v>
      </c>
      <c r="K5" s="3">
        <f>'Table for t-test'!K29</f>
        <v>0.54354256391525202</v>
      </c>
      <c r="L5">
        <f>'Table for t-test'!L29</f>
        <v>0.33777776360511702</v>
      </c>
      <c r="M5">
        <f>'Table for t-test'!M29</f>
        <v>0.80677282810211104</v>
      </c>
      <c r="N5">
        <f>'Table for t-test'!N29</f>
        <v>0.269260644912719</v>
      </c>
      <c r="O5">
        <f>'Table for t-test'!O29</f>
        <v>0.39779004454612699</v>
      </c>
      <c r="P5">
        <f>'Table for t-test'!P29</f>
        <v>0.86401391029357899</v>
      </c>
      <c r="Q5" s="3">
        <f>'Table for t-test'!Q29</f>
        <v>0.44246089458465498</v>
      </c>
      <c r="T5" s="105"/>
      <c r="U5" s="105"/>
      <c r="V5" t="s">
        <v>75</v>
      </c>
      <c r="W5">
        <v>0.41415074467658947</v>
      </c>
      <c r="X5">
        <v>0.46814570575952474</v>
      </c>
      <c r="Z5" t="s">
        <v>75</v>
      </c>
      <c r="AA5">
        <v>0.85585206747055032</v>
      </c>
      <c r="AB5">
        <v>0.86854425072669927</v>
      </c>
      <c r="AD5" t="s">
        <v>75</v>
      </c>
      <c r="AE5">
        <v>0.40694069117307624</v>
      </c>
      <c r="AF5">
        <v>0.49195814132690374</v>
      </c>
    </row>
    <row r="6" spans="1:32" x14ac:dyDescent="0.25">
      <c r="A6" s="105"/>
      <c r="B6" s="105"/>
      <c r="C6" s="3">
        <f>'Table for t-test'!C30</f>
        <v>3</v>
      </c>
      <c r="D6">
        <f>'Table for t-test'!D30</f>
        <v>25</v>
      </c>
      <c r="E6" s="3">
        <f>'Table for t-test'!E30</f>
        <v>6</v>
      </c>
      <c r="F6">
        <f>'Table for t-test'!F30</f>
        <v>0.380952388048172</v>
      </c>
      <c r="G6">
        <f>'Table for t-test'!G30</f>
        <v>0.84852075576782204</v>
      </c>
      <c r="H6">
        <f>'Table for t-test'!H30</f>
        <v>0.37949493527412398</v>
      </c>
      <c r="I6">
        <f>'Table for t-test'!I30</f>
        <v>0.46540880203246998</v>
      </c>
      <c r="J6">
        <f>'Table for t-test'!J30</f>
        <v>0.84707576036453203</v>
      </c>
      <c r="K6" s="3">
        <f>'Table for t-test'!K30</f>
        <v>0.42528277635574302</v>
      </c>
      <c r="L6">
        <f>'Table for t-test'!L30</f>
        <v>0.35051545500755299</v>
      </c>
      <c r="M6">
        <f>'Table for t-test'!M30</f>
        <v>0.83388704061508101</v>
      </c>
      <c r="N6">
        <f>'Table for t-test'!N30</f>
        <v>0.32921004295349099</v>
      </c>
      <c r="O6">
        <f>'Table for t-test'!O30</f>
        <v>0.401129931211471</v>
      </c>
      <c r="P6">
        <f>'Table for t-test'!P30</f>
        <v>0.86666423082351596</v>
      </c>
      <c r="Q6" s="3">
        <f>'Table for t-test'!Q30</f>
        <v>0.392840266227722</v>
      </c>
      <c r="T6" s="105"/>
      <c r="U6" s="105"/>
      <c r="V6" t="s">
        <v>76</v>
      </c>
      <c r="W6">
        <v>1.8535934788647963E-3</v>
      </c>
      <c r="X6">
        <v>1.9487239027826152E-3</v>
      </c>
      <c r="Z6" t="s">
        <v>76</v>
      </c>
      <c r="AA6">
        <v>2.4558258656289894E-4</v>
      </c>
      <c r="AB6">
        <v>5.7018354553997933E-4</v>
      </c>
      <c r="AD6" t="s">
        <v>76</v>
      </c>
      <c r="AE6">
        <v>3.0629118952297065E-3</v>
      </c>
      <c r="AF6">
        <v>2.4109510591495934E-3</v>
      </c>
    </row>
    <row r="7" spans="1:32" x14ac:dyDescent="0.25">
      <c r="A7" s="105"/>
      <c r="B7" s="107"/>
      <c r="C7" s="8">
        <f>'Table for t-test'!C31</f>
        <v>4</v>
      </c>
      <c r="D7" s="7">
        <f>'Table for t-test'!D31</f>
        <v>19</v>
      </c>
      <c r="E7" s="8">
        <f>'Table for t-test'!E31</f>
        <v>8</v>
      </c>
      <c r="F7" s="7">
        <f>'Table for t-test'!F31</f>
        <v>0.46896553039550698</v>
      </c>
      <c r="G7" s="7">
        <f>'Table for t-test'!G31</f>
        <v>0.87818098068237305</v>
      </c>
      <c r="H7" s="7">
        <f>'Table for t-test'!H31</f>
        <v>0.48726895451545699</v>
      </c>
      <c r="I7" s="7">
        <f>'Table for t-test'!I31</f>
        <v>0.47164177894592202</v>
      </c>
      <c r="J7" s="7">
        <f>'Table for t-test'!J31</f>
        <v>0.88942408561706499</v>
      </c>
      <c r="K7" s="8">
        <f>'Table for t-test'!K31</f>
        <v>0.50199639797210605</v>
      </c>
      <c r="L7" s="7">
        <f>'Table for t-test'!L31</f>
        <v>0.37900874018669101</v>
      </c>
      <c r="M7" s="7">
        <f>'Table for t-test'!M31</f>
        <v>0.84830111265182495</v>
      </c>
      <c r="N7" s="7">
        <f>'Table for t-test'!N31</f>
        <v>0.36820226907730103</v>
      </c>
      <c r="O7" s="7">
        <f>'Table for t-test'!O31</f>
        <v>0.40000000596046398</v>
      </c>
      <c r="P7" s="7">
        <f>'Table for t-test'!P31</f>
        <v>0.87003928422927801</v>
      </c>
      <c r="Q7" s="8">
        <f>'Table for t-test'!Q31</f>
        <v>0.42728608846664401</v>
      </c>
      <c r="T7" s="105"/>
      <c r="U7" s="105"/>
      <c r="V7" t="s">
        <v>77</v>
      </c>
      <c r="W7">
        <v>4</v>
      </c>
      <c r="X7">
        <v>4</v>
      </c>
      <c r="Z7" t="s">
        <v>77</v>
      </c>
      <c r="AA7">
        <v>4</v>
      </c>
      <c r="AB7">
        <v>4</v>
      </c>
      <c r="AD7" t="s">
        <v>77</v>
      </c>
      <c r="AE7">
        <v>4</v>
      </c>
      <c r="AF7">
        <v>4</v>
      </c>
    </row>
    <row r="8" spans="1:32" x14ac:dyDescent="0.25">
      <c r="A8" s="105"/>
      <c r="B8" s="103">
        <v>34</v>
      </c>
      <c r="C8" s="10">
        <f>'Table for t-test'!C32</f>
        <v>1</v>
      </c>
      <c r="D8" s="9">
        <f>'Table for t-test'!D32</f>
        <v>24</v>
      </c>
      <c r="E8" s="10">
        <f>'Table for t-test'!E32</f>
        <v>3</v>
      </c>
      <c r="F8" s="9">
        <f>'Table for t-test'!F32</f>
        <v>0.44303798675537098</v>
      </c>
      <c r="G8" s="9">
        <f>'Table for t-test'!G32</f>
        <v>0.85094964504241899</v>
      </c>
      <c r="H8" s="9">
        <f>'Table for t-test'!H32</f>
        <v>0.37610369920730502</v>
      </c>
      <c r="I8" s="9">
        <f>'Table for t-test'!I32</f>
        <v>0.48135593533515902</v>
      </c>
      <c r="J8" s="9">
        <f>'Table for t-test'!J32</f>
        <v>0.85361671447753895</v>
      </c>
      <c r="K8" s="10">
        <f>'Table for t-test'!K32</f>
        <v>0.38477489352226202</v>
      </c>
      <c r="L8" s="9">
        <f>'Table for t-test'!L32</f>
        <v>0.422712922096252</v>
      </c>
      <c r="M8" s="9">
        <f>'Table for t-test'!M32</f>
        <v>0.842426717281341</v>
      </c>
      <c r="N8" s="9">
        <f>'Table for t-test'!N32</f>
        <v>0.362184077501297</v>
      </c>
      <c r="O8" s="9">
        <f>'Table for t-test'!O32</f>
        <v>0.44444444775581299</v>
      </c>
      <c r="P8" s="9">
        <f>'Table for t-test'!P32</f>
        <v>0.84364998340606601</v>
      </c>
      <c r="Q8" s="10">
        <f>'Table for t-test'!Q32</f>
        <v>0.351035356521606</v>
      </c>
      <c r="T8" s="105"/>
      <c r="U8" s="105"/>
      <c r="V8" t="s">
        <v>78</v>
      </c>
      <c r="W8">
        <v>0.51864594563380462</v>
      </c>
      <c r="Z8" t="s">
        <v>78</v>
      </c>
      <c r="AA8">
        <v>0.76709486917645631</v>
      </c>
      <c r="AD8" t="s">
        <v>78</v>
      </c>
      <c r="AE8">
        <v>4.2103447682316421E-2</v>
      </c>
    </row>
    <row r="9" spans="1:32" x14ac:dyDescent="0.25">
      <c r="A9" s="105"/>
      <c r="B9" s="105"/>
      <c r="C9" s="3">
        <f>'Table for t-test'!C33</f>
        <v>2</v>
      </c>
      <c r="D9">
        <f>'Table for t-test'!D33</f>
        <v>21</v>
      </c>
      <c r="E9" s="3">
        <f>'Table for t-test'!E33</f>
        <v>20</v>
      </c>
      <c r="F9">
        <f>'Table for t-test'!F33</f>
        <v>0.45945945382118197</v>
      </c>
      <c r="G9">
        <f>'Table for t-test'!G33</f>
        <v>0.87553453445434504</v>
      </c>
      <c r="H9">
        <f>'Table for t-test'!H33</f>
        <v>0.44040283560752802</v>
      </c>
      <c r="I9">
        <f>'Table for t-test'!I33</f>
        <v>0.48868778347969</v>
      </c>
      <c r="J9">
        <f>'Table for t-test'!J33</f>
        <v>0.89228439331054599</v>
      </c>
      <c r="K9" s="3">
        <f>'Table for t-test'!K33</f>
        <v>0.52881020307540805</v>
      </c>
      <c r="L9">
        <f>'Table for t-test'!L33</f>
        <v>0.35102039575576699</v>
      </c>
      <c r="M9">
        <f>'Table for t-test'!M33</f>
        <v>0.83720934391021695</v>
      </c>
      <c r="N9">
        <f>'Table for t-test'!N33</f>
        <v>0.345467388629913</v>
      </c>
      <c r="O9">
        <f>'Table for t-test'!O33</f>
        <v>0.460317462682724</v>
      </c>
      <c r="P9">
        <f>'Table for t-test'!P33</f>
        <v>0.86284357309341397</v>
      </c>
      <c r="Q9" s="3">
        <f>'Table for t-test'!Q33</f>
        <v>0.40798449516296298</v>
      </c>
      <c r="T9" s="105"/>
      <c r="U9" s="105"/>
      <c r="V9" t="s">
        <v>79</v>
      </c>
      <c r="W9">
        <v>0</v>
      </c>
      <c r="Z9" t="s">
        <v>79</v>
      </c>
      <c r="AA9">
        <v>0</v>
      </c>
      <c r="AD9" t="s">
        <v>79</v>
      </c>
      <c r="AE9">
        <v>0</v>
      </c>
    </row>
    <row r="10" spans="1:32" x14ac:dyDescent="0.25">
      <c r="A10" s="105"/>
      <c r="B10" s="105"/>
      <c r="C10" s="3">
        <f>'Table for t-test'!C34</f>
        <v>3</v>
      </c>
      <c r="D10">
        <f>'Table for t-test'!D34</f>
        <v>48</v>
      </c>
      <c r="E10" s="3">
        <f>'Table for t-test'!E34</f>
        <v>10</v>
      </c>
      <c r="F10">
        <f>'Table for t-test'!F34</f>
        <v>0.41904762387275601</v>
      </c>
      <c r="G10">
        <f>'Table for t-test'!G34</f>
        <v>0.85144215822219804</v>
      </c>
      <c r="H10">
        <f>'Table for t-test'!H34</f>
        <v>0.40989235043525601</v>
      </c>
      <c r="I10">
        <f>'Table for t-test'!I34</f>
        <v>0.37037035822868303</v>
      </c>
      <c r="J10">
        <f>'Table for t-test'!J34</f>
        <v>0.86327779293060303</v>
      </c>
      <c r="K10" s="3">
        <f>'Table for t-test'!K34</f>
        <v>0.42630520462989802</v>
      </c>
      <c r="L10">
        <f>'Table for t-test'!L34</f>
        <v>0.33497536182403498</v>
      </c>
      <c r="M10">
        <f>'Table for t-test'!M34</f>
        <v>0.796375691890716</v>
      </c>
      <c r="N10">
        <f>'Table for t-test'!N34</f>
        <v>0.305653095245361</v>
      </c>
      <c r="O10">
        <f>'Table for t-test'!O34</f>
        <v>0.31707316637039101</v>
      </c>
      <c r="P10">
        <f>'Table for t-test'!P34</f>
        <v>0.85711264610290505</v>
      </c>
      <c r="Q10" s="3">
        <f>'Table for t-test'!Q34</f>
        <v>0.405340135097503</v>
      </c>
      <c r="T10" s="105"/>
      <c r="U10" s="105"/>
      <c r="V10" t="s">
        <v>80</v>
      </c>
      <c r="W10">
        <v>3</v>
      </c>
      <c r="Z10" t="s">
        <v>80</v>
      </c>
      <c r="AA10">
        <v>3</v>
      </c>
      <c r="AD10" t="s">
        <v>80</v>
      </c>
      <c r="AE10">
        <v>3</v>
      </c>
    </row>
    <row r="11" spans="1:32" x14ac:dyDescent="0.25">
      <c r="A11" s="105"/>
      <c r="B11" s="107"/>
      <c r="C11" s="8">
        <f>'Table for t-test'!C35</f>
        <v>4</v>
      </c>
      <c r="D11" s="7">
        <f>'Table for t-test'!D35</f>
        <v>33</v>
      </c>
      <c r="E11" s="8">
        <f>'Table for t-test'!E35</f>
        <v>31</v>
      </c>
      <c r="F11" s="7">
        <f>'Table for t-test'!F35</f>
        <v>0.487394958734512</v>
      </c>
      <c r="G11" s="7">
        <f>'Table for t-test'!G35</f>
        <v>0.86129802465438798</v>
      </c>
      <c r="H11" s="7">
        <f>'Table for t-test'!H35</f>
        <v>0.50594079494476296</v>
      </c>
      <c r="I11" s="7">
        <f>'Table for t-test'!I35</f>
        <v>0.50847458839416504</v>
      </c>
      <c r="J11" s="7">
        <f>'Table for t-test'!J35</f>
        <v>0.89585912227630604</v>
      </c>
      <c r="K11" s="8">
        <f>'Table for t-test'!K35</f>
        <v>0.49422031641006398</v>
      </c>
      <c r="L11" s="7">
        <f>'Table for t-test'!L35</f>
        <v>0.38951310515403698</v>
      </c>
      <c r="M11" s="7">
        <f>'Table for t-test'!M35</f>
        <v>0.83793413639068604</v>
      </c>
      <c r="N11" s="7">
        <f>'Table for t-test'!N35</f>
        <v>0.357453793287277</v>
      </c>
      <c r="O11" s="7">
        <f>'Table for t-test'!O35</f>
        <v>0.431095391511917</v>
      </c>
      <c r="P11" s="7">
        <f>'Table for t-test'!P35</f>
        <v>0.84563577175140303</v>
      </c>
      <c r="Q11" s="8">
        <f>'Table for t-test'!Q35</f>
        <v>0.38255935907363797</v>
      </c>
      <c r="T11" s="105"/>
      <c r="U11" s="105"/>
      <c r="V11" t="s">
        <v>81</v>
      </c>
      <c r="W11">
        <v>-2.5237916681237973</v>
      </c>
      <c r="Z11" t="s">
        <v>81</v>
      </c>
      <c r="AA11">
        <v>-1.6328851689847346</v>
      </c>
      <c r="AD11" t="s">
        <v>81</v>
      </c>
      <c r="AE11">
        <v>-2.3478150186451923</v>
      </c>
    </row>
    <row r="12" spans="1:32" x14ac:dyDescent="0.25">
      <c r="A12" s="105"/>
      <c r="B12" s="103">
        <v>50</v>
      </c>
      <c r="C12" s="10">
        <f>'Table for t-test'!C36</f>
        <v>1</v>
      </c>
      <c r="D12" s="9">
        <f>'Table for t-test'!D36</f>
        <v>8</v>
      </c>
      <c r="E12" s="10">
        <f>'Table for t-test'!E36</f>
        <v>20</v>
      </c>
      <c r="F12" s="9">
        <f>'Table for t-test'!F36</f>
        <v>0.20408163964748299</v>
      </c>
      <c r="G12" s="9">
        <f>'Table for t-test'!G36</f>
        <v>0.81001901626586903</v>
      </c>
      <c r="H12" s="9">
        <f>'Table for t-test'!H36</f>
        <v>0.39950579404830899</v>
      </c>
      <c r="I12" s="9">
        <f>'Table for t-test'!I36</f>
        <v>0.430894315242767</v>
      </c>
      <c r="J12" s="9">
        <f>'Table for t-test'!J36</f>
        <v>0.85489863157272294</v>
      </c>
      <c r="K12" s="10">
        <f>'Table for t-test'!K36</f>
        <v>0.382311850786209</v>
      </c>
      <c r="L12" s="9">
        <f>'Table for t-test'!L36</f>
        <v>0.170542642474174</v>
      </c>
      <c r="M12" s="9">
        <f>'Table for t-test'!M36</f>
        <v>0.80191028118133501</v>
      </c>
      <c r="N12" s="9">
        <f>'Table for t-test'!N36</f>
        <v>0.330825746059417</v>
      </c>
      <c r="O12" s="9">
        <f>'Table for t-test'!O36</f>
        <v>0.47191011905670099</v>
      </c>
      <c r="P12" s="9">
        <f>'Table for t-test'!P36</f>
        <v>0.85637271404266302</v>
      </c>
      <c r="Q12" s="10">
        <f>'Table for t-test'!Q36</f>
        <v>0.49981117248535101</v>
      </c>
      <c r="T12" s="105"/>
      <c r="U12" s="105"/>
      <c r="V12" t="s">
        <v>82</v>
      </c>
      <c r="W12">
        <v>4.2945217762229926E-2</v>
      </c>
      <c r="Z12" t="s">
        <v>82</v>
      </c>
      <c r="AA12">
        <v>0.10049923883645293</v>
      </c>
      <c r="AD12" t="s">
        <v>82</v>
      </c>
      <c r="AE12">
        <v>5.0252531484986804E-2</v>
      </c>
    </row>
    <row r="13" spans="1:32" x14ac:dyDescent="0.25">
      <c r="A13" s="105"/>
      <c r="B13" s="105"/>
      <c r="C13" s="3">
        <f>'Table for t-test'!C37</f>
        <v>2</v>
      </c>
      <c r="D13">
        <f>'Table for t-test'!D37</f>
        <v>15</v>
      </c>
      <c r="E13" s="3">
        <f>'Table for t-test'!E37</f>
        <v>4</v>
      </c>
      <c r="F13">
        <f>'Table for t-test'!F37</f>
        <v>0.33333334326744002</v>
      </c>
      <c r="G13">
        <f>'Table for t-test'!G37</f>
        <v>0.87028390169143599</v>
      </c>
      <c r="H13">
        <f>'Table for t-test'!H37</f>
        <v>0.48008829355239802</v>
      </c>
      <c r="I13">
        <f>'Table for t-test'!I37</f>
        <v>0.48760330677032399</v>
      </c>
      <c r="J13">
        <f>'Table for t-test'!J37</f>
        <v>0.90357160568237305</v>
      </c>
      <c r="K13" s="3">
        <f>'Table for t-test'!K37</f>
        <v>0.49297505617141701</v>
      </c>
      <c r="L13">
        <f>'Table for t-test'!L37</f>
        <v>0.22972972691059099</v>
      </c>
      <c r="M13">
        <f>'Table for t-test'!M37</f>
        <v>0.821707904338836</v>
      </c>
      <c r="N13">
        <f>'Table for t-test'!N37</f>
        <v>0.33657336235046298</v>
      </c>
      <c r="O13">
        <f>'Table for t-test'!O37</f>
        <v>0.41245135664939803</v>
      </c>
      <c r="P13">
        <f>'Table for t-test'!P37</f>
        <v>0.85785257816314697</v>
      </c>
      <c r="Q13" s="3">
        <f>'Table for t-test'!Q37</f>
        <v>0.37971735000610302</v>
      </c>
      <c r="T13" s="105"/>
      <c r="U13" s="105"/>
      <c r="V13" t="s">
        <v>83</v>
      </c>
      <c r="W13">
        <v>2.3533634348018233</v>
      </c>
      <c r="Z13" t="s">
        <v>83</v>
      </c>
      <c r="AA13">
        <v>2.3533634348018233</v>
      </c>
      <c r="AD13" t="s">
        <v>83</v>
      </c>
      <c r="AE13">
        <v>2.3533634348018233</v>
      </c>
    </row>
    <row r="14" spans="1:32" x14ac:dyDescent="0.25">
      <c r="A14" s="105"/>
      <c r="B14" s="105"/>
      <c r="C14" s="3">
        <f>'Table for t-test'!C38</f>
        <v>3</v>
      </c>
      <c r="D14">
        <f>'Table for t-test'!D38</f>
        <v>14</v>
      </c>
      <c r="E14" s="3">
        <f>'Table for t-test'!E38</f>
        <v>9</v>
      </c>
      <c r="F14">
        <f>'Table for t-test'!F38</f>
        <v>0.27586206793785001</v>
      </c>
      <c r="G14">
        <f>'Table for t-test'!G38</f>
        <v>0.84948408603668202</v>
      </c>
      <c r="H14">
        <f>'Table for t-test'!H38</f>
        <v>0.395836651325225</v>
      </c>
      <c r="I14">
        <f>'Table for t-test'!I38</f>
        <v>0.48068669438362099</v>
      </c>
      <c r="J14">
        <f>'Table for t-test'!J38</f>
        <v>0.85838246345519997</v>
      </c>
      <c r="K14" s="3">
        <f>'Table for t-test'!K38</f>
        <v>0.48779803514480502</v>
      </c>
      <c r="L14">
        <f>'Table for t-test'!L38</f>
        <v>0.272727280855178</v>
      </c>
      <c r="M14">
        <f>'Table for t-test'!M38</f>
        <v>0.844623982906341</v>
      </c>
      <c r="N14">
        <f>'Table for t-test'!N38</f>
        <v>0.33928376436233498</v>
      </c>
      <c r="O14">
        <f>'Table for t-test'!O38</f>
        <v>0.453237414360046</v>
      </c>
      <c r="P14">
        <f>'Table for t-test'!P38</f>
        <v>0.86078971624374301</v>
      </c>
      <c r="Q14" s="3">
        <f>'Table for t-test'!Q38</f>
        <v>0.46594262123107899</v>
      </c>
      <c r="T14" s="105"/>
      <c r="U14" s="105"/>
      <c r="V14" t="s">
        <v>84</v>
      </c>
      <c r="W14">
        <v>8.5890435524459852E-2</v>
      </c>
      <c r="Z14" t="s">
        <v>84</v>
      </c>
      <c r="AA14">
        <v>0.20099847767290585</v>
      </c>
      <c r="AD14" t="s">
        <v>84</v>
      </c>
      <c r="AE14">
        <v>0.10050506296997361</v>
      </c>
    </row>
    <row r="15" spans="1:32" ht="15.75" thickBot="1" x14ac:dyDescent="0.3">
      <c r="A15" s="107"/>
      <c r="B15" s="107"/>
      <c r="C15" s="8">
        <f>'Table for t-test'!C39</f>
        <v>4</v>
      </c>
      <c r="D15" s="7">
        <f>'Table for t-test'!D39</f>
        <v>17</v>
      </c>
      <c r="E15" s="8">
        <f>'Table for t-test'!E39</f>
        <v>8</v>
      </c>
      <c r="F15" s="7">
        <f>'Table for t-test'!F39</f>
        <v>0.404109597206115</v>
      </c>
      <c r="G15" s="7">
        <f>'Table for t-test'!G39</f>
        <v>0.85933279991149902</v>
      </c>
      <c r="H15" s="7">
        <f>'Table for t-test'!H39</f>
        <v>0.43972122669219899</v>
      </c>
      <c r="I15" s="7">
        <f>'Table for t-test'!I39</f>
        <v>0.47468355298042297</v>
      </c>
      <c r="J15" s="7">
        <f>'Table for t-test'!J39</f>
        <v>0.89904934167861905</v>
      </c>
      <c r="K15" s="8">
        <f>'Table for t-test'!K39</f>
        <v>0.48348343372344899</v>
      </c>
      <c r="L15" s="7">
        <f>'Table for t-test'!L39</f>
        <v>0.37209302186965898</v>
      </c>
      <c r="M15" s="7">
        <f>'Table for t-test'!M39</f>
        <v>0.84529596567153897</v>
      </c>
      <c r="N15" s="7">
        <f>'Table for t-test'!N39</f>
        <v>0.28834438323974598</v>
      </c>
      <c r="O15" s="7">
        <f>'Table for t-test'!O39</f>
        <v>0.434782594442367</v>
      </c>
      <c r="P15" s="7">
        <f>'Table for t-test'!P39</f>
        <v>0.87798994779586703</v>
      </c>
      <c r="Q15" s="8">
        <f>'Table for t-test'!Q39</f>
        <v>0.39214628934860202</v>
      </c>
      <c r="T15" s="105"/>
      <c r="U15" s="105"/>
      <c r="V15" s="16" t="s">
        <v>85</v>
      </c>
      <c r="W15" s="16">
        <v>3.1824463052837091</v>
      </c>
      <c r="X15" s="16"/>
      <c r="Z15" s="16" t="s">
        <v>85</v>
      </c>
      <c r="AA15" s="16">
        <v>3.1824463052837091</v>
      </c>
      <c r="AB15" s="16"/>
      <c r="AD15" s="16" t="s">
        <v>85</v>
      </c>
      <c r="AE15" s="16">
        <v>3.1824463052837091</v>
      </c>
      <c r="AF15" s="16"/>
    </row>
    <row r="16" spans="1:32" x14ac:dyDescent="0.25">
      <c r="T16" s="105"/>
      <c r="U16" s="105"/>
      <c r="V16" t="str">
        <f>IF(X5 &gt; W5, "Pretrained &gt; Fresh", "Pretrained &lt; Fresh")</f>
        <v>Pretrained &gt; Fresh</v>
      </c>
      <c r="W16" s="171" t="str">
        <f>IF(W12 &lt; 0.05, "Significant", "Not Significant")</f>
        <v>Significant</v>
      </c>
      <c r="X16" s="171"/>
      <c r="Z16" t="str">
        <f>IF(AB5 &gt; AA5, "Pretrained &gt; Fresh", "Pretrained &lt; Fresh")</f>
        <v>Pretrained &gt; Fresh</v>
      </c>
      <c r="AA16" s="171" t="str">
        <f>IF(AA12 &lt; 0.05, "Significant", "Not Significant")</f>
        <v>Not Significant</v>
      </c>
      <c r="AB16" s="171"/>
      <c r="AD16" t="str">
        <f>IF(AF5 &gt; AE5, "Pretrained &gt; Fresh", "Pretrained &lt; Fresh")</f>
        <v>Pretrained &gt; Fresh</v>
      </c>
      <c r="AE16" s="171" t="str">
        <f>IF(AE12 &lt; 0.05, "Significant", "Not Significant")</f>
        <v>Not Significant</v>
      </c>
      <c r="AF16" s="171"/>
    </row>
    <row r="17" spans="20:32" x14ac:dyDescent="0.25">
      <c r="T17" s="105"/>
      <c r="U17" s="105"/>
      <c r="V17">
        <f>W12</f>
        <v>4.2945217762229926E-2</v>
      </c>
      <c r="W17" s="194"/>
      <c r="X17" s="194"/>
      <c r="Z17">
        <f>AA12</f>
        <v>0.10049923883645293</v>
      </c>
      <c r="AD17">
        <f>AE12</f>
        <v>5.0252531484986804E-2</v>
      </c>
    </row>
    <row r="18" spans="20:32" x14ac:dyDescent="0.25">
      <c r="T18" s="105"/>
      <c r="U18" s="105"/>
      <c r="V18" s="196" t="s">
        <v>14</v>
      </c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</row>
    <row r="19" spans="20:32" x14ac:dyDescent="0.25">
      <c r="T19" s="105"/>
      <c r="U19" s="105"/>
      <c r="V19" s="194" t="s">
        <v>4</v>
      </c>
      <c r="W19" s="194"/>
      <c r="X19" s="194"/>
      <c r="Z19" s="194" t="s">
        <v>5</v>
      </c>
      <c r="AA19" s="194"/>
      <c r="AB19" s="194"/>
      <c r="AD19" s="194" t="s">
        <v>70</v>
      </c>
      <c r="AE19" s="194"/>
      <c r="AF19" s="194"/>
    </row>
    <row r="20" spans="20:32" ht="15.75" thickBot="1" x14ac:dyDescent="0.3">
      <c r="T20" s="105"/>
      <c r="U20" s="105"/>
    </row>
    <row r="21" spans="20:32" x14ac:dyDescent="0.25">
      <c r="T21" s="105"/>
      <c r="U21" s="105"/>
      <c r="V21" s="17"/>
      <c r="W21" s="17" t="s">
        <v>19</v>
      </c>
      <c r="X21" s="17" t="s">
        <v>71</v>
      </c>
      <c r="Z21" s="17"/>
      <c r="AA21" s="17" t="s">
        <v>19</v>
      </c>
      <c r="AB21" s="17" t="s">
        <v>71</v>
      </c>
      <c r="AD21" s="17"/>
      <c r="AE21" s="17" t="s">
        <v>19</v>
      </c>
      <c r="AF21" s="17" t="s">
        <v>71</v>
      </c>
    </row>
    <row r="22" spans="20:32" x14ac:dyDescent="0.25">
      <c r="T22" s="105"/>
      <c r="U22" s="105"/>
      <c r="V22" t="s">
        <v>75</v>
      </c>
      <c r="W22">
        <v>0.35604482144117328</v>
      </c>
      <c r="X22">
        <v>0.41065714508295026</v>
      </c>
      <c r="Z22" t="s">
        <v>75</v>
      </c>
      <c r="AA22">
        <v>0.83261473476886694</v>
      </c>
      <c r="AB22">
        <v>0.86517104506492581</v>
      </c>
      <c r="AD22" t="s">
        <v>75</v>
      </c>
      <c r="AE22">
        <v>0.33063083887100175</v>
      </c>
      <c r="AF22">
        <v>0.41395059973001452</v>
      </c>
    </row>
    <row r="23" spans="20:32" x14ac:dyDescent="0.25">
      <c r="T23" s="105"/>
      <c r="U23" s="105"/>
      <c r="V23" t="s">
        <v>76</v>
      </c>
      <c r="W23">
        <v>2.9743130824718881E-4</v>
      </c>
      <c r="X23">
        <v>4.8743442505051358E-4</v>
      </c>
      <c r="Z23" t="s">
        <v>76</v>
      </c>
      <c r="AA23">
        <v>3.3146566772846901E-4</v>
      </c>
      <c r="AB23">
        <v>1.8117651044015458E-5</v>
      </c>
      <c r="AD23" t="s">
        <v>76</v>
      </c>
      <c r="AE23">
        <v>1.9386526417288219E-3</v>
      </c>
      <c r="AF23">
        <v>6.2209241450460098E-4</v>
      </c>
    </row>
    <row r="24" spans="20:32" x14ac:dyDescent="0.25">
      <c r="T24" s="105"/>
      <c r="U24" s="105"/>
      <c r="V24" t="s">
        <v>77</v>
      </c>
      <c r="W24">
        <v>4</v>
      </c>
      <c r="X24">
        <v>4</v>
      </c>
      <c r="Z24" t="s">
        <v>77</v>
      </c>
      <c r="AA24">
        <v>4</v>
      </c>
      <c r="AB24">
        <v>4</v>
      </c>
      <c r="AD24" t="s">
        <v>77</v>
      </c>
      <c r="AE24">
        <v>4</v>
      </c>
      <c r="AF24">
        <v>4</v>
      </c>
    </row>
    <row r="25" spans="20:32" x14ac:dyDescent="0.25">
      <c r="T25" s="105"/>
      <c r="U25" s="105"/>
      <c r="V25" t="s">
        <v>78</v>
      </c>
      <c r="W25">
        <v>6.1726850968965012E-2</v>
      </c>
      <c r="Z25" t="s">
        <v>78</v>
      </c>
      <c r="AA25">
        <v>0.26641297659444985</v>
      </c>
      <c r="AD25" t="s">
        <v>78</v>
      </c>
      <c r="AE25">
        <v>-0.52862574204902923</v>
      </c>
    </row>
    <row r="26" spans="20:32" x14ac:dyDescent="0.25">
      <c r="T26" s="105"/>
      <c r="U26" s="105"/>
      <c r="V26" t="s">
        <v>79</v>
      </c>
      <c r="W26">
        <v>0</v>
      </c>
      <c r="Z26" t="s">
        <v>79</v>
      </c>
      <c r="AA26">
        <v>0</v>
      </c>
      <c r="AD26" t="s">
        <v>79</v>
      </c>
      <c r="AE26">
        <v>0</v>
      </c>
    </row>
    <row r="27" spans="20:32" x14ac:dyDescent="0.25">
      <c r="T27" s="105"/>
      <c r="U27" s="105"/>
      <c r="V27" t="s">
        <v>80</v>
      </c>
      <c r="W27">
        <v>3</v>
      </c>
      <c r="Z27" t="s">
        <v>80</v>
      </c>
      <c r="AA27">
        <v>3</v>
      </c>
      <c r="AD27" t="s">
        <v>80</v>
      </c>
      <c r="AE27">
        <v>3</v>
      </c>
    </row>
    <row r="28" spans="20:32" x14ac:dyDescent="0.25">
      <c r="T28" s="105"/>
      <c r="U28" s="105"/>
      <c r="V28" t="s">
        <v>81</v>
      </c>
      <c r="W28">
        <v>-4.0209976350258927</v>
      </c>
      <c r="Z28" t="s">
        <v>81</v>
      </c>
      <c r="AA28">
        <v>-3.7083766294777858</v>
      </c>
      <c r="AD28" t="s">
        <v>81</v>
      </c>
      <c r="AE28">
        <v>-2.7314988944604988</v>
      </c>
    </row>
    <row r="29" spans="20:32" x14ac:dyDescent="0.25">
      <c r="T29" s="105"/>
      <c r="U29" s="105"/>
      <c r="V29" t="s">
        <v>82</v>
      </c>
      <c r="W29">
        <v>1.381350821072891E-2</v>
      </c>
      <c r="Z29" t="s">
        <v>82</v>
      </c>
      <c r="AA29">
        <v>1.7039882043870507E-2</v>
      </c>
      <c r="AD29" t="s">
        <v>82</v>
      </c>
      <c r="AE29">
        <v>3.5925010791417598E-2</v>
      </c>
    </row>
    <row r="30" spans="20:32" x14ac:dyDescent="0.25">
      <c r="T30" s="105"/>
      <c r="U30" s="105"/>
      <c r="V30" t="s">
        <v>83</v>
      </c>
      <c r="W30">
        <v>2.3533634348018233</v>
      </c>
      <c r="Z30" t="s">
        <v>83</v>
      </c>
      <c r="AA30">
        <v>2.3533634348018233</v>
      </c>
      <c r="AD30" t="s">
        <v>83</v>
      </c>
      <c r="AE30">
        <v>2.3533634348018233</v>
      </c>
    </row>
    <row r="31" spans="20:32" x14ac:dyDescent="0.25">
      <c r="T31" s="105"/>
      <c r="U31" s="105"/>
      <c r="V31" t="s">
        <v>84</v>
      </c>
      <c r="W31">
        <v>2.7627016421457821E-2</v>
      </c>
      <c r="Z31" t="s">
        <v>84</v>
      </c>
      <c r="AA31">
        <v>3.4079764087741014E-2</v>
      </c>
      <c r="AD31" t="s">
        <v>84</v>
      </c>
      <c r="AE31">
        <v>7.1850021582835197E-2</v>
      </c>
    </row>
    <row r="32" spans="20:32" ht="15.75" thickBot="1" x14ac:dyDescent="0.3">
      <c r="T32" s="105"/>
      <c r="U32" s="105"/>
      <c r="V32" s="16" t="s">
        <v>85</v>
      </c>
      <c r="W32" s="16">
        <v>3.1824463052837091</v>
      </c>
      <c r="X32" s="16"/>
      <c r="Z32" s="16" t="s">
        <v>85</v>
      </c>
      <c r="AA32" s="16">
        <v>3.1824463052837091</v>
      </c>
      <c r="AB32" s="16"/>
      <c r="AD32" s="16" t="s">
        <v>85</v>
      </c>
      <c r="AE32" s="16">
        <v>3.1824463052837091</v>
      </c>
      <c r="AF32" s="16"/>
    </row>
    <row r="33" spans="20:32" x14ac:dyDescent="0.25">
      <c r="T33" s="105"/>
      <c r="U33" s="105"/>
      <c r="V33" t="str">
        <f>IF(X22 &gt; W22, "Pretrained &gt; Fresh", "Pretrained &lt; Fresh")</f>
        <v>Pretrained &gt; Fresh</v>
      </c>
      <c r="W33" s="171" t="str">
        <f>IF(W29 &lt; 0.05, "Significant", "Not Significant")</f>
        <v>Significant</v>
      </c>
      <c r="X33" s="171"/>
      <c r="Z33" t="str">
        <f>IF(AB22 &gt; AA22, "Pretrained &gt; Fresh", "Pretrained &lt; Fresh")</f>
        <v>Pretrained &gt; Fresh</v>
      </c>
      <c r="AA33" s="171" t="str">
        <f>IF(AA29 &lt; 0.05, "Significant", "Not Significant")</f>
        <v>Significant</v>
      </c>
      <c r="AB33" s="171"/>
      <c r="AD33" t="str">
        <f>IF(AF22 &gt; AE22, "Pretrained &gt; Fresh", "Pretrained &lt; Fresh")</f>
        <v>Pretrained &gt; Fresh</v>
      </c>
      <c r="AE33" s="171" t="str">
        <f>IF(AE29 &lt; 0.05, "Significant", "Not Significant")</f>
        <v>Significant</v>
      </c>
      <c r="AF33" s="171"/>
    </row>
    <row r="34" spans="20:32" x14ac:dyDescent="0.25">
      <c r="T34" s="105"/>
      <c r="U34" s="105"/>
      <c r="V34">
        <f>W29</f>
        <v>1.381350821072891E-2</v>
      </c>
      <c r="W34" s="194"/>
      <c r="X34" s="194"/>
      <c r="Z34">
        <f>AA29</f>
        <v>1.7039882043870507E-2</v>
      </c>
      <c r="AD34">
        <f>AE29</f>
        <v>3.5925010791417598E-2</v>
      </c>
    </row>
    <row r="35" spans="20:32" x14ac:dyDescent="0.25">
      <c r="T35" s="105"/>
      <c r="U35" s="105">
        <v>34</v>
      </c>
      <c r="V35" s="195" t="s">
        <v>13</v>
      </c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</row>
    <row r="36" spans="20:32" x14ac:dyDescent="0.25">
      <c r="T36" s="105"/>
      <c r="U36" s="105"/>
      <c r="V36" s="194" t="s">
        <v>4</v>
      </c>
      <c r="W36" s="194"/>
      <c r="X36" s="194"/>
      <c r="Z36" s="194" t="s">
        <v>5</v>
      </c>
      <c r="AA36" s="194"/>
      <c r="AB36" s="194"/>
      <c r="AD36" s="194" t="s">
        <v>70</v>
      </c>
      <c r="AE36" s="194"/>
      <c r="AF36" s="194"/>
    </row>
    <row r="37" spans="20:32" ht="15.75" thickBot="1" x14ac:dyDescent="0.3">
      <c r="T37" s="105"/>
      <c r="U37" s="105"/>
    </row>
    <row r="38" spans="20:32" x14ac:dyDescent="0.25">
      <c r="T38" s="105"/>
      <c r="U38" s="105"/>
      <c r="V38" s="17"/>
      <c r="W38" s="17" t="s">
        <v>19</v>
      </c>
      <c r="X38" s="17" t="s">
        <v>71</v>
      </c>
      <c r="Z38" s="17"/>
      <c r="AA38" s="17" t="s">
        <v>19</v>
      </c>
      <c r="AB38" s="17" t="s">
        <v>71</v>
      </c>
      <c r="AD38" s="17"/>
      <c r="AE38" s="17" t="s">
        <v>19</v>
      </c>
      <c r="AF38" s="17" t="s">
        <v>71</v>
      </c>
    </row>
    <row r="39" spans="20:32" x14ac:dyDescent="0.25">
      <c r="T39" s="105"/>
      <c r="U39" s="105"/>
      <c r="V39" t="s">
        <v>75</v>
      </c>
      <c r="W39">
        <v>0.45223500579595521</v>
      </c>
      <c r="X39">
        <v>0.46222216635942426</v>
      </c>
      <c r="Z39" t="s">
        <v>75</v>
      </c>
      <c r="AA39">
        <v>0.85980609059333746</v>
      </c>
      <c r="AB39">
        <v>0.87625950574874856</v>
      </c>
      <c r="AD39" t="s">
        <v>75</v>
      </c>
      <c r="AE39">
        <v>0.43308492004871302</v>
      </c>
      <c r="AF39">
        <v>0.45852765440940801</v>
      </c>
    </row>
    <row r="40" spans="20:32" x14ac:dyDescent="0.25">
      <c r="T40" s="105"/>
      <c r="U40" s="105"/>
      <c r="V40" t="s">
        <v>76</v>
      </c>
      <c r="W40">
        <v>8.2480080601996279E-4</v>
      </c>
      <c r="X40">
        <v>3.8808570685798793E-3</v>
      </c>
      <c r="Z40" t="s">
        <v>76</v>
      </c>
      <c r="AA40">
        <v>1.3266726867892237E-4</v>
      </c>
      <c r="AB40">
        <v>4.4072095121330812E-4</v>
      </c>
      <c r="AD40" t="s">
        <v>76</v>
      </c>
      <c r="AE40">
        <v>3.048761736282398E-3</v>
      </c>
      <c r="AF40">
        <v>4.2304529253171337E-3</v>
      </c>
    </row>
    <row r="41" spans="20:32" x14ac:dyDescent="0.25">
      <c r="T41" s="105"/>
      <c r="U41" s="105"/>
      <c r="V41" t="s">
        <v>77</v>
      </c>
      <c r="W41">
        <v>4</v>
      </c>
      <c r="X41">
        <v>4</v>
      </c>
      <c r="Z41" t="s">
        <v>77</v>
      </c>
      <c r="AA41">
        <v>4</v>
      </c>
      <c r="AB41">
        <v>4</v>
      </c>
      <c r="AD41" t="s">
        <v>77</v>
      </c>
      <c r="AE41">
        <v>4</v>
      </c>
      <c r="AF41">
        <v>4</v>
      </c>
    </row>
    <row r="42" spans="20:32" x14ac:dyDescent="0.25">
      <c r="T42" s="105"/>
      <c r="U42" s="105"/>
      <c r="V42" t="s">
        <v>78</v>
      </c>
      <c r="W42">
        <v>0.87376136943521665</v>
      </c>
      <c r="Z42" t="s">
        <v>78</v>
      </c>
      <c r="AA42">
        <v>0.81388278711837936</v>
      </c>
      <c r="AD42" t="s">
        <v>78</v>
      </c>
      <c r="AE42">
        <v>0.74852382369976223</v>
      </c>
    </row>
    <row r="43" spans="20:32" x14ac:dyDescent="0.25">
      <c r="T43" s="105"/>
      <c r="U43" s="105"/>
      <c r="V43" t="s">
        <v>79</v>
      </c>
      <c r="W43">
        <v>0</v>
      </c>
      <c r="Z43" t="s">
        <v>79</v>
      </c>
      <c r="AA43">
        <v>0</v>
      </c>
      <c r="AD43" t="s">
        <v>79</v>
      </c>
      <c r="AE43">
        <v>0</v>
      </c>
    </row>
    <row r="44" spans="20:32" x14ac:dyDescent="0.25">
      <c r="T44" s="105"/>
      <c r="U44" s="105"/>
      <c r="V44" t="s">
        <v>80</v>
      </c>
      <c r="W44">
        <v>3</v>
      </c>
      <c r="Z44" t="s">
        <v>80</v>
      </c>
      <c r="AA44">
        <v>3</v>
      </c>
      <c r="AD44" t="s">
        <v>80</v>
      </c>
      <c r="AE44">
        <v>3</v>
      </c>
    </row>
    <row r="45" spans="20:32" x14ac:dyDescent="0.25">
      <c r="T45" s="105"/>
      <c r="U45" s="105"/>
      <c r="V45" t="s">
        <v>81</v>
      </c>
      <c r="W45">
        <v>-0.50264572082562842</v>
      </c>
      <c r="Z45" t="s">
        <v>81</v>
      </c>
      <c r="AA45">
        <v>-2.4541776453072619</v>
      </c>
      <c r="AD45" t="s">
        <v>81</v>
      </c>
      <c r="AE45">
        <v>-1.16652605162441</v>
      </c>
    </row>
    <row r="46" spans="20:32" x14ac:dyDescent="0.25">
      <c r="T46" s="105"/>
      <c r="U46" s="105"/>
      <c r="V46" t="s">
        <v>82</v>
      </c>
      <c r="W46">
        <v>0.3248960683324843</v>
      </c>
      <c r="Z46" t="s">
        <v>82</v>
      </c>
      <c r="AA46">
        <v>4.5669594175959366E-2</v>
      </c>
      <c r="AD46" t="s">
        <v>82</v>
      </c>
      <c r="AE46">
        <v>0.16385056127574624</v>
      </c>
    </row>
    <row r="47" spans="20:32" x14ac:dyDescent="0.25">
      <c r="T47" s="105"/>
      <c r="U47" s="105"/>
      <c r="V47" t="s">
        <v>83</v>
      </c>
      <c r="W47">
        <v>2.3533634348018233</v>
      </c>
      <c r="Z47" t="s">
        <v>83</v>
      </c>
      <c r="AA47">
        <v>2.3533634348018233</v>
      </c>
      <c r="AD47" t="s">
        <v>83</v>
      </c>
      <c r="AE47">
        <v>2.3533634348018233</v>
      </c>
    </row>
    <row r="48" spans="20:32" x14ac:dyDescent="0.25">
      <c r="T48" s="105"/>
      <c r="U48" s="105"/>
      <c r="V48" t="s">
        <v>84</v>
      </c>
      <c r="W48">
        <v>0.6497921366649686</v>
      </c>
      <c r="Z48" t="s">
        <v>84</v>
      </c>
      <c r="AA48">
        <v>9.1339188351918732E-2</v>
      </c>
      <c r="AD48" t="s">
        <v>84</v>
      </c>
      <c r="AE48">
        <v>0.32770112255149247</v>
      </c>
    </row>
    <row r="49" spans="20:32" ht="15.75" thickBot="1" x14ac:dyDescent="0.3">
      <c r="T49" s="105"/>
      <c r="U49" s="105"/>
      <c r="V49" s="16" t="s">
        <v>85</v>
      </c>
      <c r="W49" s="16">
        <v>3.1824463052837091</v>
      </c>
      <c r="X49" s="16"/>
      <c r="Z49" s="16" t="s">
        <v>85</v>
      </c>
      <c r="AA49" s="16">
        <v>3.1824463052837091</v>
      </c>
      <c r="AB49" s="16"/>
      <c r="AD49" s="16" t="s">
        <v>85</v>
      </c>
      <c r="AE49" s="16">
        <v>3.1824463052837091</v>
      </c>
      <c r="AF49" s="16"/>
    </row>
    <row r="50" spans="20:32" x14ac:dyDescent="0.25">
      <c r="T50" s="105"/>
      <c r="U50" s="105"/>
      <c r="V50" t="str">
        <f>IF(X39 &gt; W39, "Pretrained &gt; Fresh", "Pretrained &lt; Fresh")</f>
        <v>Pretrained &gt; Fresh</v>
      </c>
      <c r="W50" s="171" t="str">
        <f>IF(W46 &lt; 0.05, "Significant", "Not Significant")</f>
        <v>Not Significant</v>
      </c>
      <c r="X50" s="171"/>
      <c r="Z50" t="str">
        <f>IF(AB39 &gt; AA39, "Pretrained &gt; Fresh", "Pretrained &lt; Fresh")</f>
        <v>Pretrained &gt; Fresh</v>
      </c>
      <c r="AA50" s="171" t="str">
        <f>IF(AA46 &lt; 0.05, "Significant", "Not Significant")</f>
        <v>Significant</v>
      </c>
      <c r="AB50" s="171"/>
      <c r="AD50" t="str">
        <f>IF(AF39 &gt; AE39, "Pretrained &gt; Fresh", "Pretrained &lt; Fresh")</f>
        <v>Pretrained &gt; Fresh</v>
      </c>
      <c r="AE50" s="171" t="str">
        <f>IF(AE46 &lt; 0.05, "Significant", "Not Significant")</f>
        <v>Not Significant</v>
      </c>
      <c r="AF50" s="171"/>
    </row>
    <row r="51" spans="20:32" x14ac:dyDescent="0.25">
      <c r="T51" s="105"/>
      <c r="U51" s="105"/>
      <c r="V51">
        <f>W46</f>
        <v>0.3248960683324843</v>
      </c>
      <c r="W51" s="194"/>
      <c r="X51" s="194"/>
      <c r="Z51">
        <f>AA46</f>
        <v>4.5669594175959366E-2</v>
      </c>
      <c r="AD51">
        <f>AE46</f>
        <v>0.16385056127574624</v>
      </c>
    </row>
    <row r="52" spans="20:32" x14ac:dyDescent="0.25">
      <c r="T52" s="105"/>
      <c r="U52" s="105"/>
      <c r="V52" s="196" t="s">
        <v>14</v>
      </c>
      <c r="W52" s="196"/>
      <c r="X52" s="196"/>
      <c r="Y52" s="196"/>
      <c r="Z52" s="196"/>
      <c r="AA52" s="196"/>
      <c r="AB52" s="196"/>
      <c r="AC52" s="196"/>
      <c r="AD52" s="196"/>
      <c r="AE52" s="196"/>
      <c r="AF52" s="196"/>
    </row>
    <row r="53" spans="20:32" x14ac:dyDescent="0.25">
      <c r="T53" s="105"/>
      <c r="U53" s="105"/>
      <c r="V53" s="194" t="s">
        <v>4</v>
      </c>
      <c r="W53" s="194"/>
      <c r="X53" s="194"/>
      <c r="Z53" s="194" t="s">
        <v>5</v>
      </c>
      <c r="AA53" s="194"/>
      <c r="AB53" s="194"/>
      <c r="AD53" s="194" t="s">
        <v>70</v>
      </c>
      <c r="AE53" s="194"/>
      <c r="AF53" s="194"/>
    </row>
    <row r="54" spans="20:32" ht="15.75" thickBot="1" x14ac:dyDescent="0.3">
      <c r="T54" s="105"/>
      <c r="U54" s="105"/>
    </row>
    <row r="55" spans="20:32" x14ac:dyDescent="0.25">
      <c r="T55" s="105"/>
      <c r="U55" s="105"/>
      <c r="V55" s="17"/>
      <c r="W55" s="17" t="s">
        <v>19</v>
      </c>
      <c r="X55" s="17" t="s">
        <v>71</v>
      </c>
      <c r="Z55" s="17"/>
      <c r="AA55" s="17" t="s">
        <v>19</v>
      </c>
      <c r="AB55" s="17" t="s">
        <v>71</v>
      </c>
      <c r="AD55" s="17"/>
      <c r="AE55" s="17" t="s">
        <v>19</v>
      </c>
      <c r="AF55" s="17" t="s">
        <v>71</v>
      </c>
    </row>
    <row r="56" spans="20:32" x14ac:dyDescent="0.25">
      <c r="T56" s="105"/>
      <c r="U56" s="105"/>
      <c r="V56" t="s">
        <v>75</v>
      </c>
      <c r="W56">
        <v>0.37455544620752274</v>
      </c>
      <c r="X56">
        <v>0.4132326170802112</v>
      </c>
      <c r="Z56" t="s">
        <v>75</v>
      </c>
      <c r="AA56">
        <v>0.82848647236824002</v>
      </c>
      <c r="AB56">
        <v>0.8523104935884469</v>
      </c>
      <c r="AD56" t="s">
        <v>75</v>
      </c>
      <c r="AE56">
        <v>0.342689588665962</v>
      </c>
      <c r="AF56">
        <v>0.3867298364639275</v>
      </c>
    </row>
    <row r="57" spans="20:32" x14ac:dyDescent="0.25">
      <c r="T57" s="105"/>
      <c r="U57" s="105"/>
      <c r="V57" t="s">
        <v>76</v>
      </c>
      <c r="W57">
        <v>1.554451908234826E-3</v>
      </c>
      <c r="X57">
        <v>4.2522932435824501E-3</v>
      </c>
      <c r="Z57" t="s">
        <v>76</v>
      </c>
      <c r="AA57">
        <v>4.6359316484394252E-4</v>
      </c>
      <c r="AB57">
        <v>8.4520926950369188E-5</v>
      </c>
      <c r="AD57" t="s">
        <v>76</v>
      </c>
      <c r="AE57">
        <v>6.5914495019500261E-4</v>
      </c>
      <c r="AF57">
        <v>6.9653083721968486E-4</v>
      </c>
    </row>
    <row r="58" spans="20:32" x14ac:dyDescent="0.25">
      <c r="T58" s="105"/>
      <c r="U58" s="105"/>
      <c r="V58" t="s">
        <v>77</v>
      </c>
      <c r="W58">
        <v>4</v>
      </c>
      <c r="X58">
        <v>4</v>
      </c>
      <c r="Z58" t="s">
        <v>77</v>
      </c>
      <c r="AA58">
        <v>4</v>
      </c>
      <c r="AB58">
        <v>4</v>
      </c>
      <c r="AD58" t="s">
        <v>77</v>
      </c>
      <c r="AE58">
        <v>4</v>
      </c>
      <c r="AF58">
        <v>4</v>
      </c>
    </row>
    <row r="59" spans="20:32" x14ac:dyDescent="0.25">
      <c r="T59" s="105"/>
      <c r="U59" s="105"/>
      <c r="V59" t="s">
        <v>78</v>
      </c>
      <c r="W59">
        <v>0.57930014745935787</v>
      </c>
      <c r="Z59" t="s">
        <v>78</v>
      </c>
      <c r="AA59">
        <v>-0.41443981980810629</v>
      </c>
      <c r="AD59" t="s">
        <v>78</v>
      </c>
      <c r="AE59">
        <v>-0.68264423495580384</v>
      </c>
    </row>
    <row r="60" spans="20:32" x14ac:dyDescent="0.25">
      <c r="T60" s="105"/>
      <c r="U60" s="105"/>
      <c r="V60" t="s">
        <v>79</v>
      </c>
      <c r="W60">
        <v>0</v>
      </c>
      <c r="Z60" t="s">
        <v>79</v>
      </c>
      <c r="AA60">
        <v>0</v>
      </c>
      <c r="AD60" t="s">
        <v>79</v>
      </c>
      <c r="AE60">
        <v>0</v>
      </c>
    </row>
    <row r="61" spans="20:32" x14ac:dyDescent="0.25">
      <c r="T61" s="105"/>
      <c r="U61" s="105"/>
      <c r="V61" t="s">
        <v>80</v>
      </c>
      <c r="W61">
        <v>3</v>
      </c>
      <c r="Z61" t="s">
        <v>80</v>
      </c>
      <c r="AA61">
        <v>3</v>
      </c>
      <c r="AD61" t="s">
        <v>80</v>
      </c>
      <c r="AE61">
        <v>3</v>
      </c>
    </row>
    <row r="62" spans="20:32" x14ac:dyDescent="0.25">
      <c r="T62" s="105"/>
      <c r="U62" s="105"/>
      <c r="V62" t="s">
        <v>81</v>
      </c>
      <c r="W62">
        <v>-1.454605662219616</v>
      </c>
      <c r="Z62" t="s">
        <v>81</v>
      </c>
      <c r="AA62">
        <v>-1.7854489574698882</v>
      </c>
      <c r="AD62" t="s">
        <v>81</v>
      </c>
      <c r="AE62">
        <v>-1.8443323616791778</v>
      </c>
    </row>
    <row r="63" spans="20:32" x14ac:dyDescent="0.25">
      <c r="T63" s="105"/>
      <c r="U63" s="105"/>
      <c r="V63" t="s">
        <v>82</v>
      </c>
      <c r="W63">
        <v>0.12088360605395795</v>
      </c>
      <c r="Z63" t="s">
        <v>82</v>
      </c>
      <c r="AA63">
        <v>8.6086596323253217E-2</v>
      </c>
      <c r="AD63" t="s">
        <v>82</v>
      </c>
      <c r="AE63">
        <v>8.116834761624897E-2</v>
      </c>
    </row>
    <row r="64" spans="20:32" x14ac:dyDescent="0.25">
      <c r="T64" s="105"/>
      <c r="U64" s="105"/>
      <c r="V64" t="s">
        <v>83</v>
      </c>
      <c r="W64">
        <v>2.3533634348018233</v>
      </c>
      <c r="Z64" t="s">
        <v>83</v>
      </c>
      <c r="AA64">
        <v>2.3533634348018233</v>
      </c>
      <c r="AD64" t="s">
        <v>83</v>
      </c>
      <c r="AE64">
        <v>2.3533634348018233</v>
      </c>
    </row>
    <row r="65" spans="20:32" x14ac:dyDescent="0.25">
      <c r="T65" s="105"/>
      <c r="U65" s="105"/>
      <c r="V65" t="s">
        <v>84</v>
      </c>
      <c r="W65">
        <v>0.24176721210791591</v>
      </c>
      <c r="Z65" t="s">
        <v>84</v>
      </c>
      <c r="AA65">
        <v>0.17217319264650643</v>
      </c>
      <c r="AD65" t="s">
        <v>84</v>
      </c>
      <c r="AE65">
        <v>0.16233669523249794</v>
      </c>
    </row>
    <row r="66" spans="20:32" ht="15.75" thickBot="1" x14ac:dyDescent="0.3">
      <c r="T66" s="105"/>
      <c r="U66" s="105"/>
      <c r="V66" s="16" t="s">
        <v>85</v>
      </c>
      <c r="W66" s="16">
        <v>3.1824463052837091</v>
      </c>
      <c r="X66" s="16"/>
      <c r="Z66" s="16" t="s">
        <v>85</v>
      </c>
      <c r="AA66" s="16">
        <v>3.1824463052837091</v>
      </c>
      <c r="AB66" s="16"/>
      <c r="AD66" s="16" t="s">
        <v>85</v>
      </c>
      <c r="AE66" s="16">
        <v>3.1824463052837091</v>
      </c>
      <c r="AF66" s="16"/>
    </row>
    <row r="67" spans="20:32" x14ac:dyDescent="0.25">
      <c r="T67" s="105"/>
      <c r="U67" s="105"/>
      <c r="V67" t="str">
        <f>IF(X56 &gt; W56, "Pretrained &gt; Fresh", "Pretrained &lt; Fresh")</f>
        <v>Pretrained &gt; Fresh</v>
      </c>
      <c r="W67" s="171" t="str">
        <f>IF(W63 &lt; 0.05, "Significant", "Not Significant")</f>
        <v>Not Significant</v>
      </c>
      <c r="X67" s="171"/>
      <c r="Z67" t="str">
        <f>IF(AB56 &gt; AA56, "Pretrained &gt; Fresh", "Pretrained &lt; Fresh")</f>
        <v>Pretrained &gt; Fresh</v>
      </c>
      <c r="AA67" s="171" t="str">
        <f>IF(AA63 &lt; 0.05, "Significant", "Not Significant")</f>
        <v>Not Significant</v>
      </c>
      <c r="AB67" s="171"/>
      <c r="AD67" t="str">
        <f>IF(AF56 &gt; AE56, "Pretrained &gt; Fresh", "Pretrained &lt; Fresh")</f>
        <v>Pretrained &gt; Fresh</v>
      </c>
      <c r="AE67" s="171" t="str">
        <f>IF(AE63 &lt; 0.05, "Significant", "Not Significant")</f>
        <v>Not Significant</v>
      </c>
      <c r="AF67" s="171"/>
    </row>
    <row r="68" spans="20:32" x14ac:dyDescent="0.25">
      <c r="T68" s="105"/>
      <c r="U68" s="105"/>
      <c r="V68">
        <f>W63</f>
        <v>0.12088360605395795</v>
      </c>
      <c r="W68" s="194"/>
      <c r="X68" s="194"/>
      <c r="Z68">
        <f>AA63</f>
        <v>8.6086596323253217E-2</v>
      </c>
      <c r="AD68">
        <f>AE63</f>
        <v>8.116834761624897E-2</v>
      </c>
    </row>
    <row r="69" spans="20:32" x14ac:dyDescent="0.25">
      <c r="T69" s="105"/>
      <c r="U69" s="105">
        <v>50</v>
      </c>
      <c r="V69" s="195" t="s">
        <v>13</v>
      </c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</row>
    <row r="70" spans="20:32" x14ac:dyDescent="0.25">
      <c r="T70" s="105"/>
      <c r="U70" s="105"/>
      <c r="V70" s="194" t="s">
        <v>4</v>
      </c>
      <c r="W70" s="194"/>
      <c r="X70" s="194"/>
      <c r="Z70" s="194" t="s">
        <v>5</v>
      </c>
      <c r="AA70" s="194"/>
      <c r="AB70" s="194"/>
      <c r="AD70" s="194" t="s">
        <v>70</v>
      </c>
      <c r="AE70" s="194"/>
      <c r="AF70" s="194"/>
    </row>
    <row r="71" spans="20:32" ht="15.75" thickBot="1" x14ac:dyDescent="0.3">
      <c r="T71" s="105"/>
      <c r="U71" s="105"/>
    </row>
    <row r="72" spans="20:32" x14ac:dyDescent="0.25">
      <c r="T72" s="105"/>
      <c r="U72" s="105"/>
      <c r="V72" s="17"/>
      <c r="W72" s="17" t="s">
        <v>19</v>
      </c>
      <c r="X72" s="17" t="s">
        <v>71</v>
      </c>
      <c r="Z72" s="17"/>
      <c r="AA72" s="17" t="s">
        <v>19</v>
      </c>
      <c r="AB72" s="17" t="s">
        <v>71</v>
      </c>
      <c r="AD72" s="17"/>
      <c r="AE72" s="17" t="s">
        <v>19</v>
      </c>
      <c r="AF72" s="17" t="s">
        <v>71</v>
      </c>
    </row>
    <row r="73" spans="20:32" x14ac:dyDescent="0.25">
      <c r="T73" s="105"/>
      <c r="U73" s="105"/>
      <c r="V73" t="s">
        <v>75</v>
      </c>
      <c r="W73">
        <v>0.30434666201472205</v>
      </c>
      <c r="X73">
        <v>0.46846696734428372</v>
      </c>
      <c r="Z73" t="s">
        <v>75</v>
      </c>
      <c r="AA73">
        <v>0.84727995097637154</v>
      </c>
      <c r="AB73">
        <v>0.87897551059722867</v>
      </c>
      <c r="AD73" t="s">
        <v>75</v>
      </c>
      <c r="AE73">
        <v>0.42878799140453278</v>
      </c>
      <c r="AF73">
        <v>0.46164209395646999</v>
      </c>
    </row>
    <row r="74" spans="20:32" x14ac:dyDescent="0.25">
      <c r="T74" s="105"/>
      <c r="U74" s="105"/>
      <c r="V74" t="s">
        <v>76</v>
      </c>
      <c r="W74">
        <v>7.2191059126919073E-3</v>
      </c>
      <c r="X74">
        <v>6.552904461525318E-4</v>
      </c>
      <c r="Z74" t="s">
        <v>76</v>
      </c>
      <c r="AA74">
        <v>6.8922946093951277E-4</v>
      </c>
      <c r="AB74">
        <v>6.7056542729205268E-4</v>
      </c>
      <c r="AD74" t="s">
        <v>76</v>
      </c>
      <c r="AE74">
        <v>1.5648315097829236E-3</v>
      </c>
      <c r="AF74">
        <v>2.8120731282934327E-3</v>
      </c>
    </row>
    <row r="75" spans="20:32" x14ac:dyDescent="0.25">
      <c r="T75" s="105"/>
      <c r="U75" s="105"/>
      <c r="V75" t="s">
        <v>77</v>
      </c>
      <c r="W75">
        <v>4</v>
      </c>
      <c r="X75">
        <v>4</v>
      </c>
      <c r="Z75" t="s">
        <v>77</v>
      </c>
      <c r="AA75">
        <v>4</v>
      </c>
      <c r="AB75">
        <v>4</v>
      </c>
      <c r="AD75" t="s">
        <v>77</v>
      </c>
      <c r="AE75">
        <v>4</v>
      </c>
      <c r="AF75">
        <v>4</v>
      </c>
    </row>
    <row r="76" spans="20:32" x14ac:dyDescent="0.25">
      <c r="T76" s="105"/>
      <c r="U76" s="105"/>
      <c r="V76" t="s">
        <v>78</v>
      </c>
      <c r="W76">
        <v>0.70406733682552636</v>
      </c>
      <c r="Z76" t="s">
        <v>78</v>
      </c>
      <c r="AA76">
        <v>0.81367551699124563</v>
      </c>
      <c r="AD76" t="s">
        <v>78</v>
      </c>
      <c r="AE76">
        <v>0.52553576830701054</v>
      </c>
    </row>
    <row r="77" spans="20:32" x14ac:dyDescent="0.25">
      <c r="T77" s="105"/>
      <c r="U77" s="105"/>
      <c r="V77" t="s">
        <v>79</v>
      </c>
      <c r="W77">
        <v>0</v>
      </c>
      <c r="Z77" t="s">
        <v>79</v>
      </c>
      <c r="AA77">
        <v>0</v>
      </c>
      <c r="AD77" t="s">
        <v>79</v>
      </c>
      <c r="AE77">
        <v>0</v>
      </c>
    </row>
    <row r="78" spans="20:32" x14ac:dyDescent="0.25">
      <c r="T78" s="105"/>
      <c r="U78" s="105"/>
      <c r="V78" t="s">
        <v>80</v>
      </c>
      <c r="W78">
        <v>3</v>
      </c>
      <c r="Z78" t="s">
        <v>80</v>
      </c>
      <c r="AA78">
        <v>3</v>
      </c>
      <c r="AD78" t="s">
        <v>80</v>
      </c>
      <c r="AE78">
        <v>3</v>
      </c>
    </row>
    <row r="79" spans="20:32" x14ac:dyDescent="0.25">
      <c r="T79" s="105"/>
      <c r="U79" s="105"/>
      <c r="V79" t="s">
        <v>81</v>
      </c>
      <c r="W79">
        <v>-4.7319776303021648</v>
      </c>
      <c r="Z79" t="s">
        <v>81</v>
      </c>
      <c r="AA79">
        <v>-3.9816900059648583</v>
      </c>
      <c r="AD79" t="s">
        <v>81</v>
      </c>
      <c r="AE79">
        <v>-1.4098872889950103</v>
      </c>
    </row>
    <row r="80" spans="20:32" x14ac:dyDescent="0.25">
      <c r="T80" s="105"/>
      <c r="U80" s="105"/>
      <c r="V80" t="s">
        <v>82</v>
      </c>
      <c r="W80">
        <v>8.944391546474131E-3</v>
      </c>
      <c r="Z80" t="s">
        <v>82</v>
      </c>
      <c r="AA80">
        <v>1.41733106378037E-2</v>
      </c>
      <c r="AD80" t="s">
        <v>82</v>
      </c>
      <c r="AE80">
        <v>0.12668159902107073</v>
      </c>
    </row>
    <row r="81" spans="20:32" x14ac:dyDescent="0.25">
      <c r="T81" s="105"/>
      <c r="U81" s="105"/>
      <c r="V81" t="s">
        <v>83</v>
      </c>
      <c r="W81">
        <v>2.3533634348018233</v>
      </c>
      <c r="Z81" t="s">
        <v>83</v>
      </c>
      <c r="AA81">
        <v>2.3533634348018233</v>
      </c>
      <c r="AD81" t="s">
        <v>83</v>
      </c>
      <c r="AE81">
        <v>2.3533634348018233</v>
      </c>
    </row>
    <row r="82" spans="20:32" x14ac:dyDescent="0.25">
      <c r="T82" s="105"/>
      <c r="U82" s="105"/>
      <c r="V82" t="s">
        <v>84</v>
      </c>
      <c r="W82">
        <v>1.7888783092948262E-2</v>
      </c>
      <c r="Z82" t="s">
        <v>84</v>
      </c>
      <c r="AA82">
        <v>2.83466212756074E-2</v>
      </c>
      <c r="AD82" t="s">
        <v>84</v>
      </c>
      <c r="AE82">
        <v>0.25336319804214147</v>
      </c>
    </row>
    <row r="83" spans="20:32" ht="15.75" thickBot="1" x14ac:dyDescent="0.3">
      <c r="T83" s="105"/>
      <c r="U83" s="105"/>
      <c r="V83" s="16" t="s">
        <v>85</v>
      </c>
      <c r="W83" s="16">
        <v>3.1824463052837091</v>
      </c>
      <c r="X83" s="16"/>
      <c r="Z83" s="16" t="s">
        <v>85</v>
      </c>
      <c r="AA83" s="16">
        <v>3.1824463052837091</v>
      </c>
      <c r="AB83" s="16"/>
      <c r="AD83" s="16" t="s">
        <v>85</v>
      </c>
      <c r="AE83" s="16">
        <v>3.1824463052837091</v>
      </c>
      <c r="AF83" s="16"/>
    </row>
    <row r="84" spans="20:32" x14ac:dyDescent="0.25">
      <c r="T84" s="105"/>
      <c r="U84" s="105"/>
      <c r="V84" t="str">
        <f>IF(X73 &gt; W73, "Pretrained &gt; Fresh", "Pretrained &lt; Fresh")</f>
        <v>Pretrained &gt; Fresh</v>
      </c>
      <c r="W84" s="171" t="str">
        <f>IF(W80 &lt; 0.05, "Significant", "Not Significant")</f>
        <v>Significant</v>
      </c>
      <c r="X84" s="171"/>
      <c r="Z84" t="str">
        <f>IF(AB73 &gt; AA73, "Pretrained &gt; Fresh", "Pretrained &lt; Fresh")</f>
        <v>Pretrained &gt; Fresh</v>
      </c>
      <c r="AA84" s="171" t="str">
        <f>IF(AA80 &lt; 0.05, "Significant", "Not Significant")</f>
        <v>Significant</v>
      </c>
      <c r="AB84" s="171"/>
      <c r="AD84" t="str">
        <f>IF(AF73 &gt; AE73, "Pretrained &gt; Fresh", "Pretrained &lt; Fresh")</f>
        <v>Pretrained &gt; Fresh</v>
      </c>
      <c r="AE84" s="171" t="str">
        <f>IF(AE80 &lt; 0.05, "Significant", "Not Significant")</f>
        <v>Not Significant</v>
      </c>
      <c r="AF84" s="171"/>
    </row>
    <row r="85" spans="20:32" x14ac:dyDescent="0.25">
      <c r="T85" s="105"/>
      <c r="U85" s="105"/>
      <c r="V85">
        <f>W80</f>
        <v>8.944391546474131E-3</v>
      </c>
      <c r="W85" s="194"/>
      <c r="X85" s="194"/>
      <c r="Z85">
        <f>AA80</f>
        <v>1.41733106378037E-2</v>
      </c>
      <c r="AD85">
        <f>AE80</f>
        <v>0.12668159902107073</v>
      </c>
    </row>
    <row r="86" spans="20:32" x14ac:dyDescent="0.25">
      <c r="T86" s="105"/>
      <c r="U86" s="105"/>
      <c r="V86" s="196" t="s">
        <v>14</v>
      </c>
      <c r="W86" s="196"/>
      <c r="X86" s="196"/>
      <c r="Y86" s="196"/>
      <c r="Z86" s="196"/>
      <c r="AA86" s="196"/>
      <c r="AB86" s="196"/>
      <c r="AC86" s="196"/>
      <c r="AD86" s="196"/>
      <c r="AE86" s="196"/>
      <c r="AF86" s="196"/>
    </row>
    <row r="87" spans="20:32" x14ac:dyDescent="0.25">
      <c r="T87" s="105"/>
      <c r="U87" s="105"/>
      <c r="V87" s="194" t="s">
        <v>4</v>
      </c>
      <c r="W87" s="194"/>
      <c r="X87" s="194"/>
      <c r="Z87" s="194" t="s">
        <v>5</v>
      </c>
      <c r="AA87" s="194"/>
      <c r="AB87" s="194"/>
      <c r="AD87" s="194" t="s">
        <v>70</v>
      </c>
      <c r="AE87" s="194"/>
      <c r="AF87" s="194"/>
    </row>
    <row r="88" spans="20:32" ht="15.75" thickBot="1" x14ac:dyDescent="0.3">
      <c r="T88" s="105"/>
      <c r="U88" s="105"/>
    </row>
    <row r="89" spans="20:32" x14ac:dyDescent="0.25">
      <c r="T89" s="105"/>
      <c r="U89" s="105"/>
      <c r="V89" s="17"/>
      <c r="W89" s="17" t="s">
        <v>19</v>
      </c>
      <c r="X89" s="17" t="s">
        <v>71</v>
      </c>
      <c r="Z89" s="17"/>
      <c r="AA89" s="17" t="s">
        <v>19</v>
      </c>
      <c r="AB89" s="17" t="s">
        <v>71</v>
      </c>
      <c r="AD89" s="17"/>
      <c r="AE89" s="17" t="s">
        <v>19</v>
      </c>
      <c r="AF89" s="17" t="s">
        <v>71</v>
      </c>
    </row>
    <row r="90" spans="20:32" x14ac:dyDescent="0.25">
      <c r="T90" s="105"/>
      <c r="U90" s="105"/>
      <c r="V90" t="s">
        <v>75</v>
      </c>
      <c r="W90">
        <v>0.26127316802740047</v>
      </c>
      <c r="X90">
        <v>0.44309537112712805</v>
      </c>
      <c r="Z90" t="s">
        <v>75</v>
      </c>
      <c r="AA90">
        <v>0.82838453352451269</v>
      </c>
      <c r="AB90">
        <v>0.86325123906135504</v>
      </c>
      <c r="AD90" t="s">
        <v>75</v>
      </c>
      <c r="AE90">
        <v>0.32375681400299028</v>
      </c>
      <c r="AF90">
        <v>0.43440435826778373</v>
      </c>
    </row>
    <row r="91" spans="20:32" x14ac:dyDescent="0.25">
      <c r="T91" s="105"/>
      <c r="U91" s="105"/>
      <c r="V91" t="s">
        <v>76</v>
      </c>
      <c r="W91">
        <v>7.2130845503151257E-3</v>
      </c>
      <c r="X91">
        <v>6.4710287290174653E-4</v>
      </c>
      <c r="Z91" t="s">
        <v>76</v>
      </c>
      <c r="AA91">
        <v>4.3172655596723894E-4</v>
      </c>
      <c r="AB91">
        <v>9.9916091889672531E-5</v>
      </c>
      <c r="AD91" t="s">
        <v>76</v>
      </c>
      <c r="AE91">
        <v>5.6978671732820267E-4</v>
      </c>
      <c r="AF91">
        <v>3.3497088794082566E-3</v>
      </c>
    </row>
    <row r="92" spans="20:32" x14ac:dyDescent="0.25">
      <c r="T92" s="105"/>
      <c r="U92" s="105"/>
      <c r="V92" t="s">
        <v>77</v>
      </c>
      <c r="W92">
        <v>4</v>
      </c>
      <c r="X92">
        <v>4</v>
      </c>
      <c r="Z92" t="s">
        <v>77</v>
      </c>
      <c r="AA92">
        <v>4</v>
      </c>
      <c r="AB92">
        <v>4</v>
      </c>
      <c r="AD92" t="s">
        <v>77</v>
      </c>
      <c r="AE92">
        <v>4</v>
      </c>
      <c r="AF92">
        <v>4</v>
      </c>
    </row>
    <row r="93" spans="20:32" x14ac:dyDescent="0.25">
      <c r="T93" s="105"/>
      <c r="U93" s="105"/>
      <c r="V93" t="s">
        <v>78</v>
      </c>
      <c r="W93">
        <v>-0.37843897547506983</v>
      </c>
      <c r="Z93" t="s">
        <v>78</v>
      </c>
      <c r="AA93">
        <v>0.68599218358898972</v>
      </c>
      <c r="AD93" t="s">
        <v>78</v>
      </c>
      <c r="AE93">
        <v>0.42166152701629811</v>
      </c>
    </row>
    <row r="94" spans="20:32" x14ac:dyDescent="0.25">
      <c r="T94" s="105"/>
      <c r="U94" s="105"/>
      <c r="V94" t="s">
        <v>79</v>
      </c>
      <c r="W94">
        <v>0</v>
      </c>
      <c r="Z94" t="s">
        <v>79</v>
      </c>
      <c r="AA94">
        <v>0</v>
      </c>
      <c r="AD94" t="s">
        <v>79</v>
      </c>
      <c r="AE94">
        <v>0</v>
      </c>
    </row>
    <row r="95" spans="20:32" x14ac:dyDescent="0.25">
      <c r="T95" s="105"/>
      <c r="U95" s="105"/>
      <c r="V95" t="s">
        <v>80</v>
      </c>
      <c r="W95">
        <v>3</v>
      </c>
      <c r="Z95" t="s">
        <v>80</v>
      </c>
      <c r="AA95">
        <v>3</v>
      </c>
      <c r="AD95" t="s">
        <v>80</v>
      </c>
      <c r="AE95">
        <v>3</v>
      </c>
    </row>
    <row r="96" spans="20:32" x14ac:dyDescent="0.25">
      <c r="T96" s="105"/>
      <c r="U96" s="105"/>
      <c r="V96" t="s">
        <v>81</v>
      </c>
      <c r="W96">
        <v>-3.7318173681202476</v>
      </c>
      <c r="Z96" t="s">
        <v>81</v>
      </c>
      <c r="AA96">
        <v>-4.4398092283190227</v>
      </c>
      <c r="AD96" t="s">
        <v>81</v>
      </c>
      <c r="AE96">
        <v>-4.216543649945133</v>
      </c>
    </row>
    <row r="97" spans="20:32" x14ac:dyDescent="0.25">
      <c r="T97" s="105"/>
      <c r="U97" s="105"/>
      <c r="V97" t="s">
        <v>82</v>
      </c>
      <c r="W97">
        <v>1.6766415808535575E-2</v>
      </c>
      <c r="Z97" t="s">
        <v>82</v>
      </c>
      <c r="AA97">
        <v>1.0622290254883326E-2</v>
      </c>
      <c r="AD97" t="s">
        <v>82</v>
      </c>
      <c r="AE97">
        <v>1.2188437555831733E-2</v>
      </c>
    </row>
    <row r="98" spans="20:32" x14ac:dyDescent="0.25">
      <c r="T98" s="105"/>
      <c r="U98" s="105"/>
      <c r="V98" t="s">
        <v>83</v>
      </c>
      <c r="W98">
        <v>2.3533634348018233</v>
      </c>
      <c r="Z98" t="s">
        <v>83</v>
      </c>
      <c r="AA98">
        <v>2.3533634348018233</v>
      </c>
      <c r="AD98" t="s">
        <v>83</v>
      </c>
      <c r="AE98">
        <v>2.3533634348018233</v>
      </c>
    </row>
    <row r="99" spans="20:32" x14ac:dyDescent="0.25">
      <c r="T99" s="105"/>
      <c r="U99" s="105"/>
      <c r="V99" t="s">
        <v>84</v>
      </c>
      <c r="W99">
        <v>3.353283161707115E-2</v>
      </c>
      <c r="Z99" t="s">
        <v>84</v>
      </c>
      <c r="AA99">
        <v>2.1244580509766652E-2</v>
      </c>
      <c r="AD99" t="s">
        <v>84</v>
      </c>
      <c r="AE99">
        <v>2.4376875111663466E-2</v>
      </c>
    </row>
    <row r="100" spans="20:32" ht="15.75" thickBot="1" x14ac:dyDescent="0.3">
      <c r="T100" s="105"/>
      <c r="U100" s="105"/>
      <c r="V100" s="16" t="s">
        <v>85</v>
      </c>
      <c r="W100" s="16">
        <v>3.1824463052837091</v>
      </c>
      <c r="X100" s="16"/>
      <c r="Z100" s="16" t="s">
        <v>85</v>
      </c>
      <c r="AA100" s="16">
        <v>3.1824463052837091</v>
      </c>
      <c r="AB100" s="16"/>
      <c r="AD100" s="16" t="s">
        <v>85</v>
      </c>
      <c r="AE100" s="16">
        <v>3.1824463052837091</v>
      </c>
      <c r="AF100" s="16"/>
    </row>
    <row r="101" spans="20:32" x14ac:dyDescent="0.25">
      <c r="T101" s="105"/>
      <c r="U101" s="105"/>
      <c r="V101" t="str">
        <f>IF(X90 &gt; W90, "Pretrained &gt; Fresh", "Pretrained &lt; Fresh")</f>
        <v>Pretrained &gt; Fresh</v>
      </c>
      <c r="W101" s="171" t="str">
        <f>IF(W97 &lt; 0.05, "Significant", "Not Significant")</f>
        <v>Significant</v>
      </c>
      <c r="X101" s="171"/>
      <c r="Z101" t="str">
        <f>IF(AB90 &gt; AA90, "Pretrained &gt; Fresh", "Pretrained &lt; Fresh")</f>
        <v>Pretrained &gt; Fresh</v>
      </c>
      <c r="AA101" s="171" t="str">
        <f>IF(AA97 &lt; 0.05, "Significant", "Not Significant")</f>
        <v>Significant</v>
      </c>
      <c r="AB101" s="171"/>
      <c r="AD101" t="str">
        <f>IF(AF90 &gt; AE90, "Pretrained &gt; Fresh", "Pretrained &lt; Fresh")</f>
        <v>Pretrained &gt; Fresh</v>
      </c>
      <c r="AE101" s="171" t="str">
        <f>IF(AE97 &lt; 0.05, "Significant", "Not Significant")</f>
        <v>Significant</v>
      </c>
      <c r="AF101" s="171"/>
    </row>
    <row r="102" spans="20:32" x14ac:dyDescent="0.25">
      <c r="T102" s="105"/>
      <c r="U102" s="105"/>
      <c r="V102">
        <f>W97</f>
        <v>1.6766415808535575E-2</v>
      </c>
      <c r="W102" s="194"/>
      <c r="X102" s="194"/>
      <c r="Z102">
        <f>AA97</f>
        <v>1.0622290254883326E-2</v>
      </c>
      <c r="AD102">
        <f>AE97</f>
        <v>1.2188437555831733E-2</v>
      </c>
    </row>
    <row r="103" spans="20:32" x14ac:dyDescent="0.25">
      <c r="V103" s="193" t="s">
        <v>72</v>
      </c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</row>
    <row r="104" spans="20:32" x14ac:dyDescent="0.25">
      <c r="V104" s="194" t="s">
        <v>90</v>
      </c>
      <c r="W104" s="194"/>
      <c r="X104" s="194"/>
      <c r="Z104" s="194" t="s">
        <v>91</v>
      </c>
      <c r="AA104" s="194"/>
      <c r="AB104" s="194"/>
      <c r="AD104" s="194" t="s">
        <v>92</v>
      </c>
      <c r="AE104" s="194"/>
      <c r="AF104" s="194"/>
    </row>
    <row r="105" spans="20:32" ht="15.75" thickBot="1" x14ac:dyDescent="0.3"/>
    <row r="106" spans="20:32" x14ac:dyDescent="0.25">
      <c r="V106" s="17"/>
      <c r="W106" s="17" t="s">
        <v>19</v>
      </c>
      <c r="X106" s="17" t="s">
        <v>71</v>
      </c>
      <c r="Z106" s="17"/>
      <c r="AA106" s="17" t="s">
        <v>19</v>
      </c>
      <c r="AB106" s="17" t="s">
        <v>71</v>
      </c>
      <c r="AD106" s="17"/>
      <c r="AE106" s="17" t="s">
        <v>19</v>
      </c>
      <c r="AF106" s="17" t="s">
        <v>71</v>
      </c>
    </row>
    <row r="107" spans="20:32" x14ac:dyDescent="0.25">
      <c r="V107" t="s">
        <v>75</v>
      </c>
      <c r="W107">
        <v>15.5</v>
      </c>
      <c r="X107">
        <v>7</v>
      </c>
      <c r="Z107" t="s">
        <v>75</v>
      </c>
      <c r="AA107">
        <v>31.5</v>
      </c>
      <c r="AB107">
        <v>16</v>
      </c>
      <c r="AD107" t="s">
        <v>75</v>
      </c>
      <c r="AE107">
        <v>13.5</v>
      </c>
      <c r="AF107">
        <v>10.25</v>
      </c>
    </row>
    <row r="108" spans="20:32" x14ac:dyDescent="0.25">
      <c r="V108" t="s">
        <v>76</v>
      </c>
      <c r="W108">
        <v>65</v>
      </c>
      <c r="X108">
        <v>1.3333333333333333</v>
      </c>
      <c r="Z108" t="s">
        <v>76</v>
      </c>
      <c r="AA108">
        <v>147</v>
      </c>
      <c r="AB108">
        <v>148.66666666666666</v>
      </c>
      <c r="AD108" t="s">
        <v>76</v>
      </c>
      <c r="AE108">
        <v>15</v>
      </c>
      <c r="AF108">
        <v>46.916666666666664</v>
      </c>
    </row>
    <row r="109" spans="20:32" x14ac:dyDescent="0.25">
      <c r="V109" t="s">
        <v>77</v>
      </c>
      <c r="W109">
        <v>4</v>
      </c>
      <c r="X109">
        <v>4</v>
      </c>
      <c r="Z109" t="s">
        <v>77</v>
      </c>
      <c r="AA109">
        <v>4</v>
      </c>
      <c r="AB109">
        <v>4</v>
      </c>
      <c r="AD109" t="s">
        <v>77</v>
      </c>
      <c r="AE109">
        <v>4</v>
      </c>
      <c r="AF109">
        <v>4</v>
      </c>
    </row>
    <row r="110" spans="20:32" x14ac:dyDescent="0.25">
      <c r="V110" t="s">
        <v>78</v>
      </c>
      <c r="W110">
        <v>-0.35805743701971643</v>
      </c>
      <c r="Z110" t="s">
        <v>78</v>
      </c>
      <c r="AA110">
        <v>-4.7351372381037843E-2</v>
      </c>
      <c r="AD110" t="s">
        <v>78</v>
      </c>
      <c r="AE110">
        <v>-0.89841208074276857</v>
      </c>
    </row>
    <row r="111" spans="20:32" x14ac:dyDescent="0.25">
      <c r="V111" t="s">
        <v>79</v>
      </c>
      <c r="W111">
        <v>0</v>
      </c>
      <c r="Z111" t="s">
        <v>79</v>
      </c>
      <c r="AA111">
        <v>0</v>
      </c>
      <c r="AD111" t="s">
        <v>79</v>
      </c>
      <c r="AE111">
        <v>0</v>
      </c>
    </row>
    <row r="112" spans="20:32" x14ac:dyDescent="0.25">
      <c r="V112" t="s">
        <v>80</v>
      </c>
      <c r="W112">
        <v>3</v>
      </c>
      <c r="Z112" t="s">
        <v>80</v>
      </c>
      <c r="AA112">
        <v>3</v>
      </c>
      <c r="AD112" t="s">
        <v>80</v>
      </c>
      <c r="AE112">
        <v>3</v>
      </c>
    </row>
    <row r="113" spans="22:32" x14ac:dyDescent="0.25">
      <c r="V113" t="s">
        <v>81</v>
      </c>
      <c r="W113">
        <v>1.9896995023342199</v>
      </c>
      <c r="Z113" t="s">
        <v>81</v>
      </c>
      <c r="AA113">
        <v>1.7616290532972265</v>
      </c>
      <c r="AD113" t="s">
        <v>81</v>
      </c>
      <c r="AE113">
        <v>0.62092779837794276</v>
      </c>
    </row>
    <row r="114" spans="22:32" x14ac:dyDescent="0.25">
      <c r="V114" t="s">
        <v>82</v>
      </c>
      <c r="W114">
        <v>7.0362477519153865E-2</v>
      </c>
      <c r="Z114" t="s">
        <v>82</v>
      </c>
      <c r="AA114">
        <v>8.8173055077488183E-2</v>
      </c>
      <c r="AD114" t="s">
        <v>82</v>
      </c>
      <c r="AE114">
        <v>0.28931455192090566</v>
      </c>
    </row>
    <row r="115" spans="22:32" x14ac:dyDescent="0.25">
      <c r="V115" t="s">
        <v>83</v>
      </c>
      <c r="W115">
        <v>2.3533634348018233</v>
      </c>
      <c r="Z115" t="s">
        <v>83</v>
      </c>
      <c r="AA115">
        <v>2.3533634348018233</v>
      </c>
      <c r="AD115" t="s">
        <v>83</v>
      </c>
      <c r="AE115">
        <v>2.3533634348018233</v>
      </c>
    </row>
    <row r="116" spans="22:32" x14ac:dyDescent="0.25">
      <c r="V116" t="s">
        <v>84</v>
      </c>
      <c r="W116">
        <v>0.14072495503830773</v>
      </c>
      <c r="Z116" t="s">
        <v>84</v>
      </c>
      <c r="AA116">
        <v>0.17634611015497637</v>
      </c>
      <c r="AD116" t="s">
        <v>84</v>
      </c>
      <c r="AE116">
        <v>0.57862910384181132</v>
      </c>
    </row>
    <row r="117" spans="22:32" ht="15.75" thickBot="1" x14ac:dyDescent="0.3">
      <c r="V117" s="16" t="s">
        <v>85</v>
      </c>
      <c r="W117" s="16">
        <v>3.1824463052837091</v>
      </c>
      <c r="X117" s="16"/>
      <c r="Z117" s="16" t="s">
        <v>85</v>
      </c>
      <c r="AA117" s="16">
        <v>3.1824463052837091</v>
      </c>
      <c r="AB117" s="16"/>
      <c r="AD117" s="16" t="s">
        <v>85</v>
      </c>
      <c r="AE117" s="16">
        <v>3.1824463052837091</v>
      </c>
      <c r="AF117" s="16"/>
    </row>
    <row r="118" spans="22:32" x14ac:dyDescent="0.25">
      <c r="V118" t="str">
        <f>IF(X107 &gt; W107, "Pretrained &gt; Fresh", "Pretrained &lt; Fresh")</f>
        <v>Pretrained &lt; Fresh</v>
      </c>
      <c r="W118" s="171" t="str">
        <f>IF(W114 &lt; 0.05, "Significant", "Not Significant")</f>
        <v>Not Significant</v>
      </c>
      <c r="X118" s="171"/>
      <c r="Z118" t="str">
        <f>IF(AB107 &gt; AA107, "Pretrained &gt; Fresh", "Pretrained &lt; Fresh")</f>
        <v>Pretrained &lt; Fresh</v>
      </c>
      <c r="AA118" s="171" t="str">
        <f>IF(AA114 &lt; 0.05, "Significant", "Not Significant")</f>
        <v>Not Significant</v>
      </c>
      <c r="AB118" s="171"/>
      <c r="AD118" t="str">
        <f>IF(AF107 &gt; AE107, "Pretrained &gt; Fresh", "Pretrained &lt; Fresh")</f>
        <v>Pretrained &lt; Fresh</v>
      </c>
      <c r="AE118" s="171" t="str">
        <f>IF(AE114 &lt; 0.05, "Significant", "Not Significant")</f>
        <v>Not Significant</v>
      </c>
      <c r="AF118" s="171"/>
    </row>
    <row r="119" spans="22:32" x14ac:dyDescent="0.25">
      <c r="V119">
        <f>W114</f>
        <v>7.0362477519153865E-2</v>
      </c>
      <c r="Z119">
        <f>AA114</f>
        <v>8.8173055077488183E-2</v>
      </c>
      <c r="AD119">
        <f>AE114</f>
        <v>0.28931455192090566</v>
      </c>
    </row>
  </sheetData>
  <mergeCells count="76">
    <mergeCell ref="A1:B1"/>
    <mergeCell ref="C1:C3"/>
    <mergeCell ref="D1:E1"/>
    <mergeCell ref="F1:K1"/>
    <mergeCell ref="L1:Q1"/>
    <mergeCell ref="A2:A3"/>
    <mergeCell ref="B2:B3"/>
    <mergeCell ref="D2:D3"/>
    <mergeCell ref="E2:E3"/>
    <mergeCell ref="F2:H2"/>
    <mergeCell ref="I2:K2"/>
    <mergeCell ref="L2:N2"/>
    <mergeCell ref="O2:Q2"/>
    <mergeCell ref="A4:A15"/>
    <mergeCell ref="B4:B7"/>
    <mergeCell ref="B8:B11"/>
    <mergeCell ref="B12:B15"/>
    <mergeCell ref="W33:X33"/>
    <mergeCell ref="T1:T102"/>
    <mergeCell ref="U1:U34"/>
    <mergeCell ref="U35:U68"/>
    <mergeCell ref="U69:U102"/>
    <mergeCell ref="V1:AF1"/>
    <mergeCell ref="V2:X2"/>
    <mergeCell ref="Z2:AB2"/>
    <mergeCell ref="AD2:AF2"/>
    <mergeCell ref="V18:AF18"/>
    <mergeCell ref="W16:X16"/>
    <mergeCell ref="AA16:AB16"/>
    <mergeCell ref="AE16:AF16"/>
    <mergeCell ref="V19:X19"/>
    <mergeCell ref="Z19:AB19"/>
    <mergeCell ref="AD19:AF19"/>
    <mergeCell ref="V35:AF35"/>
    <mergeCell ref="V36:X36"/>
    <mergeCell ref="Z36:AB36"/>
    <mergeCell ref="AD36:AF36"/>
    <mergeCell ref="AA33:AB33"/>
    <mergeCell ref="AE33:AF33"/>
    <mergeCell ref="W50:X50"/>
    <mergeCell ref="AA50:AB50"/>
    <mergeCell ref="AE50:AF50"/>
    <mergeCell ref="V86:AF86"/>
    <mergeCell ref="V69:AF69"/>
    <mergeCell ref="V52:AF52"/>
    <mergeCell ref="V53:X53"/>
    <mergeCell ref="Z53:AB53"/>
    <mergeCell ref="AD53:AF53"/>
    <mergeCell ref="W67:X67"/>
    <mergeCell ref="AA67:AB67"/>
    <mergeCell ref="AE67:AF67"/>
    <mergeCell ref="W84:X84"/>
    <mergeCell ref="AA84:AB84"/>
    <mergeCell ref="AE84:AF84"/>
    <mergeCell ref="V70:X70"/>
    <mergeCell ref="Z70:AB70"/>
    <mergeCell ref="AD70:AF70"/>
    <mergeCell ref="V87:X87"/>
    <mergeCell ref="Z87:AB87"/>
    <mergeCell ref="AD87:AF87"/>
    <mergeCell ref="W118:X118"/>
    <mergeCell ref="AA118:AB118"/>
    <mergeCell ref="AE118:AF118"/>
    <mergeCell ref="W17:X17"/>
    <mergeCell ref="W34:X34"/>
    <mergeCell ref="W51:X51"/>
    <mergeCell ref="W68:X68"/>
    <mergeCell ref="W85:X85"/>
    <mergeCell ref="W102:X102"/>
    <mergeCell ref="W101:X101"/>
    <mergeCell ref="AA101:AB101"/>
    <mergeCell ref="AE101:AF101"/>
    <mergeCell ref="V103:AF103"/>
    <mergeCell ref="V104:X104"/>
    <mergeCell ref="Z104:AB104"/>
    <mergeCell ref="AD104:AF104"/>
  </mergeCells>
  <conditionalFormatting sqref="V16">
    <cfRule type="containsText" dxfId="531" priority="81" operator="containsText" text="&lt;">
      <formula>NOT(ISERROR(SEARCH("&lt;",V16)))</formula>
    </cfRule>
    <cfRule type="containsText" dxfId="530" priority="82" operator="containsText" text="&gt;">
      <formula>NOT(ISERROR(SEARCH("&gt;",V16)))</formula>
    </cfRule>
  </conditionalFormatting>
  <conditionalFormatting sqref="V33">
    <cfRule type="containsText" dxfId="529" priority="69" operator="containsText" text="&lt;">
      <formula>NOT(ISERROR(SEARCH("&lt;",V33)))</formula>
    </cfRule>
    <cfRule type="containsText" dxfId="528" priority="70" operator="containsText" text="&gt;">
      <formula>NOT(ISERROR(SEARCH("&gt;",V33)))</formula>
    </cfRule>
  </conditionalFormatting>
  <conditionalFormatting sqref="V50">
    <cfRule type="containsText" dxfId="527" priority="57" operator="containsText" text="&lt;">
      <formula>NOT(ISERROR(SEARCH("&lt;",V50)))</formula>
    </cfRule>
    <cfRule type="containsText" dxfId="526" priority="58" operator="containsText" text="&gt;">
      <formula>NOT(ISERROR(SEARCH("&gt;",V50)))</formula>
    </cfRule>
  </conditionalFormatting>
  <conditionalFormatting sqref="V67">
    <cfRule type="containsText" dxfId="525" priority="45" operator="containsText" text="&lt;">
      <formula>NOT(ISERROR(SEARCH("&lt;",V67)))</formula>
    </cfRule>
    <cfRule type="containsText" dxfId="524" priority="46" operator="containsText" text="&gt;">
      <formula>NOT(ISERROR(SEARCH("&gt;",V67)))</formula>
    </cfRule>
  </conditionalFormatting>
  <conditionalFormatting sqref="V84">
    <cfRule type="containsText" dxfId="523" priority="33" operator="containsText" text="&lt;">
      <formula>NOT(ISERROR(SEARCH("&lt;",V84)))</formula>
    </cfRule>
    <cfRule type="containsText" dxfId="522" priority="34" operator="containsText" text="&gt;">
      <formula>NOT(ISERROR(SEARCH("&gt;",V84)))</formula>
    </cfRule>
  </conditionalFormatting>
  <conditionalFormatting sqref="V101">
    <cfRule type="containsText" dxfId="521" priority="21" operator="containsText" text="&lt;">
      <formula>NOT(ISERROR(SEARCH("&lt;",V101)))</formula>
    </cfRule>
    <cfRule type="containsText" dxfId="520" priority="22" operator="containsText" text="&gt;">
      <formula>NOT(ISERROR(SEARCH("&gt;",V101)))</formula>
    </cfRule>
  </conditionalFormatting>
  <conditionalFormatting sqref="V118">
    <cfRule type="containsText" dxfId="519" priority="9" operator="containsText" text="&gt;">
      <formula>NOT(ISERROR(SEARCH("&gt;",V118)))</formula>
    </cfRule>
    <cfRule type="containsText" dxfId="518" priority="10" operator="containsText" text="&lt;">
      <formula>NOT(ISERROR(SEARCH("&lt;",V118)))</formula>
    </cfRule>
  </conditionalFormatting>
  <conditionalFormatting sqref="W16:X16">
    <cfRule type="cellIs" dxfId="517" priority="83" operator="equal">
      <formula>"Significant"</formula>
    </cfRule>
    <cfRule type="containsText" dxfId="516" priority="84" operator="containsText" text="Not">
      <formula>NOT(ISERROR(SEARCH("Not",W16)))</formula>
    </cfRule>
  </conditionalFormatting>
  <conditionalFormatting sqref="W33:X33">
    <cfRule type="cellIs" dxfId="515" priority="71" operator="equal">
      <formula>"Significant"</formula>
    </cfRule>
    <cfRule type="containsText" dxfId="514" priority="72" operator="containsText" text="Not">
      <formula>NOT(ISERROR(SEARCH("Not",W33)))</formula>
    </cfRule>
  </conditionalFormatting>
  <conditionalFormatting sqref="W50:X50">
    <cfRule type="cellIs" dxfId="513" priority="59" operator="equal">
      <formula>"Significant"</formula>
    </cfRule>
    <cfRule type="containsText" dxfId="512" priority="60" operator="containsText" text="Not">
      <formula>NOT(ISERROR(SEARCH("Not",W50)))</formula>
    </cfRule>
  </conditionalFormatting>
  <conditionalFormatting sqref="W67:X67">
    <cfRule type="cellIs" dxfId="511" priority="47" operator="equal">
      <formula>"Significant"</formula>
    </cfRule>
    <cfRule type="containsText" dxfId="510" priority="48" operator="containsText" text="Not">
      <formula>NOT(ISERROR(SEARCH("Not",W67)))</formula>
    </cfRule>
  </conditionalFormatting>
  <conditionalFormatting sqref="W84:X84">
    <cfRule type="cellIs" dxfId="509" priority="35" operator="equal">
      <formula>"Significant"</formula>
    </cfRule>
    <cfRule type="containsText" dxfId="508" priority="36" operator="containsText" text="Not">
      <formula>NOT(ISERROR(SEARCH("Not",W84)))</formula>
    </cfRule>
  </conditionalFormatting>
  <conditionalFormatting sqref="W101:X101">
    <cfRule type="cellIs" dxfId="507" priority="23" operator="equal">
      <formula>"Significant"</formula>
    </cfRule>
    <cfRule type="containsText" dxfId="506" priority="24" operator="containsText" text="Not">
      <formula>NOT(ISERROR(SEARCH("Not",W101)))</formula>
    </cfRule>
  </conditionalFormatting>
  <conditionalFormatting sqref="W118:X118">
    <cfRule type="cellIs" dxfId="505" priority="11" operator="equal">
      <formula>"Significant"</formula>
    </cfRule>
    <cfRule type="containsText" dxfId="504" priority="12" operator="containsText" text="Not">
      <formula>NOT(ISERROR(SEARCH("Not",W118)))</formula>
    </cfRule>
  </conditionalFormatting>
  <conditionalFormatting sqref="Z16">
    <cfRule type="containsText" dxfId="503" priority="77" operator="containsText" text="&lt;">
      <formula>NOT(ISERROR(SEARCH("&lt;",Z16)))</formula>
    </cfRule>
    <cfRule type="containsText" dxfId="502" priority="78" operator="containsText" text="&gt;">
      <formula>NOT(ISERROR(SEARCH("&gt;",Z16)))</formula>
    </cfRule>
  </conditionalFormatting>
  <conditionalFormatting sqref="Z33">
    <cfRule type="containsText" dxfId="501" priority="65" operator="containsText" text="&lt;">
      <formula>NOT(ISERROR(SEARCH("&lt;",Z33)))</formula>
    </cfRule>
    <cfRule type="containsText" dxfId="500" priority="66" operator="containsText" text="&gt;">
      <formula>NOT(ISERROR(SEARCH("&gt;",Z33)))</formula>
    </cfRule>
  </conditionalFormatting>
  <conditionalFormatting sqref="Z50">
    <cfRule type="containsText" dxfId="499" priority="53" operator="containsText" text="&lt;">
      <formula>NOT(ISERROR(SEARCH("&lt;",Z50)))</formula>
    </cfRule>
    <cfRule type="containsText" dxfId="498" priority="54" operator="containsText" text="&gt;">
      <formula>NOT(ISERROR(SEARCH("&gt;",Z50)))</formula>
    </cfRule>
  </conditionalFormatting>
  <conditionalFormatting sqref="Z67">
    <cfRule type="containsText" dxfId="497" priority="41" operator="containsText" text="&lt;">
      <formula>NOT(ISERROR(SEARCH("&lt;",Z67)))</formula>
    </cfRule>
    <cfRule type="containsText" dxfId="496" priority="42" operator="containsText" text="&gt;">
      <formula>NOT(ISERROR(SEARCH("&gt;",Z67)))</formula>
    </cfRule>
  </conditionalFormatting>
  <conditionalFormatting sqref="Z84">
    <cfRule type="containsText" dxfId="495" priority="29" operator="containsText" text="&lt;">
      <formula>NOT(ISERROR(SEARCH("&lt;",Z84)))</formula>
    </cfRule>
    <cfRule type="containsText" dxfId="494" priority="30" operator="containsText" text="&gt;">
      <formula>NOT(ISERROR(SEARCH("&gt;",Z84)))</formula>
    </cfRule>
  </conditionalFormatting>
  <conditionalFormatting sqref="Z101">
    <cfRule type="containsText" dxfId="493" priority="17" operator="containsText" text="&lt;">
      <formula>NOT(ISERROR(SEARCH("&lt;",Z101)))</formula>
    </cfRule>
    <cfRule type="containsText" dxfId="492" priority="18" operator="containsText" text="&gt;">
      <formula>NOT(ISERROR(SEARCH("&gt;",Z101)))</formula>
    </cfRule>
  </conditionalFormatting>
  <conditionalFormatting sqref="Z118">
    <cfRule type="containsText" dxfId="491" priority="5" operator="containsText" text="&gt;">
      <formula>NOT(ISERROR(SEARCH("&gt;",Z118)))</formula>
    </cfRule>
    <cfRule type="containsText" dxfId="490" priority="6" operator="containsText" text="&lt;">
      <formula>NOT(ISERROR(SEARCH("&lt;",Z118)))</formula>
    </cfRule>
  </conditionalFormatting>
  <conditionalFormatting sqref="AA16:AB16">
    <cfRule type="cellIs" dxfId="489" priority="79" operator="equal">
      <formula>"Significant"</formula>
    </cfRule>
    <cfRule type="containsText" dxfId="488" priority="80" operator="containsText" text="Not">
      <formula>NOT(ISERROR(SEARCH("Not",AA16)))</formula>
    </cfRule>
  </conditionalFormatting>
  <conditionalFormatting sqref="AA33:AB33">
    <cfRule type="cellIs" dxfId="487" priority="67" operator="equal">
      <formula>"Significant"</formula>
    </cfRule>
    <cfRule type="containsText" dxfId="486" priority="68" operator="containsText" text="Not">
      <formula>NOT(ISERROR(SEARCH("Not",AA33)))</formula>
    </cfRule>
  </conditionalFormatting>
  <conditionalFormatting sqref="AA50:AB50">
    <cfRule type="cellIs" dxfId="485" priority="55" operator="equal">
      <formula>"Significant"</formula>
    </cfRule>
    <cfRule type="containsText" dxfId="484" priority="56" operator="containsText" text="Not">
      <formula>NOT(ISERROR(SEARCH("Not",AA50)))</formula>
    </cfRule>
  </conditionalFormatting>
  <conditionalFormatting sqref="AA67:AB67">
    <cfRule type="cellIs" dxfId="483" priority="43" operator="equal">
      <formula>"Significant"</formula>
    </cfRule>
    <cfRule type="containsText" dxfId="482" priority="44" operator="containsText" text="Not">
      <formula>NOT(ISERROR(SEARCH("Not",AA67)))</formula>
    </cfRule>
  </conditionalFormatting>
  <conditionalFormatting sqref="AA84:AB84">
    <cfRule type="cellIs" dxfId="481" priority="31" operator="equal">
      <formula>"Significant"</formula>
    </cfRule>
    <cfRule type="containsText" dxfId="480" priority="32" operator="containsText" text="Not">
      <formula>NOT(ISERROR(SEARCH("Not",AA84)))</formula>
    </cfRule>
  </conditionalFormatting>
  <conditionalFormatting sqref="AA101:AB101">
    <cfRule type="cellIs" dxfId="479" priority="19" operator="equal">
      <formula>"Significant"</formula>
    </cfRule>
    <cfRule type="containsText" dxfId="478" priority="20" operator="containsText" text="Not">
      <formula>NOT(ISERROR(SEARCH("Not",AA101)))</formula>
    </cfRule>
  </conditionalFormatting>
  <conditionalFormatting sqref="AA118:AB118">
    <cfRule type="cellIs" dxfId="477" priority="7" operator="equal">
      <formula>"Significant"</formula>
    </cfRule>
    <cfRule type="containsText" dxfId="476" priority="8" operator="containsText" text="Not">
      <formula>NOT(ISERROR(SEARCH("Not",AA118)))</formula>
    </cfRule>
  </conditionalFormatting>
  <conditionalFormatting sqref="AD16">
    <cfRule type="containsText" dxfId="475" priority="73" operator="containsText" text="&lt;">
      <formula>NOT(ISERROR(SEARCH("&lt;",AD16)))</formula>
    </cfRule>
    <cfRule type="containsText" dxfId="474" priority="74" operator="containsText" text="&gt;">
      <formula>NOT(ISERROR(SEARCH("&gt;",AD16)))</formula>
    </cfRule>
  </conditionalFormatting>
  <conditionalFormatting sqref="AD33">
    <cfRule type="containsText" dxfId="473" priority="61" operator="containsText" text="&lt;">
      <formula>NOT(ISERROR(SEARCH("&lt;",AD33)))</formula>
    </cfRule>
    <cfRule type="containsText" dxfId="472" priority="62" operator="containsText" text="&gt;">
      <formula>NOT(ISERROR(SEARCH("&gt;",AD33)))</formula>
    </cfRule>
  </conditionalFormatting>
  <conditionalFormatting sqref="AD50">
    <cfRule type="containsText" dxfId="471" priority="49" operator="containsText" text="&lt;">
      <formula>NOT(ISERROR(SEARCH("&lt;",AD50)))</formula>
    </cfRule>
    <cfRule type="containsText" dxfId="470" priority="50" operator="containsText" text="&gt;">
      <formula>NOT(ISERROR(SEARCH("&gt;",AD50)))</formula>
    </cfRule>
  </conditionalFormatting>
  <conditionalFormatting sqref="AD67">
    <cfRule type="containsText" dxfId="469" priority="37" operator="containsText" text="&lt;">
      <formula>NOT(ISERROR(SEARCH("&lt;",AD67)))</formula>
    </cfRule>
    <cfRule type="containsText" dxfId="468" priority="38" operator="containsText" text="&gt;">
      <formula>NOT(ISERROR(SEARCH("&gt;",AD67)))</formula>
    </cfRule>
  </conditionalFormatting>
  <conditionalFormatting sqref="AD84">
    <cfRule type="containsText" dxfId="467" priority="25" operator="containsText" text="&lt;">
      <formula>NOT(ISERROR(SEARCH("&lt;",AD84)))</formula>
    </cfRule>
    <cfRule type="containsText" dxfId="466" priority="26" operator="containsText" text="&gt;">
      <formula>NOT(ISERROR(SEARCH("&gt;",AD84)))</formula>
    </cfRule>
  </conditionalFormatting>
  <conditionalFormatting sqref="AD101">
    <cfRule type="containsText" dxfId="465" priority="13" operator="containsText" text="&lt;">
      <formula>NOT(ISERROR(SEARCH("&lt;",AD101)))</formula>
    </cfRule>
    <cfRule type="containsText" dxfId="464" priority="14" operator="containsText" text="&gt;">
      <formula>NOT(ISERROR(SEARCH("&gt;",AD101)))</formula>
    </cfRule>
  </conditionalFormatting>
  <conditionalFormatting sqref="AD118">
    <cfRule type="containsText" dxfId="463" priority="1" operator="containsText" text="&gt;">
      <formula>NOT(ISERROR(SEARCH("&gt;",AD118)))</formula>
    </cfRule>
    <cfRule type="containsText" dxfId="462" priority="2" operator="containsText" text="&lt;">
      <formula>NOT(ISERROR(SEARCH("&lt;",AD118)))</formula>
    </cfRule>
  </conditionalFormatting>
  <conditionalFormatting sqref="AE16:AF16">
    <cfRule type="cellIs" dxfId="461" priority="75" operator="equal">
      <formula>"Significant"</formula>
    </cfRule>
    <cfRule type="containsText" dxfId="460" priority="76" operator="containsText" text="Not">
      <formula>NOT(ISERROR(SEARCH("Not",AE16)))</formula>
    </cfRule>
  </conditionalFormatting>
  <conditionalFormatting sqref="AE33:AF33">
    <cfRule type="cellIs" dxfId="459" priority="63" operator="equal">
      <formula>"Significant"</formula>
    </cfRule>
    <cfRule type="containsText" dxfId="458" priority="64" operator="containsText" text="Not">
      <formula>NOT(ISERROR(SEARCH("Not",AE33)))</formula>
    </cfRule>
  </conditionalFormatting>
  <conditionalFormatting sqref="AE50:AF50">
    <cfRule type="cellIs" dxfId="457" priority="51" operator="equal">
      <formula>"Significant"</formula>
    </cfRule>
    <cfRule type="containsText" dxfId="456" priority="52" operator="containsText" text="Not">
      <formula>NOT(ISERROR(SEARCH("Not",AE50)))</formula>
    </cfRule>
  </conditionalFormatting>
  <conditionalFormatting sqref="AE67:AF67">
    <cfRule type="cellIs" dxfId="455" priority="39" operator="equal">
      <formula>"Significant"</formula>
    </cfRule>
    <cfRule type="containsText" dxfId="454" priority="40" operator="containsText" text="Not">
      <formula>NOT(ISERROR(SEARCH("Not",AE67)))</formula>
    </cfRule>
  </conditionalFormatting>
  <conditionalFormatting sqref="AE84:AF84">
    <cfRule type="cellIs" dxfId="453" priority="27" operator="equal">
      <formula>"Significant"</formula>
    </cfRule>
    <cfRule type="containsText" dxfId="452" priority="28" operator="containsText" text="Not">
      <formula>NOT(ISERROR(SEARCH("Not",AE84)))</formula>
    </cfRule>
  </conditionalFormatting>
  <conditionalFormatting sqref="AE101:AF101">
    <cfRule type="cellIs" dxfId="451" priority="15" operator="equal">
      <formula>"Significant"</formula>
    </cfRule>
    <cfRule type="containsText" dxfId="450" priority="16" operator="containsText" text="Not">
      <formula>NOT(ISERROR(SEARCH("Not",AE101)))</formula>
    </cfRule>
  </conditionalFormatting>
  <conditionalFormatting sqref="AE118:AF118">
    <cfRule type="cellIs" dxfId="449" priority="3" operator="equal">
      <formula>"Significant"</formula>
    </cfRule>
    <cfRule type="containsText" dxfId="448" priority="4" operator="containsText" text="Not">
      <formula>NOT(ISERROR(SEARCH("Not",AE118)))</formula>
    </cfRule>
  </conditionalFormatting>
  <pageMargins left="1" right="1" top="1" bottom="1" header="0.5" footer="0.5"/>
  <pageSetup paperSize="9" scale="2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C29C-C85F-4D70-8D08-C1A6EFCE5699}">
  <sheetPr>
    <tabColor theme="8" tint="0.39997558519241921"/>
  </sheetPr>
  <dimension ref="A1:AF102"/>
  <sheetViews>
    <sheetView topLeftCell="L35" workbookViewId="0">
      <selection activeCell="R86" sqref="R86"/>
    </sheetView>
  </sheetViews>
  <sheetFormatPr defaultRowHeight="15" x14ac:dyDescent="0.25"/>
  <cols>
    <col min="18" max="18" width="4.5703125" customWidth="1"/>
    <col min="19" max="19" width="4.7109375" customWidth="1"/>
    <col min="20" max="20" width="14.28515625" customWidth="1"/>
    <col min="22" max="22" width="28.140625" customWidth="1"/>
    <col min="25" max="25" width="2.42578125" customWidth="1"/>
    <col min="26" max="26" width="27.7109375" customWidth="1"/>
    <col min="29" max="29" width="2.85546875" customWidth="1"/>
    <col min="30" max="30" width="27.28515625" customWidth="1"/>
  </cols>
  <sheetData>
    <row r="1" spans="1:32" x14ac:dyDescent="0.25">
      <c r="A1" s="126" t="s">
        <v>0</v>
      </c>
      <c r="B1" s="128"/>
      <c r="C1" s="126" t="s">
        <v>12</v>
      </c>
      <c r="D1" s="200" t="s">
        <v>72</v>
      </c>
      <c r="E1" s="167"/>
      <c r="F1" s="148" t="s">
        <v>13</v>
      </c>
      <c r="G1" s="115"/>
      <c r="H1" s="115"/>
      <c r="I1" s="115"/>
      <c r="J1" s="115"/>
      <c r="K1" s="116"/>
      <c r="L1" s="117" t="s">
        <v>14</v>
      </c>
      <c r="M1" s="118"/>
      <c r="N1" s="118"/>
      <c r="O1" s="118"/>
      <c r="P1" s="118"/>
      <c r="Q1" s="118"/>
      <c r="R1" s="15"/>
      <c r="S1" s="15"/>
      <c r="T1" s="105" t="s">
        <v>27</v>
      </c>
      <c r="U1" s="105" t="s">
        <v>88</v>
      </c>
      <c r="V1" s="195" t="s">
        <v>13</v>
      </c>
      <c r="W1" s="195"/>
      <c r="X1" s="195"/>
      <c r="Y1" s="195"/>
      <c r="Z1" s="195"/>
      <c r="AA1" s="195"/>
      <c r="AB1" s="195"/>
      <c r="AC1" s="195"/>
      <c r="AD1" s="195"/>
      <c r="AE1" s="195"/>
      <c r="AF1" s="195"/>
    </row>
    <row r="2" spans="1:32" x14ac:dyDescent="0.25">
      <c r="A2" s="126" t="s">
        <v>16</v>
      </c>
      <c r="B2" s="128" t="s">
        <v>17</v>
      </c>
      <c r="C2" s="126"/>
      <c r="D2" s="201" t="s">
        <v>73</v>
      </c>
      <c r="E2" s="160" t="s">
        <v>74</v>
      </c>
      <c r="F2" s="162" t="s">
        <v>19</v>
      </c>
      <c r="G2" s="162"/>
      <c r="H2" s="162"/>
      <c r="I2" s="163" t="s">
        <v>71</v>
      </c>
      <c r="J2" s="163"/>
      <c r="K2" s="163"/>
      <c r="L2" s="162" t="s">
        <v>19</v>
      </c>
      <c r="M2" s="162"/>
      <c r="N2" s="162"/>
      <c r="O2" s="163" t="s">
        <v>71</v>
      </c>
      <c r="P2" s="163"/>
      <c r="Q2" s="163"/>
      <c r="R2" s="2"/>
      <c r="S2" s="2"/>
      <c r="T2" s="105"/>
      <c r="U2" s="105"/>
      <c r="V2" s="194" t="s">
        <v>4</v>
      </c>
      <c r="W2" s="194"/>
      <c r="X2" s="194"/>
      <c r="Z2" s="194" t="s">
        <v>5</v>
      </c>
      <c r="AA2" s="194"/>
      <c r="AB2" s="194"/>
      <c r="AD2" s="194" t="s">
        <v>70</v>
      </c>
      <c r="AE2" s="194"/>
      <c r="AF2" s="194"/>
    </row>
    <row r="3" spans="1:32" ht="15.75" thickBot="1" x14ac:dyDescent="0.3">
      <c r="A3" s="127"/>
      <c r="B3" s="129"/>
      <c r="C3" s="127"/>
      <c r="D3" s="202"/>
      <c r="E3" s="161"/>
      <c r="F3" s="12" t="s">
        <v>4</v>
      </c>
      <c r="G3" s="12" t="s">
        <v>5</v>
      </c>
      <c r="H3" s="12" t="s">
        <v>70</v>
      </c>
      <c r="I3" s="13" t="s">
        <v>4</v>
      </c>
      <c r="J3" s="12" t="s">
        <v>5</v>
      </c>
      <c r="K3" s="12" t="s">
        <v>70</v>
      </c>
      <c r="L3" s="12" t="s">
        <v>4</v>
      </c>
      <c r="M3" s="12" t="s">
        <v>5</v>
      </c>
      <c r="N3" s="12" t="s">
        <v>70</v>
      </c>
      <c r="O3" s="13" t="s">
        <v>4</v>
      </c>
      <c r="P3" s="12" t="s">
        <v>5</v>
      </c>
      <c r="Q3" s="12" t="s">
        <v>70</v>
      </c>
      <c r="R3" s="2"/>
      <c r="S3" s="2"/>
      <c r="T3" s="105"/>
      <c r="U3" s="105"/>
    </row>
    <row r="4" spans="1:32" x14ac:dyDescent="0.25">
      <c r="A4" s="111" t="s">
        <v>25</v>
      </c>
      <c r="B4" s="111"/>
      <c r="C4" s="11">
        <f>'Table for t-test'!C40</f>
        <v>1</v>
      </c>
      <c r="D4" s="6">
        <f>'Table for t-test'!D40</f>
        <v>38</v>
      </c>
      <c r="E4" s="11">
        <f>'Table for t-test'!E40</f>
        <v>45</v>
      </c>
      <c r="F4" s="6">
        <f>'Table for t-test'!F40</f>
        <v>0</v>
      </c>
      <c r="G4" s="6">
        <f>'Table for t-test'!G40</f>
        <v>0.69873368740081698</v>
      </c>
      <c r="H4" s="6">
        <f>'Table for t-test'!H40</f>
        <v>0.19846300780773099</v>
      </c>
      <c r="I4" s="6">
        <f>'Table for t-test'!I40</f>
        <v>0.318407952785491</v>
      </c>
      <c r="J4" s="6">
        <f>'Table for t-test'!J40</f>
        <v>0.81348526477813698</v>
      </c>
      <c r="K4" s="11">
        <f>'Table for t-test'!K40</f>
        <v>0.33723288774490301</v>
      </c>
      <c r="L4" s="6">
        <f>'Table for t-test'!L40</f>
        <v>0</v>
      </c>
      <c r="M4" s="6">
        <f>'Table for t-test'!M40</f>
        <v>0.68266385793685902</v>
      </c>
      <c r="N4" s="6">
        <f>'Table for t-test'!N40</f>
        <v>0.178153902292251</v>
      </c>
      <c r="O4" s="6">
        <f>'Table for t-test'!O40</f>
        <v>0.39252337813377303</v>
      </c>
      <c r="P4" s="6">
        <f>'Table for t-test'!P40</f>
        <v>0.81936728954315097</v>
      </c>
      <c r="Q4" s="11">
        <f>'Table for t-test'!Q40</f>
        <v>0.32699429988861001</v>
      </c>
      <c r="T4" s="105"/>
      <c r="U4" s="105"/>
      <c r="V4" s="17"/>
      <c r="W4" s="17" t="s">
        <v>19</v>
      </c>
      <c r="X4" s="17" t="s">
        <v>71</v>
      </c>
      <c r="Z4" s="17"/>
      <c r="AA4" s="17" t="s">
        <v>19</v>
      </c>
      <c r="AB4" s="17" t="s">
        <v>71</v>
      </c>
      <c r="AD4" s="17"/>
      <c r="AE4" s="17" t="s">
        <v>19</v>
      </c>
      <c r="AF4" s="17" t="s">
        <v>71</v>
      </c>
    </row>
    <row r="5" spans="1:32" x14ac:dyDescent="0.25">
      <c r="A5" s="105"/>
      <c r="B5" s="105"/>
      <c r="C5" s="3">
        <f>'Table for t-test'!C41</f>
        <v>2</v>
      </c>
      <c r="D5">
        <f>'Table for t-test'!D41</f>
        <v>46</v>
      </c>
      <c r="E5" s="3">
        <f>'Table for t-test'!E41</f>
        <v>4</v>
      </c>
      <c r="F5">
        <f>'Table for t-test'!F41</f>
        <v>0</v>
      </c>
      <c r="G5">
        <f>'Table for t-test'!G41</f>
        <v>0.74301230907440097</v>
      </c>
      <c r="H5">
        <f>'Table for t-test'!H41</f>
        <v>0.22170831263065299</v>
      </c>
      <c r="I5">
        <f>'Table for t-test'!I41</f>
        <v>0.34482759237289401</v>
      </c>
      <c r="J5">
        <f>'Table for t-test'!J41</f>
        <v>0.85689806938171298</v>
      </c>
      <c r="K5" s="3">
        <f>'Table for t-test'!K41</f>
        <v>0.39140477776527399</v>
      </c>
      <c r="L5">
        <f>'Table for t-test'!L41</f>
        <v>0</v>
      </c>
      <c r="M5">
        <f>'Table for t-test'!M41</f>
        <v>0.67980223894119196</v>
      </c>
      <c r="N5">
        <f>'Table for t-test'!N41</f>
        <v>0.13317538797855299</v>
      </c>
      <c r="O5">
        <f>'Table for t-test'!O41</f>
        <v>0.229508191347122</v>
      </c>
      <c r="P5">
        <f>'Table for t-test'!P41</f>
        <v>0.76944279670715299</v>
      </c>
      <c r="Q5" s="3">
        <f>'Table for t-test'!Q41</f>
        <v>0.230017140507698</v>
      </c>
      <c r="T5" s="105"/>
      <c r="U5" s="105"/>
      <c r="V5" t="s">
        <v>75</v>
      </c>
      <c r="W5">
        <v>0</v>
      </c>
      <c r="X5">
        <v>0.36637797206640199</v>
      </c>
      <c r="Z5" t="s">
        <v>75</v>
      </c>
      <c r="AA5">
        <v>0.71446131169795923</v>
      </c>
      <c r="AB5">
        <v>0.83954316377639726</v>
      </c>
      <c r="AD5" t="s">
        <v>75</v>
      </c>
      <c r="AE5">
        <v>0.1958810016512865</v>
      </c>
      <c r="AF5">
        <v>0.36131048947572675</v>
      </c>
    </row>
    <row r="6" spans="1:32" x14ac:dyDescent="0.25">
      <c r="A6" s="105"/>
      <c r="B6" s="105"/>
      <c r="C6" s="3">
        <f>'Table for t-test'!C42</f>
        <v>3</v>
      </c>
      <c r="D6">
        <f>'Table for t-test'!D42</f>
        <v>48</v>
      </c>
      <c r="E6" s="3">
        <f>'Table for t-test'!E42</f>
        <v>6</v>
      </c>
      <c r="F6">
        <f>'Table for t-test'!F42</f>
        <v>0</v>
      </c>
      <c r="G6">
        <f>'Table for t-test'!G42</f>
        <v>0.65843927860259999</v>
      </c>
      <c r="H6">
        <f>'Table for t-test'!H42</f>
        <v>0.13704247772693601</v>
      </c>
      <c r="I6">
        <f>'Table for t-test'!I42</f>
        <v>0.38977634906768799</v>
      </c>
      <c r="J6">
        <f>'Table for t-test'!J42</f>
        <v>0.81745111942291204</v>
      </c>
      <c r="K6" s="3">
        <f>'Table for t-test'!K42</f>
        <v>0.33580386638641302</v>
      </c>
      <c r="L6">
        <f>'Table for t-test'!L42</f>
        <v>0</v>
      </c>
      <c r="M6">
        <f>'Table for t-test'!M42</f>
        <v>0.65945333242416304</v>
      </c>
      <c r="N6">
        <f>'Table for t-test'!N42</f>
        <v>0.12829360365867601</v>
      </c>
      <c r="O6">
        <f>'Table for t-test'!O42</f>
        <v>0.347305387258529</v>
      </c>
      <c r="P6">
        <f>'Table for t-test'!P42</f>
        <v>0.80030208826064997</v>
      </c>
      <c r="Q6" s="3">
        <f>'Table for t-test'!Q42</f>
        <v>0.27865141630172702</v>
      </c>
      <c r="T6" s="105"/>
      <c r="U6" s="105"/>
      <c r="V6" t="s">
        <v>76</v>
      </c>
      <c r="W6">
        <v>0</v>
      </c>
      <c r="X6">
        <v>1.8134221906432879E-3</v>
      </c>
      <c r="Z6" t="s">
        <v>76</v>
      </c>
      <c r="AA6">
        <v>2.0223700121807632E-3</v>
      </c>
      <c r="AB6">
        <v>8.0553320743111513E-4</v>
      </c>
      <c r="AD6" t="s">
        <v>76</v>
      </c>
      <c r="AE6">
        <v>1.687208423864291E-3</v>
      </c>
      <c r="AF6">
        <v>8.3861418004976547E-4</v>
      </c>
    </row>
    <row r="7" spans="1:32" x14ac:dyDescent="0.25">
      <c r="A7" s="107"/>
      <c r="B7" s="107"/>
      <c r="C7" s="8">
        <f>'Table for t-test'!C43</f>
        <v>4</v>
      </c>
      <c r="D7" s="7">
        <f>'Table for t-test'!D43</f>
        <v>50</v>
      </c>
      <c r="E7" s="8">
        <f>'Table for t-test'!E43</f>
        <v>17</v>
      </c>
      <c r="F7" s="7">
        <f>'Table for t-test'!F43</f>
        <v>0</v>
      </c>
      <c r="G7" s="7">
        <f>'Table for t-test'!G43</f>
        <v>0.757659971714019</v>
      </c>
      <c r="H7" s="7">
        <f>'Table for t-test'!H43</f>
        <v>0.22631020843982599</v>
      </c>
      <c r="I7" s="7">
        <f>'Table for t-test'!I43</f>
        <v>0.41249999403953502</v>
      </c>
      <c r="J7" s="7">
        <f>'Table for t-test'!J43</f>
        <v>0.87033820152282704</v>
      </c>
      <c r="K7" s="8">
        <f>'Table for t-test'!K43</f>
        <v>0.38080042600631703</v>
      </c>
      <c r="L7" s="7">
        <f>'Table for t-test'!L43</f>
        <v>0</v>
      </c>
      <c r="M7" s="7">
        <f>'Table for t-test'!M43</f>
        <v>0.71057081222534102</v>
      </c>
      <c r="N7" s="7">
        <f>'Table for t-test'!N43</f>
        <v>0.17822530865669201</v>
      </c>
      <c r="O7" s="7">
        <f>'Table for t-test'!O43</f>
        <v>0.38461539149284302</v>
      </c>
      <c r="P7" s="7">
        <f>'Table for t-test'!P43</f>
        <v>0.84190577268600397</v>
      </c>
      <c r="Q7" s="8">
        <f>'Table for t-test'!Q43</f>
        <v>0.31651219725608798</v>
      </c>
      <c r="T7" s="105"/>
      <c r="U7" s="105"/>
      <c r="V7" t="s">
        <v>77</v>
      </c>
      <c r="W7">
        <v>4</v>
      </c>
      <c r="X7">
        <v>4</v>
      </c>
      <c r="Z7" t="s">
        <v>77</v>
      </c>
      <c r="AA7">
        <v>4</v>
      </c>
      <c r="AB7">
        <v>4</v>
      </c>
      <c r="AD7" t="s">
        <v>77</v>
      </c>
      <c r="AE7">
        <v>4</v>
      </c>
      <c r="AF7">
        <v>4</v>
      </c>
    </row>
    <row r="8" spans="1:32" x14ac:dyDescent="0.25">
      <c r="A8" s="103" t="s">
        <v>26</v>
      </c>
      <c r="B8" s="103"/>
      <c r="C8" s="10">
        <f>'Table for t-test'!C44</f>
        <v>1</v>
      </c>
      <c r="D8" s="9">
        <f>'Table for t-test'!D44</f>
        <v>16</v>
      </c>
      <c r="E8" s="10">
        <f>'Table for t-test'!E44</f>
        <v>45</v>
      </c>
      <c r="F8" s="9">
        <f>'Table for t-test'!F44</f>
        <v>0</v>
      </c>
      <c r="G8" s="9">
        <f>'Table for t-test'!G44</f>
        <v>0.70262742042541504</v>
      </c>
      <c r="H8" s="9">
        <f>'Table for t-test'!H44</f>
        <v>0.183729007840156</v>
      </c>
      <c r="I8" s="9">
        <f>'Table for t-test'!I44</f>
        <v>0.318407952785491</v>
      </c>
      <c r="J8" s="9">
        <f>'Table for t-test'!J44</f>
        <v>0.81348526477813698</v>
      </c>
      <c r="K8" s="10">
        <f>'Table for t-test'!K44</f>
        <v>0.33723288774490301</v>
      </c>
      <c r="L8" s="9">
        <f>'Table for t-test'!L44</f>
        <v>0</v>
      </c>
      <c r="M8" s="9">
        <f>'Table for t-test'!M44</f>
        <v>0.67237246036529497</v>
      </c>
      <c r="N8" s="9">
        <f>'Table for t-test'!N44</f>
        <v>0.140773341059684</v>
      </c>
      <c r="O8" s="9">
        <f>'Table for t-test'!O44</f>
        <v>0.39252337813377303</v>
      </c>
      <c r="P8" s="9">
        <f>'Table for t-test'!P44</f>
        <v>0.81936728954315097</v>
      </c>
      <c r="Q8" s="10">
        <f>'Table for t-test'!Q44</f>
        <v>0.32699429988861001</v>
      </c>
      <c r="T8" s="105"/>
      <c r="U8" s="105"/>
      <c r="V8" t="s">
        <v>78</v>
      </c>
      <c r="W8" t="e">
        <v>#DIV/0!</v>
      </c>
      <c r="Z8" t="s">
        <v>78</v>
      </c>
      <c r="AA8">
        <v>0.90708043014623774</v>
      </c>
      <c r="AD8" t="s">
        <v>78</v>
      </c>
      <c r="AE8">
        <v>0.78714159410397155</v>
      </c>
    </row>
    <row r="9" spans="1:32" x14ac:dyDescent="0.25">
      <c r="A9" s="105"/>
      <c r="B9" s="105"/>
      <c r="C9" s="3">
        <f>'Table for t-test'!C45</f>
        <v>2</v>
      </c>
      <c r="D9">
        <f>'Table for t-test'!D45</f>
        <v>34</v>
      </c>
      <c r="E9" s="3">
        <f>'Table for t-test'!E45</f>
        <v>4</v>
      </c>
      <c r="F9">
        <f>'Table for t-test'!F45</f>
        <v>0</v>
      </c>
      <c r="G9">
        <f>'Table for t-test'!G45</f>
        <v>0.73716443777084295</v>
      </c>
      <c r="H9">
        <f>'Table for t-test'!H45</f>
        <v>0.22935152053832999</v>
      </c>
      <c r="I9">
        <f>'Table for t-test'!I45</f>
        <v>0.34482759237289401</v>
      </c>
      <c r="J9">
        <f>'Table for t-test'!J45</f>
        <v>0.85689806938171298</v>
      </c>
      <c r="K9" s="3">
        <f>'Table for t-test'!K45</f>
        <v>0.39140477776527399</v>
      </c>
      <c r="L9">
        <f>'Table for t-test'!L45</f>
        <v>0</v>
      </c>
      <c r="M9">
        <f>'Table for t-test'!M45</f>
        <v>0.682497799396514</v>
      </c>
      <c r="N9">
        <f>'Table for t-test'!N45</f>
        <v>0.139206692576408</v>
      </c>
      <c r="O9">
        <f>'Table for t-test'!O45</f>
        <v>0.229508191347122</v>
      </c>
      <c r="P9">
        <f>'Table for t-test'!P45</f>
        <v>0.76944279670715299</v>
      </c>
      <c r="Q9" s="3">
        <f>'Table for t-test'!Q45</f>
        <v>0.230017140507698</v>
      </c>
      <c r="T9" s="105"/>
      <c r="U9" s="105"/>
      <c r="V9" t="s">
        <v>79</v>
      </c>
      <c r="W9">
        <v>0</v>
      </c>
      <c r="Z9" t="s">
        <v>79</v>
      </c>
      <c r="AA9">
        <v>0</v>
      </c>
      <c r="AD9" t="s">
        <v>79</v>
      </c>
      <c r="AE9">
        <v>0</v>
      </c>
    </row>
    <row r="10" spans="1:32" x14ac:dyDescent="0.25">
      <c r="A10" s="105"/>
      <c r="B10" s="105"/>
      <c r="C10" s="3">
        <f>'Table for t-test'!C46</f>
        <v>3</v>
      </c>
      <c r="D10">
        <f>'Table for t-test'!D46</f>
        <v>31</v>
      </c>
      <c r="E10" s="3">
        <f>'Table for t-test'!E46</f>
        <v>6</v>
      </c>
      <c r="F10">
        <f>'Table for t-test'!F46</f>
        <v>0</v>
      </c>
      <c r="G10">
        <f>'Table for t-test'!G46</f>
        <v>0.67117512226104703</v>
      </c>
      <c r="H10">
        <f>'Table for t-test'!H46</f>
        <v>0.14150363206863401</v>
      </c>
      <c r="I10">
        <f>'Table for t-test'!I46</f>
        <v>0.38977634906768799</v>
      </c>
      <c r="J10">
        <f>'Table for t-test'!J46</f>
        <v>0.81745111942291204</v>
      </c>
      <c r="K10" s="3">
        <f>'Table for t-test'!K46</f>
        <v>0.33580386638641302</v>
      </c>
      <c r="L10">
        <f>'Table for t-test'!L46</f>
        <v>0</v>
      </c>
      <c r="M10">
        <f>'Table for t-test'!M46</f>
        <v>0.63686954975128096</v>
      </c>
      <c r="N10">
        <f>'Table for t-test'!N46</f>
        <v>0.124480061233043</v>
      </c>
      <c r="O10">
        <f>'Table for t-test'!O46</f>
        <v>0.347305387258529</v>
      </c>
      <c r="P10">
        <f>'Table for t-test'!P46</f>
        <v>0.80030208826064997</v>
      </c>
      <c r="Q10" s="3">
        <f>'Table for t-test'!Q46</f>
        <v>0.27865141630172702</v>
      </c>
      <c r="T10" s="105"/>
      <c r="U10" s="105"/>
      <c r="V10" t="s">
        <v>80</v>
      </c>
      <c r="W10">
        <v>3</v>
      </c>
      <c r="Z10" t="s">
        <v>80</v>
      </c>
      <c r="AA10">
        <v>3</v>
      </c>
      <c r="AD10" t="s">
        <v>80</v>
      </c>
      <c r="AE10">
        <v>3</v>
      </c>
    </row>
    <row r="11" spans="1:32" x14ac:dyDescent="0.25">
      <c r="A11" s="107"/>
      <c r="B11" s="107"/>
      <c r="C11" s="8">
        <f>'Table for t-test'!C47</f>
        <v>4</v>
      </c>
      <c r="D11" s="7">
        <f>'Table for t-test'!D47</f>
        <v>45</v>
      </c>
      <c r="E11" s="8">
        <f>'Table for t-test'!E47</f>
        <v>17</v>
      </c>
      <c r="F11" s="7">
        <f>'Table for t-test'!F47</f>
        <v>0</v>
      </c>
      <c r="G11" s="7">
        <f>'Table for t-test'!G47</f>
        <v>0.72410422563552801</v>
      </c>
      <c r="H11" s="7">
        <f>'Table for t-test'!H47</f>
        <v>0.21840052306652</v>
      </c>
      <c r="I11" s="7">
        <f>'Table for t-test'!I47</f>
        <v>0.41249999403953502</v>
      </c>
      <c r="J11" s="7">
        <f>'Table for t-test'!J47</f>
        <v>0.87033820152282704</v>
      </c>
      <c r="K11" s="8">
        <f>'Table for t-test'!K47</f>
        <v>0.38080042600631703</v>
      </c>
      <c r="L11" s="7">
        <f>'Table for t-test'!L47</f>
        <v>0</v>
      </c>
      <c r="M11" s="7">
        <f>'Table for t-test'!M47</f>
        <v>0.68302631378173795</v>
      </c>
      <c r="N11" s="7">
        <f>'Table for t-test'!N47</f>
        <v>0.149020060896873</v>
      </c>
      <c r="O11" s="7">
        <f>'Table for t-test'!O47</f>
        <v>0.38461539149284302</v>
      </c>
      <c r="P11" s="7">
        <f>'Table for t-test'!P47</f>
        <v>0.84190577268600397</v>
      </c>
      <c r="Q11" s="8">
        <f>'Table for t-test'!Q47</f>
        <v>0.31651219725608798</v>
      </c>
      <c r="T11" s="105"/>
      <c r="U11" s="105"/>
      <c r="V11" t="s">
        <v>81</v>
      </c>
      <c r="W11">
        <v>-17.207187347194338</v>
      </c>
      <c r="Z11" t="s">
        <v>81</v>
      </c>
      <c r="AA11">
        <v>-11.051602186501141</v>
      </c>
      <c r="AD11" t="s">
        <v>81</v>
      </c>
      <c r="AE11">
        <v>-12.945447226706181</v>
      </c>
    </row>
    <row r="12" spans="1:32" x14ac:dyDescent="0.25">
      <c r="T12" s="105"/>
      <c r="U12" s="105"/>
      <c r="V12" t="s">
        <v>82</v>
      </c>
      <c r="W12">
        <v>2.1382365260634383E-4</v>
      </c>
      <c r="Z12" t="s">
        <v>82</v>
      </c>
      <c r="AA12">
        <v>7.9343280268962901E-4</v>
      </c>
      <c r="AD12" t="s">
        <v>82</v>
      </c>
      <c r="AE12">
        <v>4.9755148642790549E-4</v>
      </c>
    </row>
    <row r="13" spans="1:32" x14ac:dyDescent="0.25">
      <c r="T13" s="105"/>
      <c r="U13" s="105"/>
      <c r="V13" t="s">
        <v>83</v>
      </c>
      <c r="W13">
        <v>2.3533634348018233</v>
      </c>
      <c r="Z13" t="s">
        <v>83</v>
      </c>
      <c r="AA13">
        <v>2.3533634348018233</v>
      </c>
      <c r="AD13" t="s">
        <v>83</v>
      </c>
      <c r="AE13">
        <v>2.3533634348018233</v>
      </c>
    </row>
    <row r="14" spans="1:32" x14ac:dyDescent="0.25">
      <c r="T14" s="105"/>
      <c r="U14" s="105"/>
      <c r="V14" t="s">
        <v>84</v>
      </c>
      <c r="W14">
        <v>4.2764730521268766E-4</v>
      </c>
      <c r="Z14" t="s">
        <v>84</v>
      </c>
      <c r="AA14">
        <v>1.586865605379258E-3</v>
      </c>
      <c r="AD14" t="s">
        <v>84</v>
      </c>
      <c r="AE14">
        <v>9.9510297285581098E-4</v>
      </c>
    </row>
    <row r="15" spans="1:32" ht="15.75" thickBot="1" x14ac:dyDescent="0.3">
      <c r="T15" s="105"/>
      <c r="U15" s="105"/>
      <c r="V15" s="16" t="s">
        <v>85</v>
      </c>
      <c r="W15" s="16">
        <v>3.1824463052837091</v>
      </c>
      <c r="X15" s="16"/>
      <c r="Z15" s="16" t="s">
        <v>85</v>
      </c>
      <c r="AA15" s="16">
        <v>3.1824463052837091</v>
      </c>
      <c r="AB15" s="16"/>
      <c r="AD15" s="16" t="s">
        <v>85</v>
      </c>
      <c r="AE15" s="16">
        <v>3.1824463052837091</v>
      </c>
      <c r="AF15" s="16"/>
    </row>
    <row r="16" spans="1:32" x14ac:dyDescent="0.25">
      <c r="T16" s="105"/>
      <c r="U16" s="105"/>
      <c r="V16" t="str">
        <f>IF(X5 &gt; W5, "Pretrained &gt; Fresh", "Pretrained &lt; Fresh")</f>
        <v>Pretrained &gt; Fresh</v>
      </c>
      <c r="W16" s="171" t="str">
        <f>IF(W12 &lt; 0.05, "Significant", "Not Significant")</f>
        <v>Significant</v>
      </c>
      <c r="X16" s="171"/>
      <c r="Z16" t="str">
        <f>IF(AB5 &gt; AA5, "Pretrained &gt; Fresh", "Pretrained &lt; Fresh")</f>
        <v>Pretrained &gt; Fresh</v>
      </c>
      <c r="AA16" s="171" t="str">
        <f>IF(AA12 &lt; 0.05, "Significant", "Not Significant")</f>
        <v>Significant</v>
      </c>
      <c r="AB16" s="171"/>
      <c r="AD16" t="str">
        <f>IF(AF5 &gt; AE5, "Pretrained &gt; Fresh", "Pretrained &lt; Fresh")</f>
        <v>Pretrained &gt; Fresh</v>
      </c>
      <c r="AE16" s="171" t="str">
        <f>IF(AE12 &lt; 0.05, "Significant", "Not Significant")</f>
        <v>Significant</v>
      </c>
      <c r="AF16" s="171"/>
    </row>
    <row r="17" spans="20:32" x14ac:dyDescent="0.25">
      <c r="T17" s="105"/>
      <c r="U17" s="105"/>
      <c r="V17">
        <f>W12</f>
        <v>2.1382365260634383E-4</v>
      </c>
      <c r="W17" s="194"/>
      <c r="X17" s="194"/>
      <c r="Z17">
        <f>AA12</f>
        <v>7.9343280268962901E-4</v>
      </c>
      <c r="AD17">
        <f>AE12</f>
        <v>4.9755148642790549E-4</v>
      </c>
    </row>
    <row r="18" spans="20:32" x14ac:dyDescent="0.25">
      <c r="T18" s="105"/>
      <c r="U18" s="105"/>
      <c r="V18" s="196" t="s">
        <v>14</v>
      </c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</row>
    <row r="19" spans="20:32" x14ac:dyDescent="0.25">
      <c r="T19" s="105"/>
      <c r="U19" s="105"/>
      <c r="V19" s="194" t="s">
        <v>4</v>
      </c>
      <c r="W19" s="194"/>
      <c r="X19" s="194"/>
      <c r="Z19" s="194" t="s">
        <v>5</v>
      </c>
      <c r="AA19" s="194"/>
      <c r="AB19" s="194"/>
      <c r="AD19" s="194" t="s">
        <v>70</v>
      </c>
      <c r="AE19" s="194"/>
      <c r="AF19" s="194"/>
    </row>
    <row r="20" spans="20:32" ht="15.75" thickBot="1" x14ac:dyDescent="0.3">
      <c r="T20" s="105"/>
      <c r="U20" s="105"/>
    </row>
    <row r="21" spans="20:32" x14ac:dyDescent="0.25">
      <c r="T21" s="105"/>
      <c r="U21" s="105"/>
      <c r="V21" s="17"/>
      <c r="W21" s="17" t="s">
        <v>19</v>
      </c>
      <c r="X21" s="17" t="s">
        <v>71</v>
      </c>
      <c r="Z21" s="17"/>
      <c r="AA21" s="17" t="s">
        <v>19</v>
      </c>
      <c r="AB21" s="17" t="s">
        <v>71</v>
      </c>
      <c r="AD21" s="17"/>
      <c r="AE21" s="17" t="s">
        <v>19</v>
      </c>
      <c r="AF21" s="17" t="s">
        <v>71</v>
      </c>
    </row>
    <row r="22" spans="20:32" x14ac:dyDescent="0.25">
      <c r="T22" s="105"/>
      <c r="U22" s="105"/>
      <c r="V22" t="s">
        <v>75</v>
      </c>
      <c r="W22">
        <v>0</v>
      </c>
      <c r="X22">
        <v>0.33848808705806677</v>
      </c>
      <c r="Z22" t="s">
        <v>75</v>
      </c>
      <c r="AA22">
        <v>0.68312256038188868</v>
      </c>
      <c r="AB22">
        <v>0.80775448679923945</v>
      </c>
      <c r="AD22" t="s">
        <v>75</v>
      </c>
      <c r="AE22">
        <v>0.154462050646543</v>
      </c>
      <c r="AF22">
        <v>0.28804376348853078</v>
      </c>
    </row>
    <row r="23" spans="20:32" x14ac:dyDescent="0.25">
      <c r="T23" s="105"/>
      <c r="U23" s="105"/>
      <c r="V23" t="s">
        <v>76</v>
      </c>
      <c r="W23">
        <v>0</v>
      </c>
      <c r="X23">
        <v>5.6673011160160809E-3</v>
      </c>
      <c r="Z23" t="s">
        <v>76</v>
      </c>
      <c r="AA23">
        <v>4.416246079263308E-4</v>
      </c>
      <c r="AB23">
        <v>9.4149711899285573E-4</v>
      </c>
      <c r="AD23" t="s">
        <v>76</v>
      </c>
      <c r="AE23">
        <v>7.5463529698558318E-4</v>
      </c>
      <c r="AF23">
        <v>1.927633722422939E-3</v>
      </c>
    </row>
    <row r="24" spans="20:32" x14ac:dyDescent="0.25">
      <c r="T24" s="105"/>
      <c r="U24" s="105"/>
      <c r="V24" t="s">
        <v>77</v>
      </c>
      <c r="W24">
        <v>4</v>
      </c>
      <c r="X24">
        <v>4</v>
      </c>
      <c r="Z24" t="s">
        <v>77</v>
      </c>
      <c r="AA24">
        <v>4</v>
      </c>
      <c r="AB24">
        <v>4</v>
      </c>
      <c r="AD24" t="s">
        <v>77</v>
      </c>
      <c r="AE24">
        <v>4</v>
      </c>
      <c r="AF24">
        <v>4</v>
      </c>
    </row>
    <row r="25" spans="20:32" x14ac:dyDescent="0.25">
      <c r="T25" s="105"/>
      <c r="U25" s="105"/>
      <c r="V25" t="s">
        <v>78</v>
      </c>
      <c r="W25" t="e">
        <v>#DIV/0!</v>
      </c>
      <c r="Z25" t="s">
        <v>78</v>
      </c>
      <c r="AA25">
        <v>0.63876878372923518</v>
      </c>
      <c r="AD25" t="s">
        <v>78</v>
      </c>
      <c r="AE25">
        <v>0.8513133526083102</v>
      </c>
    </row>
    <row r="26" spans="20:32" x14ac:dyDescent="0.25">
      <c r="T26" s="105"/>
      <c r="U26" s="105"/>
      <c r="V26" t="s">
        <v>79</v>
      </c>
      <c r="W26">
        <v>0</v>
      </c>
      <c r="Z26" t="s">
        <v>79</v>
      </c>
      <c r="AA26">
        <v>0</v>
      </c>
      <c r="AD26" t="s">
        <v>79</v>
      </c>
      <c r="AE26">
        <v>0</v>
      </c>
    </row>
    <row r="27" spans="20:32" x14ac:dyDescent="0.25">
      <c r="T27" s="105"/>
      <c r="U27" s="105"/>
      <c r="V27" t="s">
        <v>80</v>
      </c>
      <c r="W27">
        <v>3</v>
      </c>
      <c r="Z27" t="s">
        <v>80</v>
      </c>
      <c r="AA27">
        <v>3</v>
      </c>
      <c r="AD27" t="s">
        <v>80</v>
      </c>
      <c r="AE27">
        <v>3</v>
      </c>
    </row>
    <row r="28" spans="20:32" x14ac:dyDescent="0.25">
      <c r="T28" s="105"/>
      <c r="U28" s="105"/>
      <c r="V28" t="s">
        <v>81</v>
      </c>
      <c r="W28">
        <v>-8.9925992552636806</v>
      </c>
      <c r="Z28" t="s">
        <v>81</v>
      </c>
      <c r="AA28">
        <v>-10.539491024135639</v>
      </c>
      <c r="AD28" t="s">
        <v>81</v>
      </c>
      <c r="AE28">
        <v>-10.654682119874556</v>
      </c>
    </row>
    <row r="29" spans="20:32" x14ac:dyDescent="0.25">
      <c r="T29" s="105"/>
      <c r="U29" s="105"/>
      <c r="V29" t="s">
        <v>82</v>
      </c>
      <c r="W29">
        <v>1.4513811860952556E-3</v>
      </c>
      <c r="Z29" t="s">
        <v>82</v>
      </c>
      <c r="AA29">
        <v>9.1218513859107637E-4</v>
      </c>
      <c r="AD29" t="s">
        <v>82</v>
      </c>
      <c r="AE29">
        <v>8.8351855881378736E-4</v>
      </c>
    </row>
    <row r="30" spans="20:32" x14ac:dyDescent="0.25">
      <c r="T30" s="105"/>
      <c r="U30" s="105"/>
      <c r="V30" t="s">
        <v>83</v>
      </c>
      <c r="W30">
        <v>2.3533634348018233</v>
      </c>
      <c r="Z30" t="s">
        <v>83</v>
      </c>
      <c r="AA30">
        <v>2.3533634348018233</v>
      </c>
      <c r="AD30" t="s">
        <v>83</v>
      </c>
      <c r="AE30">
        <v>2.3533634348018233</v>
      </c>
    </row>
    <row r="31" spans="20:32" x14ac:dyDescent="0.25">
      <c r="T31" s="105"/>
      <c r="U31" s="105"/>
      <c r="V31" t="s">
        <v>84</v>
      </c>
      <c r="W31">
        <v>2.9027623721905112E-3</v>
      </c>
      <c r="Z31" t="s">
        <v>84</v>
      </c>
      <c r="AA31">
        <v>1.8243702771821527E-3</v>
      </c>
      <c r="AD31" t="s">
        <v>84</v>
      </c>
      <c r="AE31">
        <v>1.7670371176275747E-3</v>
      </c>
    </row>
    <row r="32" spans="20:32" ht="15.75" thickBot="1" x14ac:dyDescent="0.3">
      <c r="T32" s="105"/>
      <c r="U32" s="105"/>
      <c r="V32" s="16" t="s">
        <v>85</v>
      </c>
      <c r="W32" s="16">
        <v>3.1824463052837091</v>
      </c>
      <c r="X32" s="16"/>
      <c r="Z32" s="16" t="s">
        <v>85</v>
      </c>
      <c r="AA32" s="16">
        <v>3.1824463052837091</v>
      </c>
      <c r="AB32" s="16"/>
      <c r="AD32" s="16" t="s">
        <v>85</v>
      </c>
      <c r="AE32" s="16">
        <v>3.1824463052837091</v>
      </c>
      <c r="AF32" s="16"/>
    </row>
    <row r="33" spans="20:32" x14ac:dyDescent="0.25">
      <c r="T33" s="105"/>
      <c r="U33" s="105"/>
      <c r="V33" t="str">
        <f>IF(X22 &gt; W22, "Pretrained &gt; Fresh", "Pretrained &lt; Fresh")</f>
        <v>Pretrained &gt; Fresh</v>
      </c>
      <c r="W33" s="171" t="str">
        <f>IF(W29 &lt; 0.05, "Significant", "Not Significant")</f>
        <v>Significant</v>
      </c>
      <c r="X33" s="171"/>
      <c r="Z33" t="str">
        <f>IF(AB22 &gt; AA22, "Pretrained &gt; Fresh", "Pretrained &lt; Fresh")</f>
        <v>Pretrained &gt; Fresh</v>
      </c>
      <c r="AA33" s="171" t="str">
        <f>IF(AA29 &lt; 0.05, "Significant", "Not Significant")</f>
        <v>Significant</v>
      </c>
      <c r="AB33" s="171"/>
      <c r="AD33" t="str">
        <f>IF(AF22 &gt; AE22, "Pretrained &gt; Fresh", "Pretrained &lt; Fresh")</f>
        <v>Pretrained &gt; Fresh</v>
      </c>
      <c r="AE33" s="171" t="str">
        <f>IF(AE29 &lt; 0.05, "Significant", "Not Significant")</f>
        <v>Significant</v>
      </c>
      <c r="AF33" s="171"/>
    </row>
    <row r="34" spans="20:32" x14ac:dyDescent="0.25">
      <c r="T34" s="105"/>
      <c r="U34" s="105"/>
      <c r="V34">
        <f>W29</f>
        <v>1.4513811860952556E-3</v>
      </c>
      <c r="W34" s="194"/>
      <c r="X34" s="194"/>
      <c r="Z34">
        <f>AA29</f>
        <v>9.1218513859107637E-4</v>
      </c>
      <c r="AD34">
        <f>AE29</f>
        <v>8.8351855881378736E-4</v>
      </c>
    </row>
    <row r="35" spans="20:32" x14ac:dyDescent="0.25">
      <c r="T35" s="105"/>
      <c r="U35" s="105" t="s">
        <v>89</v>
      </c>
      <c r="V35" s="195" t="s">
        <v>13</v>
      </c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</row>
    <row r="36" spans="20:32" x14ac:dyDescent="0.25">
      <c r="T36" s="105"/>
      <c r="U36" s="105"/>
      <c r="V36" s="194" t="s">
        <v>4</v>
      </c>
      <c r="W36" s="194"/>
      <c r="X36" s="194"/>
      <c r="Z36" s="194" t="s">
        <v>5</v>
      </c>
      <c r="AA36" s="194"/>
      <c r="AB36" s="194"/>
      <c r="AD36" s="194" t="s">
        <v>70</v>
      </c>
      <c r="AE36" s="194"/>
      <c r="AF36" s="194"/>
    </row>
    <row r="37" spans="20:32" ht="15.75" thickBot="1" x14ac:dyDescent="0.3">
      <c r="T37" s="105"/>
      <c r="U37" s="105"/>
    </row>
    <row r="38" spans="20:32" x14ac:dyDescent="0.25">
      <c r="T38" s="105"/>
      <c r="U38" s="105"/>
      <c r="V38" s="17"/>
      <c r="W38" s="17" t="s">
        <v>19</v>
      </c>
      <c r="X38" s="17" t="s">
        <v>71</v>
      </c>
      <c r="Z38" s="17"/>
      <c r="AA38" s="17" t="s">
        <v>19</v>
      </c>
      <c r="AB38" s="17" t="s">
        <v>71</v>
      </c>
      <c r="AD38" s="17"/>
      <c r="AE38" s="17" t="s">
        <v>19</v>
      </c>
      <c r="AF38" s="17" t="s">
        <v>71</v>
      </c>
    </row>
    <row r="39" spans="20:32" x14ac:dyDescent="0.25">
      <c r="T39" s="105"/>
      <c r="U39" s="105"/>
      <c r="V39" t="s">
        <v>75</v>
      </c>
      <c r="W39">
        <v>0</v>
      </c>
      <c r="X39">
        <v>0.36637797206640199</v>
      </c>
      <c r="Z39" t="s">
        <v>75</v>
      </c>
      <c r="AA39">
        <v>0.70876780152320829</v>
      </c>
      <c r="AB39">
        <v>0.83954316377639726</v>
      </c>
      <c r="AD39" t="s">
        <v>75</v>
      </c>
      <c r="AE39">
        <v>0.19324617087841001</v>
      </c>
      <c r="AF39">
        <v>0.36131048947572675</v>
      </c>
    </row>
    <row r="40" spans="20:32" x14ac:dyDescent="0.25">
      <c r="T40" s="105"/>
      <c r="U40" s="105"/>
      <c r="V40" t="s">
        <v>76</v>
      </c>
      <c r="W40">
        <v>0</v>
      </c>
      <c r="X40">
        <v>1.8134221906432879E-3</v>
      </c>
      <c r="Z40" t="s">
        <v>76</v>
      </c>
      <c r="AA40">
        <v>8.3082955628909546E-4</v>
      </c>
      <c r="AB40">
        <v>8.0553320743111513E-4</v>
      </c>
      <c r="AD40" t="s">
        <v>76</v>
      </c>
      <c r="AE40">
        <v>1.568068140948814E-3</v>
      </c>
      <c r="AF40">
        <v>8.3861418004976547E-4</v>
      </c>
    </row>
    <row r="41" spans="20:32" x14ac:dyDescent="0.25">
      <c r="T41" s="105"/>
      <c r="U41" s="105"/>
      <c r="V41" t="s">
        <v>77</v>
      </c>
      <c r="W41">
        <v>4</v>
      </c>
      <c r="X41">
        <v>4</v>
      </c>
      <c r="Z41" t="s">
        <v>77</v>
      </c>
      <c r="AA41">
        <v>4</v>
      </c>
      <c r="AB41">
        <v>4</v>
      </c>
      <c r="AD41" t="s">
        <v>77</v>
      </c>
      <c r="AE41">
        <v>4</v>
      </c>
      <c r="AF41">
        <v>4</v>
      </c>
    </row>
    <row r="42" spans="20:32" x14ac:dyDescent="0.25">
      <c r="T42" s="105"/>
      <c r="U42" s="105"/>
      <c r="V42" t="s">
        <v>78</v>
      </c>
      <c r="W42" t="e">
        <v>#DIV/0!</v>
      </c>
      <c r="Z42" t="s">
        <v>78</v>
      </c>
      <c r="AA42">
        <v>0.79682615926424427</v>
      </c>
      <c r="AD42" t="s">
        <v>78</v>
      </c>
      <c r="AE42">
        <v>0.90859290027051642</v>
      </c>
    </row>
    <row r="43" spans="20:32" x14ac:dyDescent="0.25">
      <c r="T43" s="105"/>
      <c r="U43" s="105"/>
      <c r="V43" t="s">
        <v>79</v>
      </c>
      <c r="W43">
        <v>0</v>
      </c>
      <c r="Z43" t="s">
        <v>79</v>
      </c>
      <c r="AA43">
        <v>0</v>
      </c>
      <c r="AD43" t="s">
        <v>79</v>
      </c>
      <c r="AE43">
        <v>0</v>
      </c>
    </row>
    <row r="44" spans="20:32" x14ac:dyDescent="0.25">
      <c r="T44" s="105"/>
      <c r="U44" s="105"/>
      <c r="V44" t="s">
        <v>80</v>
      </c>
      <c r="W44">
        <v>3</v>
      </c>
      <c r="Z44" t="s">
        <v>80</v>
      </c>
      <c r="AA44">
        <v>3</v>
      </c>
      <c r="AD44" t="s">
        <v>80</v>
      </c>
      <c r="AE44">
        <v>3</v>
      </c>
    </row>
    <row r="45" spans="20:32" x14ac:dyDescent="0.25">
      <c r="T45" s="105"/>
      <c r="U45" s="105"/>
      <c r="V45" t="s">
        <v>81</v>
      </c>
      <c r="W45">
        <v>-17.207187347194338</v>
      </c>
      <c r="Z45" t="s">
        <v>81</v>
      </c>
      <c r="AA45">
        <v>-14.341035004366452</v>
      </c>
      <c r="AD45" t="s">
        <v>81</v>
      </c>
      <c r="AE45">
        <v>-18.707060146127631</v>
      </c>
    </row>
    <row r="46" spans="20:32" x14ac:dyDescent="0.25">
      <c r="T46" s="105"/>
      <c r="U46" s="105"/>
      <c r="V46" t="s">
        <v>82</v>
      </c>
      <c r="W46">
        <v>2.1382365260634383E-4</v>
      </c>
      <c r="Z46" t="s">
        <v>82</v>
      </c>
      <c r="AA46">
        <v>3.674084038025262E-4</v>
      </c>
      <c r="AD46" t="s">
        <v>82</v>
      </c>
      <c r="AE46">
        <v>1.6671491805800859E-4</v>
      </c>
    </row>
    <row r="47" spans="20:32" x14ac:dyDescent="0.25">
      <c r="T47" s="105"/>
      <c r="U47" s="105"/>
      <c r="V47" t="s">
        <v>83</v>
      </c>
      <c r="W47">
        <v>2.3533634348018233</v>
      </c>
      <c r="Z47" t="s">
        <v>83</v>
      </c>
      <c r="AA47">
        <v>2.3533634348018233</v>
      </c>
      <c r="AD47" t="s">
        <v>83</v>
      </c>
      <c r="AE47">
        <v>2.3533634348018233</v>
      </c>
    </row>
    <row r="48" spans="20:32" x14ac:dyDescent="0.25">
      <c r="T48" s="105"/>
      <c r="U48" s="105"/>
      <c r="V48" t="s">
        <v>84</v>
      </c>
      <c r="W48">
        <v>4.2764730521268766E-4</v>
      </c>
      <c r="Z48" t="s">
        <v>84</v>
      </c>
      <c r="AA48">
        <v>7.3481680760505239E-4</v>
      </c>
      <c r="AD48" t="s">
        <v>84</v>
      </c>
      <c r="AE48">
        <v>3.3342983611601718E-4</v>
      </c>
    </row>
    <row r="49" spans="20:32" ht="15.75" thickBot="1" x14ac:dyDescent="0.3">
      <c r="T49" s="105"/>
      <c r="U49" s="105"/>
      <c r="V49" s="16" t="s">
        <v>85</v>
      </c>
      <c r="W49" s="16">
        <v>3.1824463052837091</v>
      </c>
      <c r="X49" s="16"/>
      <c r="Z49" s="16" t="s">
        <v>85</v>
      </c>
      <c r="AA49" s="16">
        <v>3.1824463052837091</v>
      </c>
      <c r="AB49" s="16"/>
      <c r="AD49" s="16" t="s">
        <v>85</v>
      </c>
      <c r="AE49" s="16">
        <v>3.1824463052837091</v>
      </c>
      <c r="AF49" s="16"/>
    </row>
    <row r="50" spans="20:32" x14ac:dyDescent="0.25">
      <c r="T50" s="105"/>
      <c r="U50" s="105"/>
      <c r="V50" t="str">
        <f>IF(X39 &gt; W39, "Pretrained &gt; Fresh", "Pretrained &lt; Fresh")</f>
        <v>Pretrained &gt; Fresh</v>
      </c>
      <c r="W50" s="171" t="str">
        <f>IF(W46 &lt; 0.05, "Significant", "Not Significant")</f>
        <v>Significant</v>
      </c>
      <c r="X50" s="171"/>
      <c r="Z50" t="str">
        <f>IF(AB39 &gt; AA39, "Pretrained &gt; Fresh", "Pretrained &lt; Fresh")</f>
        <v>Pretrained &gt; Fresh</v>
      </c>
      <c r="AA50" s="171" t="str">
        <f>IF(AA46 &lt; 0.05, "Significant", "Not Significant")</f>
        <v>Significant</v>
      </c>
      <c r="AB50" s="171"/>
      <c r="AD50" t="str">
        <f>IF(AF39 &gt; AE39, "Pretrained &gt; Fresh", "Pretrained &lt; Fresh")</f>
        <v>Pretrained &gt; Fresh</v>
      </c>
      <c r="AE50" s="171" t="str">
        <f>IF(AE46 &lt; 0.05, "Significant", "Not Significant")</f>
        <v>Significant</v>
      </c>
      <c r="AF50" s="171"/>
    </row>
    <row r="51" spans="20:32" x14ac:dyDescent="0.25">
      <c r="T51" s="105"/>
      <c r="U51" s="105"/>
      <c r="V51">
        <f>W46</f>
        <v>2.1382365260634383E-4</v>
      </c>
      <c r="W51" s="194"/>
      <c r="X51" s="194"/>
      <c r="Z51">
        <f>AA46</f>
        <v>3.674084038025262E-4</v>
      </c>
      <c r="AD51">
        <f>AE46</f>
        <v>1.6671491805800859E-4</v>
      </c>
    </row>
    <row r="52" spans="20:32" x14ac:dyDescent="0.25">
      <c r="T52" s="105"/>
      <c r="U52" s="105"/>
      <c r="V52" s="196" t="s">
        <v>14</v>
      </c>
      <c r="W52" s="196"/>
      <c r="X52" s="196"/>
      <c r="Y52" s="196"/>
      <c r="Z52" s="196"/>
      <c r="AA52" s="196"/>
      <c r="AB52" s="196"/>
      <c r="AC52" s="196"/>
      <c r="AD52" s="196"/>
      <c r="AE52" s="196"/>
      <c r="AF52" s="196"/>
    </row>
    <row r="53" spans="20:32" x14ac:dyDescent="0.25">
      <c r="T53" s="105"/>
      <c r="U53" s="105"/>
      <c r="V53" s="194" t="s">
        <v>4</v>
      </c>
      <c r="W53" s="194"/>
      <c r="X53" s="194"/>
      <c r="Z53" s="194" t="s">
        <v>5</v>
      </c>
      <c r="AA53" s="194"/>
      <c r="AB53" s="194"/>
      <c r="AD53" s="194" t="s">
        <v>70</v>
      </c>
      <c r="AE53" s="194"/>
      <c r="AF53" s="194"/>
    </row>
    <row r="54" spans="20:32" ht="15.75" thickBot="1" x14ac:dyDescent="0.3">
      <c r="T54" s="105"/>
      <c r="U54" s="105"/>
    </row>
    <row r="55" spans="20:32" x14ac:dyDescent="0.25">
      <c r="T55" s="105"/>
      <c r="U55" s="105"/>
      <c r="V55" s="17"/>
      <c r="W55" s="17" t="s">
        <v>19</v>
      </c>
      <c r="X55" s="17" t="s">
        <v>71</v>
      </c>
      <c r="Z55" s="17"/>
      <c r="AA55" s="17" t="s">
        <v>19</v>
      </c>
      <c r="AB55" s="17" t="s">
        <v>71</v>
      </c>
      <c r="AD55" s="17"/>
      <c r="AE55" s="17" t="s">
        <v>19</v>
      </c>
      <c r="AF55" s="17" t="s">
        <v>71</v>
      </c>
    </row>
    <row r="56" spans="20:32" x14ac:dyDescent="0.25">
      <c r="T56" s="105"/>
      <c r="U56" s="105"/>
      <c r="V56" t="s">
        <v>75</v>
      </c>
      <c r="W56">
        <v>0</v>
      </c>
      <c r="X56">
        <v>0.33848808705806677</v>
      </c>
      <c r="Z56" t="s">
        <v>75</v>
      </c>
      <c r="AA56">
        <v>0.66869153082370691</v>
      </c>
      <c r="AB56">
        <v>0.80775448679923945</v>
      </c>
      <c r="AD56" t="s">
        <v>75</v>
      </c>
      <c r="AE56">
        <v>0.13837003894150202</v>
      </c>
      <c r="AF56">
        <v>0.28804376348853078</v>
      </c>
    </row>
    <row r="57" spans="20:32" x14ac:dyDescent="0.25">
      <c r="T57" s="105"/>
      <c r="U57" s="105"/>
      <c r="V57" t="s">
        <v>76</v>
      </c>
      <c r="W57">
        <v>0</v>
      </c>
      <c r="X57">
        <v>5.6673011160160809E-3</v>
      </c>
      <c r="Z57" t="s">
        <v>76</v>
      </c>
      <c r="AA57">
        <v>4.740955920074363E-4</v>
      </c>
      <c r="AB57">
        <v>9.4149711899285573E-4</v>
      </c>
      <c r="AD57" t="s">
        <v>76</v>
      </c>
      <c r="AE57">
        <v>1.0427676625581058E-4</v>
      </c>
      <c r="AF57">
        <v>1.927633722422939E-3</v>
      </c>
    </row>
    <row r="58" spans="20:32" x14ac:dyDescent="0.25">
      <c r="T58" s="105"/>
      <c r="U58" s="105"/>
      <c r="V58" t="s">
        <v>77</v>
      </c>
      <c r="W58">
        <v>4</v>
      </c>
      <c r="X58">
        <v>4</v>
      </c>
      <c r="Z58" t="s">
        <v>77</v>
      </c>
      <c r="AA58">
        <v>4</v>
      </c>
      <c r="AB58">
        <v>4</v>
      </c>
      <c r="AD58" t="s">
        <v>77</v>
      </c>
      <c r="AE58">
        <v>4</v>
      </c>
      <c r="AF58">
        <v>4</v>
      </c>
    </row>
    <row r="59" spans="20:32" x14ac:dyDescent="0.25">
      <c r="T59" s="105"/>
      <c r="U59" s="105"/>
      <c r="V59" t="s">
        <v>78</v>
      </c>
      <c r="W59" t="e">
        <v>#DIV/0!</v>
      </c>
      <c r="Z59" t="s">
        <v>78</v>
      </c>
      <c r="AA59">
        <v>0.11999462988157659</v>
      </c>
      <c r="AD59" t="s">
        <v>78</v>
      </c>
      <c r="AE59">
        <v>0.35591460373080996</v>
      </c>
    </row>
    <row r="60" spans="20:32" x14ac:dyDescent="0.25">
      <c r="T60" s="105"/>
      <c r="U60" s="105"/>
      <c r="V60" t="s">
        <v>79</v>
      </c>
      <c r="W60">
        <v>0</v>
      </c>
      <c r="Z60" t="s">
        <v>79</v>
      </c>
      <c r="AA60">
        <v>0</v>
      </c>
      <c r="AD60" t="s">
        <v>79</v>
      </c>
      <c r="AE60">
        <v>0</v>
      </c>
    </row>
    <row r="61" spans="20:32" x14ac:dyDescent="0.25">
      <c r="T61" s="105"/>
      <c r="U61" s="105"/>
      <c r="V61" t="s">
        <v>80</v>
      </c>
      <c r="W61">
        <v>3</v>
      </c>
      <c r="Z61" t="s">
        <v>80</v>
      </c>
      <c r="AA61">
        <v>3</v>
      </c>
      <c r="AD61" t="s">
        <v>80</v>
      </c>
      <c r="AE61">
        <v>3</v>
      </c>
    </row>
    <row r="62" spans="20:32" x14ac:dyDescent="0.25">
      <c r="T62" s="105"/>
      <c r="U62" s="105"/>
      <c r="V62" t="s">
        <v>81</v>
      </c>
      <c r="W62">
        <v>-8.9925992552636806</v>
      </c>
      <c r="Z62" t="s">
        <v>81</v>
      </c>
      <c r="AA62">
        <v>-7.8501034842580353</v>
      </c>
      <c r="AD62" t="s">
        <v>81</v>
      </c>
      <c r="AE62">
        <v>-7.2331260192632127</v>
      </c>
    </row>
    <row r="63" spans="20:32" x14ac:dyDescent="0.25">
      <c r="T63" s="105"/>
      <c r="U63" s="105"/>
      <c r="V63" t="s">
        <v>82</v>
      </c>
      <c r="W63">
        <v>1.4513811860952556E-3</v>
      </c>
      <c r="Z63" t="s">
        <v>82</v>
      </c>
      <c r="AA63">
        <v>2.1528225480735288E-3</v>
      </c>
      <c r="AD63" t="s">
        <v>82</v>
      </c>
      <c r="AE63">
        <v>2.7249464012657561E-3</v>
      </c>
    </row>
    <row r="64" spans="20:32" x14ac:dyDescent="0.25">
      <c r="T64" s="105"/>
      <c r="U64" s="105"/>
      <c r="V64" t="s">
        <v>83</v>
      </c>
      <c r="W64">
        <v>2.3533634348018233</v>
      </c>
      <c r="Z64" t="s">
        <v>83</v>
      </c>
      <c r="AA64">
        <v>2.3533634348018233</v>
      </c>
      <c r="AD64" t="s">
        <v>83</v>
      </c>
      <c r="AE64">
        <v>2.3533634348018233</v>
      </c>
    </row>
    <row r="65" spans="20:32" x14ac:dyDescent="0.25">
      <c r="T65" s="105"/>
      <c r="U65" s="105"/>
      <c r="V65" t="s">
        <v>84</v>
      </c>
      <c r="W65">
        <v>2.9027623721905112E-3</v>
      </c>
      <c r="Z65" t="s">
        <v>84</v>
      </c>
      <c r="AA65">
        <v>4.3056450961470576E-3</v>
      </c>
      <c r="AD65" t="s">
        <v>84</v>
      </c>
      <c r="AE65">
        <v>5.4498928025315122E-3</v>
      </c>
    </row>
    <row r="66" spans="20:32" ht="15.75" thickBot="1" x14ac:dyDescent="0.3">
      <c r="T66" s="105"/>
      <c r="U66" s="105"/>
      <c r="V66" s="16" t="s">
        <v>85</v>
      </c>
      <c r="W66" s="16">
        <v>3.1824463052837091</v>
      </c>
      <c r="X66" s="16"/>
      <c r="Z66" s="16" t="s">
        <v>85</v>
      </c>
      <c r="AA66" s="16">
        <v>3.1824463052837091</v>
      </c>
      <c r="AB66" s="16"/>
      <c r="AD66" s="16" t="s">
        <v>85</v>
      </c>
      <c r="AE66" s="16">
        <v>3.1824463052837091</v>
      </c>
      <c r="AF66" s="16"/>
    </row>
    <row r="67" spans="20:32" x14ac:dyDescent="0.25">
      <c r="T67" s="105"/>
      <c r="U67" s="105"/>
      <c r="V67" t="str">
        <f>IF(X56 &gt; W56, "Pretrained &gt; Fresh", "Pretrained &lt; Fresh")</f>
        <v>Pretrained &gt; Fresh</v>
      </c>
      <c r="W67" s="171" t="str">
        <f>IF(W63 &lt; 0.05, "Significant", "Not Significant")</f>
        <v>Significant</v>
      </c>
      <c r="X67" s="171"/>
      <c r="Z67" t="str">
        <f>IF(AB56 &gt; AA56, "Pretrained &gt; Fresh", "Pretrained &lt; Fresh")</f>
        <v>Pretrained &gt; Fresh</v>
      </c>
      <c r="AA67" s="171" t="str">
        <f>IF(AA63 &lt; 0.05, "Significant", "Not Significant")</f>
        <v>Significant</v>
      </c>
      <c r="AB67" s="171"/>
      <c r="AD67" t="str">
        <f>IF(AF56 &gt; AE56, "Pretrained &gt; Fresh", "Pretrained &lt; Fresh")</f>
        <v>Pretrained &gt; Fresh</v>
      </c>
      <c r="AE67" s="171" t="str">
        <f>IF(AE63 &lt; 0.05, "Significant", "Not Significant")</f>
        <v>Significant</v>
      </c>
      <c r="AF67" s="171"/>
    </row>
    <row r="68" spans="20:32" x14ac:dyDescent="0.25">
      <c r="T68" s="105"/>
      <c r="U68" s="105"/>
      <c r="V68">
        <f>W63</f>
        <v>1.4513811860952556E-3</v>
      </c>
      <c r="W68" s="194"/>
      <c r="X68" s="194"/>
      <c r="Z68">
        <f>AA63</f>
        <v>2.1528225480735288E-3</v>
      </c>
      <c r="AD68">
        <f>AE63</f>
        <v>2.7249464012657561E-3</v>
      </c>
    </row>
    <row r="69" spans="20:32" x14ac:dyDescent="0.25">
      <c r="T69" s="2"/>
      <c r="U69" s="2"/>
      <c r="V69" s="193" t="s">
        <v>72</v>
      </c>
      <c r="W69" s="193"/>
      <c r="X69" s="193"/>
      <c r="Y69" s="193"/>
      <c r="Z69" s="193"/>
      <c r="AA69" s="193"/>
      <c r="AB69" s="193"/>
      <c r="AC69" s="193"/>
      <c r="AD69" s="193"/>
      <c r="AE69" s="193"/>
      <c r="AF69" s="193"/>
    </row>
    <row r="70" spans="20:32" x14ac:dyDescent="0.25">
      <c r="T70" s="2"/>
      <c r="U70" s="2"/>
      <c r="V70" s="194" t="s">
        <v>93</v>
      </c>
      <c r="W70" s="194"/>
      <c r="X70" s="194"/>
      <c r="Z70" s="194" t="s">
        <v>94</v>
      </c>
      <c r="AA70" s="194"/>
      <c r="AB70" s="194"/>
    </row>
    <row r="71" spans="20:32" ht="15.75" thickBot="1" x14ac:dyDescent="0.3">
      <c r="T71" s="2"/>
      <c r="U71" s="2"/>
    </row>
    <row r="72" spans="20:32" x14ac:dyDescent="0.25">
      <c r="T72" s="2"/>
      <c r="U72" s="2"/>
      <c r="V72" s="17"/>
      <c r="W72" s="17" t="s">
        <v>19</v>
      </c>
      <c r="X72" s="17" t="s">
        <v>71</v>
      </c>
      <c r="Z72" s="17"/>
      <c r="AA72" s="17" t="s">
        <v>19</v>
      </c>
      <c r="AB72" s="17" t="s">
        <v>71</v>
      </c>
    </row>
    <row r="73" spans="20:32" x14ac:dyDescent="0.25">
      <c r="T73" s="2"/>
      <c r="U73" s="2"/>
      <c r="V73" t="s">
        <v>75</v>
      </c>
      <c r="W73">
        <v>45.5</v>
      </c>
      <c r="X73">
        <v>18</v>
      </c>
      <c r="Z73" t="s">
        <v>75</v>
      </c>
      <c r="AA73">
        <v>31.5</v>
      </c>
      <c r="AB73">
        <v>18</v>
      </c>
    </row>
    <row r="74" spans="20:32" x14ac:dyDescent="0.25">
      <c r="T74" s="2"/>
      <c r="U74" s="2"/>
      <c r="V74" t="s">
        <v>76</v>
      </c>
      <c r="W74">
        <v>27.666666666666668</v>
      </c>
      <c r="X74">
        <v>356.66666666666669</v>
      </c>
      <c r="Z74" t="s">
        <v>76</v>
      </c>
      <c r="AA74">
        <v>143</v>
      </c>
      <c r="AB74">
        <v>356.66666666666669</v>
      </c>
    </row>
    <row r="75" spans="20:32" x14ac:dyDescent="0.25">
      <c r="T75" s="2"/>
      <c r="U75" s="2"/>
      <c r="V75" t="s">
        <v>77</v>
      </c>
      <c r="W75">
        <v>4</v>
      </c>
      <c r="X75">
        <v>4</v>
      </c>
      <c r="Z75" t="s">
        <v>77</v>
      </c>
      <c r="AA75">
        <v>4</v>
      </c>
      <c r="AB75">
        <v>4</v>
      </c>
    </row>
    <row r="76" spans="20:32" x14ac:dyDescent="0.25">
      <c r="T76" s="2"/>
      <c r="U76" s="2"/>
      <c r="V76" t="s">
        <v>78</v>
      </c>
      <c r="W76">
        <v>-0.81876428706620163</v>
      </c>
      <c r="Z76" t="s">
        <v>78</v>
      </c>
      <c r="AA76">
        <v>-0.68042520130227369</v>
      </c>
    </row>
    <row r="77" spans="20:32" x14ac:dyDescent="0.25">
      <c r="T77" s="2"/>
      <c r="U77" s="2"/>
      <c r="V77" t="s">
        <v>79</v>
      </c>
      <c r="W77">
        <v>0</v>
      </c>
      <c r="Z77" t="s">
        <v>79</v>
      </c>
      <c r="AA77">
        <v>0</v>
      </c>
    </row>
    <row r="78" spans="20:32" x14ac:dyDescent="0.25">
      <c r="T78" s="2"/>
      <c r="U78" s="2"/>
      <c r="V78" t="s">
        <v>80</v>
      </c>
      <c r="W78">
        <v>3</v>
      </c>
      <c r="Z78" t="s">
        <v>80</v>
      </c>
      <c r="AA78">
        <v>3</v>
      </c>
    </row>
    <row r="79" spans="20:32" x14ac:dyDescent="0.25">
      <c r="T79" s="2"/>
      <c r="U79" s="2"/>
      <c r="V79" t="s">
        <v>81</v>
      </c>
      <c r="W79">
        <v>2.3516301864495701</v>
      </c>
      <c r="Z79" t="s">
        <v>81</v>
      </c>
      <c r="AA79">
        <v>0.9504450141418298</v>
      </c>
    </row>
    <row r="80" spans="20:32" x14ac:dyDescent="0.25">
      <c r="T80" s="2"/>
      <c r="U80" s="2"/>
      <c r="V80" t="s">
        <v>82</v>
      </c>
      <c r="W80">
        <v>5.0078721442623722E-2</v>
      </c>
      <c r="Z80" t="s">
        <v>82</v>
      </c>
      <c r="AA80">
        <v>0.20600239151983629</v>
      </c>
    </row>
    <row r="81" spans="20:28" x14ac:dyDescent="0.25">
      <c r="T81" s="2"/>
      <c r="U81" s="2"/>
      <c r="V81" t="s">
        <v>83</v>
      </c>
      <c r="W81">
        <v>2.3533634348018233</v>
      </c>
      <c r="Z81" t="s">
        <v>83</v>
      </c>
      <c r="AA81">
        <v>2.3533634348018233</v>
      </c>
    </row>
    <row r="82" spans="20:28" x14ac:dyDescent="0.25">
      <c r="T82" s="2"/>
      <c r="U82" s="2"/>
      <c r="V82" t="s">
        <v>84</v>
      </c>
      <c r="W82">
        <v>0.10015744288524744</v>
      </c>
      <c r="Z82" t="s">
        <v>84</v>
      </c>
      <c r="AA82">
        <v>0.41200478303967258</v>
      </c>
    </row>
    <row r="83" spans="20:28" ht="15.75" thickBot="1" x14ac:dyDescent="0.3">
      <c r="T83" s="2"/>
      <c r="U83" s="2"/>
      <c r="V83" s="16" t="s">
        <v>85</v>
      </c>
      <c r="W83" s="16">
        <v>3.1824463052837091</v>
      </c>
      <c r="X83" s="16"/>
      <c r="Z83" s="16" t="s">
        <v>85</v>
      </c>
      <c r="AA83" s="16">
        <v>3.1824463052837091</v>
      </c>
      <c r="AB83" s="16"/>
    </row>
    <row r="84" spans="20:28" x14ac:dyDescent="0.25">
      <c r="T84" s="2"/>
      <c r="U84" s="2"/>
      <c r="V84" t="str">
        <f>IF(X73 &gt; W73, "Pretrained &gt; Fresh", "Pretrained &lt; Fresh")</f>
        <v>Pretrained &lt; Fresh</v>
      </c>
      <c r="W84" s="171" t="str">
        <f>IF(W80 &lt; 0.05, "Significant", "Not Significant")</f>
        <v>Not Significant</v>
      </c>
      <c r="X84" s="171"/>
      <c r="Z84" t="str">
        <f>IF(AB73 &gt; AA73, "Pretrained &gt; Fresh", "Pretrained &lt; Fresh")</f>
        <v>Pretrained &lt; Fresh</v>
      </c>
      <c r="AA84" s="171" t="str">
        <f>IF(AA80 &lt; 0.05, "Significant", "Not Significant")</f>
        <v>Not Significant</v>
      </c>
      <c r="AB84" s="171"/>
    </row>
    <row r="85" spans="20:28" x14ac:dyDescent="0.25">
      <c r="T85" s="2"/>
      <c r="U85" s="2"/>
      <c r="V85">
        <f>W80</f>
        <v>5.0078721442623722E-2</v>
      </c>
      <c r="Z85">
        <f>AA80</f>
        <v>0.20600239151983629</v>
      </c>
    </row>
    <row r="86" spans="20:28" x14ac:dyDescent="0.25">
      <c r="T86" s="2"/>
      <c r="U86" s="2"/>
    </row>
    <row r="87" spans="20:28" x14ac:dyDescent="0.25">
      <c r="T87" s="2"/>
      <c r="U87" s="2"/>
    </row>
    <row r="88" spans="20:28" x14ac:dyDescent="0.25">
      <c r="T88" s="2"/>
      <c r="U88" s="2"/>
    </row>
    <row r="89" spans="20:28" x14ac:dyDescent="0.25">
      <c r="T89" s="2"/>
      <c r="U89" s="2"/>
    </row>
    <row r="90" spans="20:28" x14ac:dyDescent="0.25">
      <c r="T90" s="2"/>
      <c r="U90" s="2"/>
    </row>
    <row r="91" spans="20:28" x14ac:dyDescent="0.25">
      <c r="T91" s="2"/>
      <c r="U91" s="2"/>
    </row>
    <row r="92" spans="20:28" x14ac:dyDescent="0.25">
      <c r="T92" s="2"/>
      <c r="U92" s="2"/>
    </row>
    <row r="93" spans="20:28" x14ac:dyDescent="0.25">
      <c r="T93" s="2"/>
      <c r="U93" s="2"/>
    </row>
    <row r="94" spans="20:28" x14ac:dyDescent="0.25">
      <c r="T94" s="2"/>
      <c r="U94" s="2"/>
    </row>
    <row r="95" spans="20:28" x14ac:dyDescent="0.25">
      <c r="T95" s="2"/>
      <c r="U95" s="2"/>
    </row>
    <row r="96" spans="20:28" x14ac:dyDescent="0.25">
      <c r="T96" s="2"/>
      <c r="U96" s="2"/>
    </row>
    <row r="97" spans="20:21" x14ac:dyDescent="0.25">
      <c r="T97" s="2"/>
      <c r="U97" s="2"/>
    </row>
    <row r="98" spans="20:21" x14ac:dyDescent="0.25">
      <c r="T98" s="2"/>
      <c r="U98" s="2"/>
    </row>
    <row r="99" spans="20:21" x14ac:dyDescent="0.25">
      <c r="T99" s="2"/>
      <c r="U99" s="2"/>
    </row>
    <row r="100" spans="20:21" x14ac:dyDescent="0.25">
      <c r="T100" s="2"/>
      <c r="U100" s="2"/>
    </row>
    <row r="101" spans="20:21" x14ac:dyDescent="0.25">
      <c r="T101" s="2"/>
      <c r="U101" s="2"/>
    </row>
    <row r="102" spans="20:21" x14ac:dyDescent="0.25">
      <c r="T102" s="2"/>
      <c r="U102" s="2"/>
    </row>
  </sheetData>
  <mergeCells count="55">
    <mergeCell ref="U35:U68"/>
    <mergeCell ref="T1:T68"/>
    <mergeCell ref="A4:B7"/>
    <mergeCell ref="A8:B11"/>
    <mergeCell ref="A1:B1"/>
    <mergeCell ref="C1:C3"/>
    <mergeCell ref="D1:E1"/>
    <mergeCell ref="F1:K1"/>
    <mergeCell ref="L1:Q1"/>
    <mergeCell ref="A2:A3"/>
    <mergeCell ref="B2:B3"/>
    <mergeCell ref="D2:D3"/>
    <mergeCell ref="E2:E3"/>
    <mergeCell ref="V1:AF1"/>
    <mergeCell ref="F2:H2"/>
    <mergeCell ref="I2:K2"/>
    <mergeCell ref="L2:N2"/>
    <mergeCell ref="O2:Q2"/>
    <mergeCell ref="U1:U34"/>
    <mergeCell ref="V2:X2"/>
    <mergeCell ref="Z2:AB2"/>
    <mergeCell ref="AD2:AF2"/>
    <mergeCell ref="Z19:AB19"/>
    <mergeCell ref="AD19:AF19"/>
    <mergeCell ref="W17:X17"/>
    <mergeCell ref="W34:X34"/>
    <mergeCell ref="W67:X67"/>
    <mergeCell ref="AA67:AB67"/>
    <mergeCell ref="AE67:AF67"/>
    <mergeCell ref="V18:AF18"/>
    <mergeCell ref="W16:X16"/>
    <mergeCell ref="AA16:AB16"/>
    <mergeCell ref="AE16:AF16"/>
    <mergeCell ref="W33:X33"/>
    <mergeCell ref="AA33:AB33"/>
    <mergeCell ref="AE33:AF33"/>
    <mergeCell ref="V35:AF35"/>
    <mergeCell ref="W50:X50"/>
    <mergeCell ref="AA50:AB50"/>
    <mergeCell ref="AE50:AF50"/>
    <mergeCell ref="V52:AF52"/>
    <mergeCell ref="V19:X19"/>
    <mergeCell ref="V36:X36"/>
    <mergeCell ref="Z36:AB36"/>
    <mergeCell ref="AD36:AF36"/>
    <mergeCell ref="V53:X53"/>
    <mergeCell ref="Z53:AB53"/>
    <mergeCell ref="AD53:AF53"/>
    <mergeCell ref="W51:X51"/>
    <mergeCell ref="W68:X68"/>
    <mergeCell ref="V69:AF69"/>
    <mergeCell ref="Z70:AB70"/>
    <mergeCell ref="V70:X70"/>
    <mergeCell ref="W84:X84"/>
    <mergeCell ref="AA84:AB84"/>
  </mergeCells>
  <conditionalFormatting sqref="V16">
    <cfRule type="containsText" dxfId="447" priority="53" operator="containsText" text="&lt;">
      <formula>NOT(ISERROR(SEARCH("&lt;",V16)))</formula>
    </cfRule>
    <cfRule type="containsText" dxfId="446" priority="54" operator="containsText" text="&gt;">
      <formula>NOT(ISERROR(SEARCH("&gt;",V16)))</formula>
    </cfRule>
  </conditionalFormatting>
  <conditionalFormatting sqref="V33">
    <cfRule type="containsText" dxfId="445" priority="41" operator="containsText" text="&lt;">
      <formula>NOT(ISERROR(SEARCH("&lt;",V33)))</formula>
    </cfRule>
    <cfRule type="containsText" dxfId="444" priority="42" operator="containsText" text="&gt;">
      <formula>NOT(ISERROR(SEARCH("&gt;",V33)))</formula>
    </cfRule>
  </conditionalFormatting>
  <conditionalFormatting sqref="V50">
    <cfRule type="containsText" dxfId="443" priority="29" operator="containsText" text="&lt;">
      <formula>NOT(ISERROR(SEARCH("&lt;",V50)))</formula>
    </cfRule>
    <cfRule type="containsText" dxfId="442" priority="30" operator="containsText" text="&gt;">
      <formula>NOT(ISERROR(SEARCH("&gt;",V50)))</formula>
    </cfRule>
  </conditionalFormatting>
  <conditionalFormatting sqref="V67">
    <cfRule type="containsText" dxfId="441" priority="17" operator="containsText" text="&lt;">
      <formula>NOT(ISERROR(SEARCH("&lt;",V67)))</formula>
    </cfRule>
    <cfRule type="containsText" dxfId="440" priority="18" operator="containsText" text="&gt;">
      <formula>NOT(ISERROR(SEARCH("&gt;",V67)))</formula>
    </cfRule>
  </conditionalFormatting>
  <conditionalFormatting sqref="V84">
    <cfRule type="containsText" dxfId="439" priority="5" operator="containsText" text="&gt;">
      <formula>NOT(ISERROR(SEARCH("&gt;",V84)))</formula>
    </cfRule>
    <cfRule type="containsText" dxfId="438" priority="6" operator="containsText" text="&lt;">
      <formula>NOT(ISERROR(SEARCH("&lt;",V84)))</formula>
    </cfRule>
  </conditionalFormatting>
  <conditionalFormatting sqref="W16:X16">
    <cfRule type="cellIs" dxfId="437" priority="55" operator="equal">
      <formula>"Significant"</formula>
    </cfRule>
    <cfRule type="containsText" dxfId="436" priority="56" operator="containsText" text="Not">
      <formula>NOT(ISERROR(SEARCH("Not",W16)))</formula>
    </cfRule>
  </conditionalFormatting>
  <conditionalFormatting sqref="W33:X33">
    <cfRule type="cellIs" dxfId="435" priority="43" operator="equal">
      <formula>"Significant"</formula>
    </cfRule>
    <cfRule type="containsText" dxfId="434" priority="44" operator="containsText" text="Not">
      <formula>NOT(ISERROR(SEARCH("Not",W33)))</formula>
    </cfRule>
  </conditionalFormatting>
  <conditionalFormatting sqref="W50:X50">
    <cfRule type="cellIs" dxfId="433" priority="31" operator="equal">
      <formula>"Significant"</formula>
    </cfRule>
    <cfRule type="containsText" dxfId="432" priority="32" operator="containsText" text="Not">
      <formula>NOT(ISERROR(SEARCH("Not",W50)))</formula>
    </cfRule>
  </conditionalFormatting>
  <conditionalFormatting sqref="W67:X67">
    <cfRule type="cellIs" dxfId="431" priority="19" operator="equal">
      <formula>"Significant"</formula>
    </cfRule>
    <cfRule type="containsText" dxfId="430" priority="20" operator="containsText" text="Not">
      <formula>NOT(ISERROR(SEARCH("Not",W67)))</formula>
    </cfRule>
  </conditionalFormatting>
  <conditionalFormatting sqref="W84:X84">
    <cfRule type="cellIs" dxfId="429" priority="7" operator="equal">
      <formula>"Significant"</formula>
    </cfRule>
    <cfRule type="containsText" dxfId="428" priority="8" operator="containsText" text="Not">
      <formula>NOT(ISERROR(SEARCH("Not",W84)))</formula>
    </cfRule>
  </conditionalFormatting>
  <conditionalFormatting sqref="Z16">
    <cfRule type="containsText" dxfId="427" priority="49" operator="containsText" text="&lt;">
      <formula>NOT(ISERROR(SEARCH("&lt;",Z16)))</formula>
    </cfRule>
    <cfRule type="containsText" dxfId="426" priority="50" operator="containsText" text="&gt;">
      <formula>NOT(ISERROR(SEARCH("&gt;",Z16)))</formula>
    </cfRule>
  </conditionalFormatting>
  <conditionalFormatting sqref="Z33">
    <cfRule type="containsText" dxfId="425" priority="37" operator="containsText" text="&lt;">
      <formula>NOT(ISERROR(SEARCH("&lt;",Z33)))</formula>
    </cfRule>
    <cfRule type="containsText" dxfId="424" priority="38" operator="containsText" text="&gt;">
      <formula>NOT(ISERROR(SEARCH("&gt;",Z33)))</formula>
    </cfRule>
  </conditionalFormatting>
  <conditionalFormatting sqref="Z50">
    <cfRule type="containsText" dxfId="423" priority="25" operator="containsText" text="&lt;">
      <formula>NOT(ISERROR(SEARCH("&lt;",Z50)))</formula>
    </cfRule>
    <cfRule type="containsText" dxfId="422" priority="26" operator="containsText" text="&gt;">
      <formula>NOT(ISERROR(SEARCH("&gt;",Z50)))</formula>
    </cfRule>
  </conditionalFormatting>
  <conditionalFormatting sqref="Z67">
    <cfRule type="containsText" dxfId="421" priority="13" operator="containsText" text="&lt;">
      <formula>NOT(ISERROR(SEARCH("&lt;",Z67)))</formula>
    </cfRule>
    <cfRule type="containsText" dxfId="420" priority="14" operator="containsText" text="&gt;">
      <formula>NOT(ISERROR(SEARCH("&gt;",Z67)))</formula>
    </cfRule>
  </conditionalFormatting>
  <conditionalFormatting sqref="Z84">
    <cfRule type="containsText" dxfId="419" priority="1" operator="containsText" text="&gt;">
      <formula>NOT(ISERROR(SEARCH("&gt;",Z84)))</formula>
    </cfRule>
    <cfRule type="containsText" dxfId="418" priority="2" operator="containsText" text="&lt;">
      <formula>NOT(ISERROR(SEARCH("&lt;",Z84)))</formula>
    </cfRule>
  </conditionalFormatting>
  <conditionalFormatting sqref="AA16:AB16">
    <cfRule type="cellIs" dxfId="417" priority="51" operator="equal">
      <formula>"Significant"</formula>
    </cfRule>
    <cfRule type="containsText" dxfId="416" priority="52" operator="containsText" text="Not">
      <formula>NOT(ISERROR(SEARCH("Not",AA16)))</formula>
    </cfRule>
  </conditionalFormatting>
  <conditionalFormatting sqref="AA33:AB33">
    <cfRule type="cellIs" dxfId="415" priority="39" operator="equal">
      <formula>"Significant"</formula>
    </cfRule>
    <cfRule type="containsText" dxfId="414" priority="40" operator="containsText" text="Not">
      <formula>NOT(ISERROR(SEARCH("Not",AA33)))</formula>
    </cfRule>
  </conditionalFormatting>
  <conditionalFormatting sqref="AA50:AB50">
    <cfRule type="cellIs" dxfId="413" priority="27" operator="equal">
      <formula>"Significant"</formula>
    </cfRule>
    <cfRule type="containsText" dxfId="412" priority="28" operator="containsText" text="Not">
      <formula>NOT(ISERROR(SEARCH("Not",AA50)))</formula>
    </cfRule>
  </conditionalFormatting>
  <conditionalFormatting sqref="AA67:AB67">
    <cfRule type="cellIs" dxfId="411" priority="15" operator="equal">
      <formula>"Significant"</formula>
    </cfRule>
    <cfRule type="containsText" dxfId="410" priority="16" operator="containsText" text="Not">
      <formula>NOT(ISERROR(SEARCH("Not",AA67)))</formula>
    </cfRule>
  </conditionalFormatting>
  <conditionalFormatting sqref="AA84:AB84">
    <cfRule type="cellIs" dxfId="409" priority="3" operator="equal">
      <formula>"Significant"</formula>
    </cfRule>
    <cfRule type="containsText" dxfId="408" priority="4" operator="containsText" text="Not">
      <formula>NOT(ISERROR(SEARCH("Not",AA84)))</formula>
    </cfRule>
  </conditionalFormatting>
  <conditionalFormatting sqref="AD16">
    <cfRule type="containsText" dxfId="407" priority="45" operator="containsText" text="&lt;">
      <formula>NOT(ISERROR(SEARCH("&lt;",AD16)))</formula>
    </cfRule>
    <cfRule type="containsText" dxfId="406" priority="46" operator="containsText" text="&gt;">
      <formula>NOT(ISERROR(SEARCH("&gt;",AD16)))</formula>
    </cfRule>
  </conditionalFormatting>
  <conditionalFormatting sqref="AD33">
    <cfRule type="containsText" dxfId="405" priority="33" operator="containsText" text="&lt;">
      <formula>NOT(ISERROR(SEARCH("&lt;",AD33)))</formula>
    </cfRule>
    <cfRule type="containsText" dxfId="404" priority="34" operator="containsText" text="&gt;">
      <formula>NOT(ISERROR(SEARCH("&gt;",AD33)))</formula>
    </cfRule>
  </conditionalFormatting>
  <conditionalFormatting sqref="AD50">
    <cfRule type="containsText" dxfId="403" priority="21" operator="containsText" text="&lt;">
      <formula>NOT(ISERROR(SEARCH("&lt;",AD50)))</formula>
    </cfRule>
    <cfRule type="containsText" dxfId="402" priority="22" operator="containsText" text="&gt;">
      <formula>NOT(ISERROR(SEARCH("&gt;",AD50)))</formula>
    </cfRule>
  </conditionalFormatting>
  <conditionalFormatting sqref="AD67">
    <cfRule type="containsText" dxfId="401" priority="9" operator="containsText" text="&lt;">
      <formula>NOT(ISERROR(SEARCH("&lt;",AD67)))</formula>
    </cfRule>
    <cfRule type="containsText" dxfId="400" priority="10" operator="containsText" text="&gt;">
      <formula>NOT(ISERROR(SEARCH("&gt;",AD67)))</formula>
    </cfRule>
  </conditionalFormatting>
  <conditionalFormatting sqref="AE16:AF16">
    <cfRule type="cellIs" dxfId="399" priority="47" operator="equal">
      <formula>"Significant"</formula>
    </cfRule>
    <cfRule type="containsText" dxfId="398" priority="48" operator="containsText" text="Not">
      <formula>NOT(ISERROR(SEARCH("Not",AE16)))</formula>
    </cfRule>
  </conditionalFormatting>
  <conditionalFormatting sqref="AE33:AF33">
    <cfRule type="cellIs" dxfId="397" priority="35" operator="equal">
      <formula>"Significant"</formula>
    </cfRule>
    <cfRule type="containsText" dxfId="396" priority="36" operator="containsText" text="Not">
      <formula>NOT(ISERROR(SEARCH("Not",AE33)))</formula>
    </cfRule>
  </conditionalFormatting>
  <conditionalFormatting sqref="AE50:AF50">
    <cfRule type="cellIs" dxfId="395" priority="23" operator="equal">
      <formula>"Significant"</formula>
    </cfRule>
    <cfRule type="containsText" dxfId="394" priority="24" operator="containsText" text="Not">
      <formula>NOT(ISERROR(SEARCH("Not",AE50)))</formula>
    </cfRule>
  </conditionalFormatting>
  <conditionalFormatting sqref="AE67:AF67">
    <cfRule type="cellIs" dxfId="393" priority="11" operator="equal">
      <formula>"Significant"</formula>
    </cfRule>
    <cfRule type="containsText" dxfId="392" priority="12" operator="containsText" text="Not">
      <formula>NOT(ISERROR(SEARCH("Not",AE67)))</formula>
    </cfRule>
  </conditionalFormatting>
  <pageMargins left="0.7" right="0.7" top="0.75" bottom="0.75" header="0.3" footer="0.3"/>
  <pageSetup paperSize="9" scale="5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7071-3685-4DF3-9268-FCA6F373CC0B}">
  <sheetPr>
    <tabColor theme="8" tint="0.39997558519241921"/>
  </sheetPr>
  <dimension ref="A1:AD35"/>
  <sheetViews>
    <sheetView topLeftCell="M1" workbookViewId="0">
      <selection activeCell="R86" sqref="R86"/>
    </sheetView>
  </sheetViews>
  <sheetFormatPr defaultRowHeight="15" x14ac:dyDescent="0.25"/>
  <cols>
    <col min="1" max="1" width="16.42578125" customWidth="1"/>
    <col min="20" max="20" width="17.7109375" customWidth="1"/>
    <col min="22" max="22" width="12.85546875" customWidth="1"/>
    <col min="23" max="23" width="9.85546875" customWidth="1"/>
    <col min="24" max="24" width="18.28515625" customWidth="1"/>
    <col min="25" max="25" width="12.85546875" customWidth="1"/>
    <col min="26" max="26" width="14" customWidth="1"/>
    <col min="28" max="28" width="17.5703125" customWidth="1"/>
    <col min="30" max="30" width="13.42578125" customWidth="1"/>
  </cols>
  <sheetData>
    <row r="1" spans="1:30" x14ac:dyDescent="0.25">
      <c r="A1" s="126" t="s">
        <v>0</v>
      </c>
      <c r="B1" s="128"/>
      <c r="C1" s="126" t="s">
        <v>12</v>
      </c>
      <c r="D1" s="200" t="s">
        <v>72</v>
      </c>
      <c r="E1" s="167"/>
      <c r="F1" s="148" t="s">
        <v>13</v>
      </c>
      <c r="G1" s="115"/>
      <c r="H1" s="115"/>
      <c r="I1" s="115"/>
      <c r="J1" s="115"/>
      <c r="K1" s="116"/>
      <c r="L1" s="117" t="s">
        <v>14</v>
      </c>
      <c r="M1" s="118"/>
      <c r="N1" s="118"/>
      <c r="O1" s="118"/>
      <c r="P1" s="118"/>
      <c r="Q1" s="118"/>
      <c r="T1" s="194" t="s">
        <v>105</v>
      </c>
      <c r="U1" s="194"/>
      <c r="V1" s="194"/>
      <c r="W1" s="194"/>
      <c r="X1" s="194"/>
      <c r="Y1" s="194"/>
      <c r="Z1" s="194"/>
      <c r="AA1" s="194"/>
      <c r="AB1" s="194"/>
      <c r="AC1" s="194"/>
      <c r="AD1" s="194"/>
    </row>
    <row r="2" spans="1:30" ht="15.75" thickBot="1" x14ac:dyDescent="0.3">
      <c r="A2" s="126" t="s">
        <v>16</v>
      </c>
      <c r="B2" s="128" t="s">
        <v>17</v>
      </c>
      <c r="C2" s="126"/>
      <c r="D2" s="201" t="s">
        <v>73</v>
      </c>
      <c r="E2" s="160" t="s">
        <v>74</v>
      </c>
      <c r="F2" s="162" t="s">
        <v>19</v>
      </c>
      <c r="G2" s="162"/>
      <c r="H2" s="162"/>
      <c r="I2" s="163" t="s">
        <v>71</v>
      </c>
      <c r="J2" s="163"/>
      <c r="K2" s="163"/>
      <c r="L2" s="162" t="s">
        <v>19</v>
      </c>
      <c r="M2" s="162"/>
      <c r="N2" s="162"/>
      <c r="O2" s="163" t="s">
        <v>71</v>
      </c>
      <c r="P2" s="163"/>
      <c r="Q2" s="163"/>
      <c r="T2" s="203" t="s">
        <v>4</v>
      </c>
      <c r="U2" s="203"/>
      <c r="V2" s="203"/>
      <c r="W2" s="15"/>
      <c r="X2" s="203" t="s">
        <v>5</v>
      </c>
      <c r="Y2" s="203"/>
      <c r="Z2" s="203"/>
      <c r="AA2" s="15"/>
      <c r="AB2" s="203" t="s">
        <v>70</v>
      </c>
      <c r="AC2" s="203"/>
      <c r="AD2" s="203"/>
    </row>
    <row r="3" spans="1:30" ht="15.75" thickBot="1" x14ac:dyDescent="0.3">
      <c r="A3" s="127"/>
      <c r="B3" s="129"/>
      <c r="C3" s="127"/>
      <c r="D3" s="202"/>
      <c r="E3" s="161"/>
      <c r="F3" s="12" t="s">
        <v>4</v>
      </c>
      <c r="G3" s="12" t="s">
        <v>5</v>
      </c>
      <c r="H3" s="12" t="s">
        <v>70</v>
      </c>
      <c r="I3" s="13" t="s">
        <v>4</v>
      </c>
      <c r="J3" s="12" t="s">
        <v>5</v>
      </c>
      <c r="K3" s="12" t="s">
        <v>70</v>
      </c>
      <c r="L3" s="12" t="s">
        <v>4</v>
      </c>
      <c r="M3" s="12" t="s">
        <v>5</v>
      </c>
      <c r="N3" s="12" t="s">
        <v>70</v>
      </c>
      <c r="O3" s="13" t="s">
        <v>4</v>
      </c>
      <c r="P3" s="12" t="s">
        <v>5</v>
      </c>
      <c r="Q3" s="12" t="s">
        <v>70</v>
      </c>
      <c r="T3" s="17"/>
      <c r="U3" s="17" t="s">
        <v>27</v>
      </c>
      <c r="V3" s="17" t="s">
        <v>106</v>
      </c>
      <c r="X3" s="17"/>
      <c r="Y3" s="17" t="s">
        <v>27</v>
      </c>
      <c r="Z3" s="17" t="s">
        <v>106</v>
      </c>
      <c r="AB3" s="17"/>
      <c r="AC3" s="17" t="s">
        <v>27</v>
      </c>
      <c r="AD3" s="17" t="s">
        <v>106</v>
      </c>
    </row>
    <row r="4" spans="1:30" x14ac:dyDescent="0.25">
      <c r="A4" s="111" t="s">
        <v>25</v>
      </c>
      <c r="B4" s="111"/>
      <c r="C4" s="11">
        <f>'Table for t-test'!C40</f>
        <v>1</v>
      </c>
      <c r="D4" s="6">
        <f>'Table for t-test'!D40</f>
        <v>38</v>
      </c>
      <c r="E4" s="11">
        <f>'Table for t-test'!E40</f>
        <v>45</v>
      </c>
      <c r="F4" s="6">
        <f>'Table for t-test'!F40</f>
        <v>0</v>
      </c>
      <c r="G4" s="6">
        <f>'Table for t-test'!G40</f>
        <v>0.69873368740081698</v>
      </c>
      <c r="H4" s="6">
        <f>'Table for t-test'!H40</f>
        <v>0.19846300780773099</v>
      </c>
      <c r="I4" s="6">
        <f>'Table for t-test'!I40</f>
        <v>0.318407952785491</v>
      </c>
      <c r="J4" s="6">
        <f>'Table for t-test'!J40</f>
        <v>0.81348526477813698</v>
      </c>
      <c r="K4" s="11">
        <f>'Table for t-test'!K40</f>
        <v>0.33723288774490301</v>
      </c>
      <c r="L4" s="6">
        <f>'Table for t-test'!L40</f>
        <v>0</v>
      </c>
      <c r="M4" s="6">
        <f>'Table for t-test'!M40</f>
        <v>0.68266385793685902</v>
      </c>
      <c r="N4" s="6">
        <f>'Table for t-test'!N40</f>
        <v>0.178153902292251</v>
      </c>
      <c r="O4" s="6">
        <f>'Table for t-test'!O40</f>
        <v>0.39252337813377303</v>
      </c>
      <c r="P4" s="6">
        <f>'Table for t-test'!P40</f>
        <v>0.81936728954315097</v>
      </c>
      <c r="Q4" s="11">
        <f>'Table for t-test'!Q40</f>
        <v>0.32699429988861001</v>
      </c>
      <c r="T4" t="s">
        <v>75</v>
      </c>
      <c r="U4">
        <v>0.33848808705806677</v>
      </c>
      <c r="V4">
        <v>0.41065714508295026</v>
      </c>
      <c r="X4" t="s">
        <v>75</v>
      </c>
      <c r="Y4">
        <v>0.80775448679923945</v>
      </c>
      <c r="Z4">
        <v>0.86517104506492581</v>
      </c>
      <c r="AB4" t="s">
        <v>75</v>
      </c>
      <c r="AC4">
        <v>0.28804376348853078</v>
      </c>
      <c r="AD4">
        <v>0.41395059973001452</v>
      </c>
    </row>
    <row r="5" spans="1:30" x14ac:dyDescent="0.25">
      <c r="A5" s="105"/>
      <c r="B5" s="105"/>
      <c r="C5" s="3">
        <f>'Table for t-test'!C41</f>
        <v>2</v>
      </c>
      <c r="D5">
        <f>'Table for t-test'!D41</f>
        <v>46</v>
      </c>
      <c r="E5" s="3">
        <f>'Table for t-test'!E41</f>
        <v>4</v>
      </c>
      <c r="F5">
        <f>'Table for t-test'!F41</f>
        <v>0</v>
      </c>
      <c r="G5">
        <f>'Table for t-test'!G41</f>
        <v>0.74301230907440097</v>
      </c>
      <c r="H5">
        <f>'Table for t-test'!H41</f>
        <v>0.22170831263065299</v>
      </c>
      <c r="I5">
        <f>'Table for t-test'!I41</f>
        <v>0.34482759237289401</v>
      </c>
      <c r="J5">
        <f>'Table for t-test'!J41</f>
        <v>0.85689806938171298</v>
      </c>
      <c r="K5" s="3">
        <f>'Table for t-test'!K41</f>
        <v>0.39140477776527399</v>
      </c>
      <c r="L5">
        <f>'Table for t-test'!L41</f>
        <v>0</v>
      </c>
      <c r="M5">
        <f>'Table for t-test'!M41</f>
        <v>0.67980223894119196</v>
      </c>
      <c r="N5">
        <f>'Table for t-test'!N41</f>
        <v>0.13317538797855299</v>
      </c>
      <c r="O5">
        <f>'Table for t-test'!O41</f>
        <v>0.229508191347122</v>
      </c>
      <c r="P5">
        <f>'Table for t-test'!P41</f>
        <v>0.76944279670715299</v>
      </c>
      <c r="Q5" s="3">
        <f>'Table for t-test'!Q41</f>
        <v>0.230017140507698</v>
      </c>
      <c r="T5" t="s">
        <v>76</v>
      </c>
      <c r="U5">
        <v>5.6673011160160809E-3</v>
      </c>
      <c r="V5">
        <v>4.8743442505051358E-4</v>
      </c>
      <c r="X5" t="s">
        <v>76</v>
      </c>
      <c r="Y5">
        <v>9.4149711899285573E-4</v>
      </c>
      <c r="Z5">
        <v>1.8117651044015458E-5</v>
      </c>
      <c r="AB5" t="s">
        <v>76</v>
      </c>
      <c r="AC5">
        <v>1.927633722422939E-3</v>
      </c>
      <c r="AD5">
        <v>6.2209241450460098E-4</v>
      </c>
    </row>
    <row r="6" spans="1:30" x14ac:dyDescent="0.25">
      <c r="A6" s="105"/>
      <c r="B6" s="105"/>
      <c r="C6" s="3">
        <f>'Table for t-test'!C42</f>
        <v>3</v>
      </c>
      <c r="D6">
        <f>'Table for t-test'!D42</f>
        <v>48</v>
      </c>
      <c r="E6" s="3">
        <f>'Table for t-test'!E42</f>
        <v>6</v>
      </c>
      <c r="F6">
        <f>'Table for t-test'!F42</f>
        <v>0</v>
      </c>
      <c r="G6">
        <f>'Table for t-test'!G42</f>
        <v>0.65843927860259999</v>
      </c>
      <c r="H6">
        <f>'Table for t-test'!H42</f>
        <v>0.13704247772693601</v>
      </c>
      <c r="I6">
        <f>'Table for t-test'!I42</f>
        <v>0.38977634906768799</v>
      </c>
      <c r="J6">
        <f>'Table for t-test'!J42</f>
        <v>0.81745111942291204</v>
      </c>
      <c r="K6" s="3">
        <f>'Table for t-test'!K42</f>
        <v>0.33580386638641302</v>
      </c>
      <c r="L6">
        <f>'Table for t-test'!L42</f>
        <v>0</v>
      </c>
      <c r="M6">
        <f>'Table for t-test'!M42</f>
        <v>0.65945333242416304</v>
      </c>
      <c r="N6">
        <f>'Table for t-test'!N42</f>
        <v>0.12829360365867601</v>
      </c>
      <c r="O6">
        <f>'Table for t-test'!O42</f>
        <v>0.347305387258529</v>
      </c>
      <c r="P6">
        <f>'Table for t-test'!P42</f>
        <v>0.80030208826064997</v>
      </c>
      <c r="Q6" s="3">
        <f>'Table for t-test'!Q42</f>
        <v>0.27865141630172702</v>
      </c>
      <c r="T6" t="s">
        <v>77</v>
      </c>
      <c r="U6">
        <v>4</v>
      </c>
      <c r="V6">
        <v>4</v>
      </c>
      <c r="X6" t="s">
        <v>77</v>
      </c>
      <c r="Y6">
        <v>4</v>
      </c>
      <c r="Z6">
        <v>4</v>
      </c>
      <c r="AB6" t="s">
        <v>77</v>
      </c>
      <c r="AC6">
        <v>4</v>
      </c>
      <c r="AD6">
        <v>4</v>
      </c>
    </row>
    <row r="7" spans="1:30" x14ac:dyDescent="0.25">
      <c r="A7" s="107"/>
      <c r="B7" s="107"/>
      <c r="C7" s="8">
        <f>'Table for t-test'!C43</f>
        <v>4</v>
      </c>
      <c r="D7" s="7">
        <f>'Table for t-test'!D43</f>
        <v>50</v>
      </c>
      <c r="E7" s="8">
        <f>'Table for t-test'!E43</f>
        <v>17</v>
      </c>
      <c r="F7" s="7">
        <f>'Table for t-test'!F43</f>
        <v>0</v>
      </c>
      <c r="G7" s="7">
        <f>'Table for t-test'!G43</f>
        <v>0.757659971714019</v>
      </c>
      <c r="H7" s="7">
        <f>'Table for t-test'!H43</f>
        <v>0.22631020843982599</v>
      </c>
      <c r="I7" s="7">
        <f>'Table for t-test'!I43</f>
        <v>0.41249999403953502</v>
      </c>
      <c r="J7" s="7">
        <f>'Table for t-test'!J43</f>
        <v>0.87033820152282704</v>
      </c>
      <c r="K7" s="8">
        <f>'Table for t-test'!K43</f>
        <v>0.38080042600631703</v>
      </c>
      <c r="L7" s="7">
        <f>'Table for t-test'!L43</f>
        <v>0</v>
      </c>
      <c r="M7" s="7">
        <f>'Table for t-test'!M43</f>
        <v>0.71057081222534102</v>
      </c>
      <c r="N7" s="7">
        <f>'Table for t-test'!N43</f>
        <v>0.17822530865669201</v>
      </c>
      <c r="O7" s="7">
        <f>'Table for t-test'!O43</f>
        <v>0.38461539149284302</v>
      </c>
      <c r="P7" s="7">
        <f>'Table for t-test'!P43</f>
        <v>0.84190577268600397</v>
      </c>
      <c r="Q7" s="8">
        <f>'Table for t-test'!Q43</f>
        <v>0.31651219725608798</v>
      </c>
      <c r="T7" t="s">
        <v>78</v>
      </c>
      <c r="U7">
        <v>0.5239709588460284</v>
      </c>
      <c r="X7" t="s">
        <v>78</v>
      </c>
      <c r="Y7">
        <v>0.35482051781307999</v>
      </c>
      <c r="AB7" t="s">
        <v>78</v>
      </c>
      <c r="AC7">
        <v>-0.57351170625194969</v>
      </c>
    </row>
    <row r="8" spans="1:30" x14ac:dyDescent="0.25">
      <c r="A8" s="103" t="s">
        <v>26</v>
      </c>
      <c r="B8" s="103"/>
      <c r="C8" s="10">
        <f>'Table for t-test'!C44</f>
        <v>1</v>
      </c>
      <c r="D8" s="9">
        <f>'Table for t-test'!D44</f>
        <v>16</v>
      </c>
      <c r="E8" s="10">
        <f>'Table for t-test'!E44</f>
        <v>45</v>
      </c>
      <c r="F8" s="9">
        <f>'Table for t-test'!F44</f>
        <v>0</v>
      </c>
      <c r="G8" s="9">
        <f>'Table for t-test'!G44</f>
        <v>0.70262742042541504</v>
      </c>
      <c r="H8" s="9">
        <f>'Table for t-test'!H44</f>
        <v>0.183729007840156</v>
      </c>
      <c r="I8" s="9">
        <f>'Table for t-test'!I44</f>
        <v>0.318407952785491</v>
      </c>
      <c r="J8" s="9">
        <f>'Table for t-test'!J44</f>
        <v>0.81348526477813698</v>
      </c>
      <c r="K8" s="10">
        <f>'Table for t-test'!K44</f>
        <v>0.33723288774490301</v>
      </c>
      <c r="L8" s="9">
        <f>'Table for t-test'!L44</f>
        <v>0</v>
      </c>
      <c r="M8" s="9">
        <f>'Table for t-test'!M44</f>
        <v>0.67237246036529497</v>
      </c>
      <c r="N8" s="9">
        <f>'Table for t-test'!N44</f>
        <v>0.140773341059684</v>
      </c>
      <c r="O8" s="31">
        <f>'Table for t-test'!O44</f>
        <v>0.39252337813377303</v>
      </c>
      <c r="P8" s="31">
        <f>'Table for t-test'!P44</f>
        <v>0.81936728954315097</v>
      </c>
      <c r="Q8" s="31">
        <f>'Table for t-test'!Q44</f>
        <v>0.32699429988861001</v>
      </c>
      <c r="T8" t="s">
        <v>79</v>
      </c>
      <c r="U8">
        <v>0</v>
      </c>
      <c r="X8" t="s">
        <v>79</v>
      </c>
      <c r="Y8">
        <v>0</v>
      </c>
      <c r="AB8" t="s">
        <v>79</v>
      </c>
      <c r="AC8">
        <v>0</v>
      </c>
    </row>
    <row r="9" spans="1:30" x14ac:dyDescent="0.25">
      <c r="A9" s="105"/>
      <c r="B9" s="105"/>
      <c r="C9" s="3">
        <f>'Table for t-test'!C45</f>
        <v>2</v>
      </c>
      <c r="D9">
        <f>'Table for t-test'!D45</f>
        <v>34</v>
      </c>
      <c r="E9" s="3">
        <f>'Table for t-test'!E45</f>
        <v>4</v>
      </c>
      <c r="F9">
        <f>'Table for t-test'!F45</f>
        <v>0</v>
      </c>
      <c r="G9">
        <f>'Table for t-test'!G45</f>
        <v>0.73716443777084295</v>
      </c>
      <c r="H9">
        <f>'Table for t-test'!H45</f>
        <v>0.22935152053832999</v>
      </c>
      <c r="I9">
        <f>'Table for t-test'!I45</f>
        <v>0.34482759237289401</v>
      </c>
      <c r="J9">
        <f>'Table for t-test'!J45</f>
        <v>0.85689806938171298</v>
      </c>
      <c r="K9" s="3">
        <f>'Table for t-test'!K45</f>
        <v>0.39140477776527399</v>
      </c>
      <c r="L9">
        <f>'Table for t-test'!L45</f>
        <v>0</v>
      </c>
      <c r="M9">
        <f>'Table for t-test'!M45</f>
        <v>0.682497799396514</v>
      </c>
      <c r="N9">
        <f>'Table for t-test'!N45</f>
        <v>0.139206692576408</v>
      </c>
      <c r="O9" s="31">
        <f>'Table for t-test'!O45</f>
        <v>0.229508191347122</v>
      </c>
      <c r="P9" s="31">
        <f>'Table for t-test'!P45</f>
        <v>0.76944279670715299</v>
      </c>
      <c r="Q9" s="31">
        <f>'Table for t-test'!Q45</f>
        <v>0.230017140507698</v>
      </c>
      <c r="T9" t="s">
        <v>80</v>
      </c>
      <c r="U9">
        <v>3</v>
      </c>
      <c r="X9" t="s">
        <v>80</v>
      </c>
      <c r="Y9">
        <v>3</v>
      </c>
      <c r="AB9" t="s">
        <v>80</v>
      </c>
      <c r="AC9">
        <v>3</v>
      </c>
    </row>
    <row r="10" spans="1:30" x14ac:dyDescent="0.25">
      <c r="A10" s="105"/>
      <c r="B10" s="105"/>
      <c r="C10" s="3">
        <f>'Table for t-test'!C46</f>
        <v>3</v>
      </c>
      <c r="D10">
        <f>'Table for t-test'!D46</f>
        <v>31</v>
      </c>
      <c r="E10" s="3">
        <f>'Table for t-test'!E46</f>
        <v>6</v>
      </c>
      <c r="F10">
        <f>'Table for t-test'!F46</f>
        <v>0</v>
      </c>
      <c r="G10">
        <f>'Table for t-test'!G46</f>
        <v>0.67117512226104703</v>
      </c>
      <c r="H10">
        <f>'Table for t-test'!H46</f>
        <v>0.14150363206863401</v>
      </c>
      <c r="I10">
        <f>'Table for t-test'!I46</f>
        <v>0.38977634906768799</v>
      </c>
      <c r="J10">
        <f>'Table for t-test'!J46</f>
        <v>0.81745111942291204</v>
      </c>
      <c r="K10" s="3">
        <f>'Table for t-test'!K46</f>
        <v>0.33580386638641302</v>
      </c>
      <c r="L10">
        <f>'Table for t-test'!L46</f>
        <v>0</v>
      </c>
      <c r="M10">
        <f>'Table for t-test'!M46</f>
        <v>0.63686954975128096</v>
      </c>
      <c r="N10">
        <f>'Table for t-test'!N46</f>
        <v>0.124480061233043</v>
      </c>
      <c r="O10" s="31">
        <f>'Table for t-test'!O46</f>
        <v>0.347305387258529</v>
      </c>
      <c r="P10" s="31">
        <f>'Table for t-test'!P46</f>
        <v>0.80030208826064997</v>
      </c>
      <c r="Q10" s="31">
        <f>'Table for t-test'!Q46</f>
        <v>0.27865141630172702</v>
      </c>
      <c r="T10" t="s">
        <v>81</v>
      </c>
      <c r="U10">
        <v>-2.1727727892806801</v>
      </c>
      <c r="X10" t="s">
        <v>81</v>
      </c>
      <c r="Y10">
        <v>-3.9000901263858254</v>
      </c>
      <c r="AB10" t="s">
        <v>81</v>
      </c>
      <c r="AC10">
        <v>-4.0818482186242999</v>
      </c>
    </row>
    <row r="11" spans="1:30" ht="15.75" thickBot="1" x14ac:dyDescent="0.3">
      <c r="A11" s="107"/>
      <c r="B11" s="107"/>
      <c r="C11" s="8">
        <f>'Table for t-test'!C47</f>
        <v>4</v>
      </c>
      <c r="D11" s="7">
        <f>'Table for t-test'!D47</f>
        <v>45</v>
      </c>
      <c r="E11" s="8">
        <f>'Table for t-test'!E47</f>
        <v>17</v>
      </c>
      <c r="F11" s="7">
        <f>'Table for t-test'!F47</f>
        <v>0</v>
      </c>
      <c r="G11" s="7">
        <f>'Table for t-test'!G47</f>
        <v>0.72410422563552801</v>
      </c>
      <c r="H11" s="7">
        <f>'Table for t-test'!H47</f>
        <v>0.21840052306652</v>
      </c>
      <c r="I11" s="7">
        <f>'Table for t-test'!I47</f>
        <v>0.41249999403953502</v>
      </c>
      <c r="J11" s="7">
        <f>'Table for t-test'!J47</f>
        <v>0.87033820152282704</v>
      </c>
      <c r="K11" s="8">
        <f>'Table for t-test'!K47</f>
        <v>0.38080042600631703</v>
      </c>
      <c r="L11" s="7">
        <f>'Table for t-test'!L47</f>
        <v>0</v>
      </c>
      <c r="M11" s="7">
        <f>'Table for t-test'!M47</f>
        <v>0.68302631378173795</v>
      </c>
      <c r="N11" s="7">
        <f>'Table for t-test'!N47</f>
        <v>0.149020060896873</v>
      </c>
      <c r="O11" s="31">
        <f>'Table for t-test'!O47</f>
        <v>0.38461539149284302</v>
      </c>
      <c r="P11" s="31">
        <f>'Table for t-test'!P47</f>
        <v>0.84190577268600397</v>
      </c>
      <c r="Q11" s="31">
        <f>'Table for t-test'!Q47</f>
        <v>0.31651219725608798</v>
      </c>
      <c r="T11" t="s">
        <v>82</v>
      </c>
      <c r="U11">
        <v>5.9073940663890573E-2</v>
      </c>
      <c r="X11" t="s">
        <v>82</v>
      </c>
      <c r="Y11">
        <v>1.4959589608812593E-2</v>
      </c>
      <c r="AB11" t="s">
        <v>82</v>
      </c>
      <c r="AC11">
        <v>1.3279372408985055E-2</v>
      </c>
    </row>
    <row r="12" spans="1:30" x14ac:dyDescent="0.25">
      <c r="A12" s="105" t="s">
        <v>22</v>
      </c>
      <c r="B12" s="111">
        <v>18</v>
      </c>
      <c r="C12">
        <f>'Resnet1ch t-test'!C4</f>
        <v>1</v>
      </c>
      <c r="D12">
        <f>'Resnet1ch t-test'!D4</f>
        <v>18</v>
      </c>
      <c r="E12">
        <f>'Resnet1ch t-test'!E4</f>
        <v>6</v>
      </c>
      <c r="F12">
        <f>'Resnet1ch t-test'!F4</f>
        <v>0.41237112879753102</v>
      </c>
      <c r="G12">
        <f>'Resnet1ch t-test'!G4</f>
        <v>0.82613962888717596</v>
      </c>
      <c r="H12">
        <f>'Resnet1ch t-test'!H4</f>
        <v>0.37366023659706099</v>
      </c>
      <c r="I12">
        <f>'Resnet1ch t-test'!I4</f>
        <v>0.52173912525177002</v>
      </c>
      <c r="J12">
        <f>'Resnet1ch t-test'!J4</f>
        <v>0.84867036342620805</v>
      </c>
      <c r="K12">
        <f>'Resnet1ch t-test'!K4</f>
        <v>0.49701082706451399</v>
      </c>
      <c r="L12">
        <f>'Resnet1ch t-test'!L4</f>
        <v>0.40601503849029502</v>
      </c>
      <c r="M12">
        <f>'Resnet1ch t-test'!M4</f>
        <v>0.83245998620986905</v>
      </c>
      <c r="N12">
        <f>'Resnet1ch t-test'!N4</f>
        <v>0.38715964555740301</v>
      </c>
      <c r="O12">
        <f>'Resnet1ch t-test'!O4</f>
        <v>0.44370859861373901</v>
      </c>
      <c r="P12">
        <f>'Resnet1ch t-test'!P4</f>
        <v>0.85996675491332997</v>
      </c>
      <c r="Q12">
        <f>'Resnet1ch t-test'!Q4</f>
        <v>0.39321514964103699</v>
      </c>
      <c r="T12" t="s">
        <v>83</v>
      </c>
      <c r="U12">
        <v>2.3533634348018233</v>
      </c>
      <c r="X12" t="s">
        <v>83</v>
      </c>
      <c r="Y12">
        <v>2.3533634348018233</v>
      </c>
      <c r="AB12" t="s">
        <v>83</v>
      </c>
      <c r="AC12">
        <v>2.3533634348018233</v>
      </c>
    </row>
    <row r="13" spans="1:30" x14ac:dyDescent="0.25">
      <c r="A13" s="105"/>
      <c r="B13" s="105"/>
      <c r="C13">
        <f>'Resnet1ch t-test'!C5</f>
        <v>2</v>
      </c>
      <c r="D13">
        <f>'Resnet1ch t-test'!D5</f>
        <v>4</v>
      </c>
      <c r="E13">
        <f>'Resnet1ch t-test'!E5</f>
        <v>8</v>
      </c>
      <c r="F13">
        <f>'Resnet1ch t-test'!F5</f>
        <v>0.40336135029792702</v>
      </c>
      <c r="G13">
        <f>'Resnet1ch t-test'!G5</f>
        <v>0.85889452695846502</v>
      </c>
      <c r="H13">
        <f>'Resnet1ch t-test'!H5</f>
        <v>0.35103896260261502</v>
      </c>
      <c r="I13">
        <f>'Resnet1ch t-test'!I5</f>
        <v>0.41379311680793701</v>
      </c>
      <c r="J13">
        <f>'Resnet1ch t-test'!J5</f>
        <v>0.88900679349899203</v>
      </c>
      <c r="K13">
        <f>'Resnet1ch t-test'!K5</f>
        <v>0.54354256391525202</v>
      </c>
      <c r="L13">
        <f>'Resnet1ch t-test'!L5</f>
        <v>0.36213991045951799</v>
      </c>
      <c r="M13">
        <f>'Resnet1ch t-test'!M5</f>
        <v>0.813964784145355</v>
      </c>
      <c r="N13">
        <f>'Resnet1ch t-test'!N5</f>
        <v>0.27334547042846602</v>
      </c>
      <c r="O13">
        <f>'Resnet1ch t-test'!O5</f>
        <v>0.39779004454612699</v>
      </c>
      <c r="P13">
        <f>'Resnet1ch t-test'!P5</f>
        <v>0.86401391029357899</v>
      </c>
      <c r="Q13">
        <f>'Resnet1ch t-test'!Q5</f>
        <v>0.44246089458465498</v>
      </c>
      <c r="T13" t="s">
        <v>84</v>
      </c>
      <c r="U13">
        <v>0.11814788132778115</v>
      </c>
      <c r="X13" t="s">
        <v>84</v>
      </c>
      <c r="Y13">
        <v>2.9919179217625186E-2</v>
      </c>
      <c r="AB13" t="s">
        <v>84</v>
      </c>
      <c r="AC13">
        <v>2.655874481797011E-2</v>
      </c>
    </row>
    <row r="14" spans="1:30" ht="15.75" thickBot="1" x14ac:dyDescent="0.3">
      <c r="A14" s="105"/>
      <c r="B14" s="105"/>
      <c r="C14">
        <f>'Resnet1ch t-test'!C6</f>
        <v>3</v>
      </c>
      <c r="D14">
        <f>'Resnet1ch t-test'!D6</f>
        <v>24</v>
      </c>
      <c r="E14">
        <f>'Resnet1ch t-test'!E6</f>
        <v>6</v>
      </c>
      <c r="F14">
        <f>'Resnet1ch t-test'!F6</f>
        <v>0.37442922592163003</v>
      </c>
      <c r="G14">
        <f>'Resnet1ch t-test'!G6</f>
        <v>0.846088826656341</v>
      </c>
      <c r="H14">
        <f>'Resnet1ch t-test'!H6</f>
        <v>0.34211677312850902</v>
      </c>
      <c r="I14">
        <f>'Resnet1ch t-test'!I6</f>
        <v>0.46540880203246998</v>
      </c>
      <c r="J14">
        <f>'Resnet1ch t-test'!J6</f>
        <v>0.84707576036453203</v>
      </c>
      <c r="K14">
        <f>'Resnet1ch t-test'!K6</f>
        <v>0.42528277635574302</v>
      </c>
      <c r="L14">
        <f>'Resnet1ch t-test'!L6</f>
        <v>0.33333334326744002</v>
      </c>
      <c r="M14">
        <f>'Resnet1ch t-test'!M6</f>
        <v>0.82397317886352495</v>
      </c>
      <c r="N14">
        <f>'Resnet1ch t-test'!N6</f>
        <v>0.33387562632560702</v>
      </c>
      <c r="O14">
        <f>'Resnet1ch t-test'!O6</f>
        <v>0.401129931211471</v>
      </c>
      <c r="P14">
        <f>'Resnet1ch t-test'!P6</f>
        <v>0.86666423082351596</v>
      </c>
      <c r="Q14">
        <f>'Resnet1ch t-test'!Q6</f>
        <v>0.392840266227722</v>
      </c>
      <c r="T14" s="16" t="s">
        <v>85</v>
      </c>
      <c r="U14" s="16">
        <v>3.1824463052837091</v>
      </c>
      <c r="V14" s="16"/>
      <c r="X14" s="16" t="s">
        <v>85</v>
      </c>
      <c r="Y14" s="16">
        <v>3.1824463052837091</v>
      </c>
      <c r="Z14" s="16"/>
      <c r="AB14" s="16" t="s">
        <v>85</v>
      </c>
      <c r="AC14" s="16">
        <v>3.1824463052837091</v>
      </c>
      <c r="AD14" s="16"/>
    </row>
    <row r="15" spans="1:30" x14ac:dyDescent="0.25">
      <c r="A15" s="105"/>
      <c r="B15" s="107"/>
      <c r="C15">
        <f>'Resnet1ch t-test'!C7</f>
        <v>4</v>
      </c>
      <c r="D15">
        <f>'Resnet1ch t-test'!D7</f>
        <v>29</v>
      </c>
      <c r="E15">
        <f>'Resnet1ch t-test'!E7</f>
        <v>8</v>
      </c>
      <c r="F15">
        <f>'Resnet1ch t-test'!F7</f>
        <v>0.45497629046440102</v>
      </c>
      <c r="G15">
        <f>'Resnet1ch t-test'!G7</f>
        <v>0.86467093229293801</v>
      </c>
      <c r="H15">
        <f>'Resnet1ch t-test'!H7</f>
        <v>0.495308518409729</v>
      </c>
      <c r="I15">
        <f>'Resnet1ch t-test'!I7</f>
        <v>0.47164177894592202</v>
      </c>
      <c r="J15">
        <f>'Resnet1ch t-test'!J7</f>
        <v>0.88942408561706499</v>
      </c>
      <c r="K15">
        <f>'Resnet1ch t-test'!K7</f>
        <v>0.50199639797210605</v>
      </c>
      <c r="L15">
        <f>'Resnet1ch t-test'!L7</f>
        <v>0.374502003192901</v>
      </c>
      <c r="M15">
        <f>'Resnet1ch t-test'!M7</f>
        <v>0.812730312347412</v>
      </c>
      <c r="N15">
        <f>'Resnet1ch t-test'!N7</f>
        <v>0.34888857603073098</v>
      </c>
      <c r="O15">
        <f>'Resnet1ch t-test'!O7</f>
        <v>0.40000000596046398</v>
      </c>
      <c r="P15">
        <f>'Resnet1ch t-test'!P7</f>
        <v>0.87003928422927801</v>
      </c>
      <c r="Q15">
        <f>'Resnet1ch t-test'!Q7</f>
        <v>0.42728608846664401</v>
      </c>
      <c r="T15" t="str">
        <f>IF(V4 &gt; U4, "Resnet &gt; ViViT", "Resnet &lt; ViViT")</f>
        <v>Resnet &gt; ViViT</v>
      </c>
      <c r="U15" s="171" t="str">
        <f>IF(U11 &lt; 0.05, "Significant", "Not Significant")</f>
        <v>Not Significant</v>
      </c>
      <c r="V15" s="171"/>
      <c r="X15" t="str">
        <f>IF(Z4 &gt; Y4, "Resnet &gt; ViViT", "Resnet &lt; ViViT")</f>
        <v>Resnet &gt; ViViT</v>
      </c>
      <c r="Y15" s="171" t="str">
        <f>IF(Y11 &lt; 0.05, "Significant", "Not Significant")</f>
        <v>Significant</v>
      </c>
      <c r="Z15" s="171"/>
      <c r="AB15" t="str">
        <f>IF(AD4 &gt; AC4, "Resnet &gt; ViViT", "Resnet &lt; ViViT")</f>
        <v>Resnet &gt; ViViT</v>
      </c>
      <c r="AC15" s="171" t="str">
        <f>IF(AC11 &lt; 0.05, "Significant", "Not Significant")</f>
        <v>Significant</v>
      </c>
      <c r="AD15" s="171"/>
    </row>
    <row r="16" spans="1:30" x14ac:dyDescent="0.25">
      <c r="A16" s="105"/>
      <c r="B16" s="103">
        <v>34</v>
      </c>
      <c r="C16">
        <f>'Resnet1ch t-test'!C8</f>
        <v>1</v>
      </c>
      <c r="D16">
        <f>'Resnet1ch t-test'!D8</f>
        <v>24</v>
      </c>
      <c r="E16">
        <f>'Resnet1ch t-test'!E8</f>
        <v>3</v>
      </c>
      <c r="F16">
        <f>'Resnet1ch t-test'!F8</f>
        <v>0.43097642064094499</v>
      </c>
      <c r="G16">
        <f>'Resnet1ch t-test'!G8</f>
        <v>0.84165871143340998</v>
      </c>
      <c r="H16">
        <f>'Resnet1ch t-test'!H8</f>
        <v>0.37042039632797202</v>
      </c>
      <c r="I16">
        <f>'Resnet1ch t-test'!I8</f>
        <v>0.48135593533515902</v>
      </c>
      <c r="J16">
        <f>'Resnet1ch t-test'!J8</f>
        <v>0.85361671447753895</v>
      </c>
      <c r="K16">
        <f>'Resnet1ch t-test'!K8</f>
        <v>0.38477489352226202</v>
      </c>
      <c r="L16">
        <f>'Resnet1ch t-test'!L8</f>
        <v>0.44518271088600098</v>
      </c>
      <c r="M16">
        <f>'Resnet1ch t-test'!M8</f>
        <v>0.83746600151062001</v>
      </c>
      <c r="N16">
        <f>'Resnet1ch t-test'!N8</f>
        <v>0.35077840089797901</v>
      </c>
      <c r="O16">
        <f>'Resnet1ch t-test'!O8</f>
        <v>0.44444444775581299</v>
      </c>
      <c r="P16">
        <f>'Resnet1ch t-test'!P8</f>
        <v>0.84364998340606601</v>
      </c>
      <c r="Q16">
        <f>'Resnet1ch t-test'!Q8</f>
        <v>0.351035356521606</v>
      </c>
      <c r="T16">
        <f>U11</f>
        <v>5.9073940663890573E-2</v>
      </c>
      <c r="U16" s="194"/>
      <c r="V16" s="194"/>
      <c r="X16">
        <f>Y11</f>
        <v>1.4959589608812593E-2</v>
      </c>
      <c r="Y16" s="194"/>
      <c r="Z16" s="194"/>
      <c r="AB16">
        <f>AC11</f>
        <v>1.3279372408985055E-2</v>
      </c>
      <c r="AC16" s="194"/>
      <c r="AD16" s="194"/>
    </row>
    <row r="17" spans="1:17" x14ac:dyDescent="0.25">
      <c r="A17" s="105"/>
      <c r="B17" s="105"/>
      <c r="C17">
        <f>'Resnet1ch t-test'!C9</f>
        <v>2</v>
      </c>
      <c r="D17">
        <f>'Resnet1ch t-test'!D9</f>
        <v>31</v>
      </c>
      <c r="E17">
        <f>'Resnet1ch t-test'!E9</f>
        <v>20</v>
      </c>
      <c r="F17">
        <f>'Resnet1ch t-test'!F9</f>
        <v>0.45736435055732699</v>
      </c>
      <c r="G17">
        <f>'Resnet1ch t-test'!G9</f>
        <v>0.86739140748977595</v>
      </c>
      <c r="H17">
        <f>'Resnet1ch t-test'!H9</f>
        <v>0.45576864480972201</v>
      </c>
      <c r="I17">
        <f>'Resnet1ch t-test'!I9</f>
        <v>0.48868778347969</v>
      </c>
      <c r="J17">
        <f>'Resnet1ch t-test'!J9</f>
        <v>0.89228439331054599</v>
      </c>
      <c r="K17">
        <f>'Resnet1ch t-test'!K9</f>
        <v>0.52881020307540805</v>
      </c>
      <c r="L17">
        <f>'Resnet1ch t-test'!L9</f>
        <v>0.33707866072654702</v>
      </c>
      <c r="M17">
        <f>'Resnet1ch t-test'!M9</f>
        <v>0.80572330951690596</v>
      </c>
      <c r="N17">
        <f>'Resnet1ch t-test'!N9</f>
        <v>0.30210384726524298</v>
      </c>
      <c r="O17">
        <f>'Resnet1ch t-test'!O9</f>
        <v>0.460317462682724</v>
      </c>
      <c r="P17">
        <f>'Resnet1ch t-test'!P9</f>
        <v>0.86284357309341397</v>
      </c>
      <c r="Q17">
        <f>'Resnet1ch t-test'!Q9</f>
        <v>0.40798449516296298</v>
      </c>
    </row>
    <row r="18" spans="1:17" x14ac:dyDescent="0.25">
      <c r="A18" s="105"/>
      <c r="B18" s="105"/>
      <c r="C18">
        <f>'Resnet1ch t-test'!C10</f>
        <v>3</v>
      </c>
      <c r="D18">
        <f>'Resnet1ch t-test'!D10</f>
        <v>45</v>
      </c>
      <c r="E18">
        <f>'Resnet1ch t-test'!E10</f>
        <v>10</v>
      </c>
      <c r="F18">
        <f>'Resnet1ch t-test'!F10</f>
        <v>0.47926267981529203</v>
      </c>
      <c r="G18">
        <f>'Resnet1ch t-test'!G10</f>
        <v>0.85060513019561701</v>
      </c>
      <c r="H18">
        <f>'Resnet1ch t-test'!H10</f>
        <v>0.44406235218048001</v>
      </c>
      <c r="I18">
        <f>'Resnet1ch t-test'!I10</f>
        <v>0.37037035822868303</v>
      </c>
      <c r="J18">
        <f>'Resnet1ch t-test'!J10</f>
        <v>0.86327779293060303</v>
      </c>
      <c r="K18">
        <f>'Resnet1ch t-test'!K10</f>
        <v>0.42630520462989802</v>
      </c>
      <c r="L18">
        <f>'Resnet1ch t-test'!L10</f>
        <v>0.38709676265716497</v>
      </c>
      <c r="M18">
        <f>'Resnet1ch t-test'!M10</f>
        <v>0.82949256896972601</v>
      </c>
      <c r="N18">
        <f>'Resnet1ch t-test'!N10</f>
        <v>0.378551036119461</v>
      </c>
      <c r="O18">
        <f>'Resnet1ch t-test'!O10</f>
        <v>0.31707316637039101</v>
      </c>
      <c r="P18">
        <f>'Resnet1ch t-test'!P10</f>
        <v>0.85711264610290505</v>
      </c>
      <c r="Q18">
        <f>'Resnet1ch t-test'!Q10</f>
        <v>0.405340135097503</v>
      </c>
    </row>
    <row r="19" spans="1:17" x14ac:dyDescent="0.25">
      <c r="A19" s="105"/>
      <c r="B19" s="107"/>
      <c r="C19">
        <f>'Resnet1ch t-test'!C11</f>
        <v>4</v>
      </c>
      <c r="D19">
        <f>'Resnet1ch t-test'!D11</f>
        <v>20</v>
      </c>
      <c r="E19">
        <f>'Resnet1ch t-test'!E11</f>
        <v>31</v>
      </c>
      <c r="F19">
        <f>'Resnet1ch t-test'!F11</f>
        <v>0.46231156587600702</v>
      </c>
      <c r="G19">
        <f>'Resnet1ch t-test'!G11</f>
        <v>0.86663621664047197</v>
      </c>
      <c r="H19">
        <f>'Resnet1ch t-test'!H11</f>
        <v>0.51087421178817705</v>
      </c>
      <c r="I19">
        <f>'Resnet1ch t-test'!I11</f>
        <v>0.50847458839416504</v>
      </c>
      <c r="J19">
        <f>'Resnet1ch t-test'!J11</f>
        <v>0.89585912227630604</v>
      </c>
      <c r="K19">
        <f>'Resnet1ch t-test'!K11</f>
        <v>0.49422031641006398</v>
      </c>
      <c r="L19">
        <f>'Resnet1ch t-test'!L11</f>
        <v>0.370731711387634</v>
      </c>
      <c r="M19">
        <f>'Resnet1ch t-test'!M11</f>
        <v>0.83450627326965299</v>
      </c>
      <c r="N19">
        <f>'Resnet1ch t-test'!N11</f>
        <v>0.36765474081039401</v>
      </c>
      <c r="O19">
        <f>'Resnet1ch t-test'!O11</f>
        <v>0.431095391511917</v>
      </c>
      <c r="P19">
        <f>'Resnet1ch t-test'!P11</f>
        <v>0.84563577175140303</v>
      </c>
      <c r="Q19">
        <f>'Resnet1ch t-test'!Q11</f>
        <v>0.38255935907363797</v>
      </c>
    </row>
    <row r="20" spans="1:17" x14ac:dyDescent="0.25">
      <c r="A20" s="105"/>
      <c r="B20" s="103">
        <v>50</v>
      </c>
      <c r="C20">
        <f>'Resnet1ch t-test'!C12</f>
        <v>1</v>
      </c>
      <c r="D20">
        <f>'Resnet1ch t-test'!D12</f>
        <v>13</v>
      </c>
      <c r="E20">
        <f>'Resnet1ch t-test'!E12</f>
        <v>20</v>
      </c>
      <c r="F20">
        <f>'Resnet1ch t-test'!F12</f>
        <v>0.41481480002403198</v>
      </c>
      <c r="G20">
        <f>'Resnet1ch t-test'!G12</f>
        <v>0.825838923454284</v>
      </c>
      <c r="H20">
        <f>'Resnet1ch t-test'!H12</f>
        <v>0.42227467894554099</v>
      </c>
      <c r="I20">
        <f>'Resnet1ch t-test'!I12</f>
        <v>0.430894315242767</v>
      </c>
      <c r="J20">
        <f>'Resnet1ch t-test'!J12</f>
        <v>0.85489863157272294</v>
      </c>
      <c r="K20">
        <f>'Resnet1ch t-test'!K12</f>
        <v>0.382311850786209</v>
      </c>
      <c r="L20">
        <f>'Resnet1ch t-test'!L12</f>
        <v>0.40701752901077198</v>
      </c>
      <c r="M20">
        <f>'Resnet1ch t-test'!M12</f>
        <v>0.86419510841369596</v>
      </c>
      <c r="N20">
        <f>'Resnet1ch t-test'!N12</f>
        <v>0.38425895571708601</v>
      </c>
      <c r="O20">
        <f>'Resnet1ch t-test'!O12</f>
        <v>0.47191011905670099</v>
      </c>
      <c r="P20">
        <f>'Resnet1ch t-test'!P12</f>
        <v>0.85637271404266302</v>
      </c>
      <c r="Q20">
        <f>'Resnet1ch t-test'!Q12</f>
        <v>0.49981117248535101</v>
      </c>
    </row>
    <row r="21" spans="1:17" x14ac:dyDescent="0.25">
      <c r="A21" s="105"/>
      <c r="B21" s="105"/>
      <c r="C21">
        <f>'Resnet1ch t-test'!C13</f>
        <v>2</v>
      </c>
      <c r="D21">
        <f>'Resnet1ch t-test'!D13</f>
        <v>25</v>
      </c>
      <c r="E21">
        <f>'Resnet1ch t-test'!E13</f>
        <v>4</v>
      </c>
      <c r="F21">
        <f>'Resnet1ch t-test'!F13</f>
        <v>0.34920635819435097</v>
      </c>
      <c r="G21">
        <f>'Resnet1ch t-test'!G13</f>
        <v>0.85023266077041604</v>
      </c>
      <c r="H21">
        <f>'Resnet1ch t-test'!H13</f>
        <v>0.41191568970680198</v>
      </c>
      <c r="I21">
        <f>'Resnet1ch t-test'!I13</f>
        <v>0.48760330677032399</v>
      </c>
      <c r="J21">
        <f>'Resnet1ch t-test'!J13</f>
        <v>0.90357160568237305</v>
      </c>
      <c r="K21">
        <f>'Resnet1ch t-test'!K13</f>
        <v>0.49297505617141701</v>
      </c>
      <c r="L21">
        <f>'Resnet1ch t-test'!L13</f>
        <v>0.34146341681480402</v>
      </c>
      <c r="M21">
        <f>'Resnet1ch t-test'!M13</f>
        <v>0.80423593521118097</v>
      </c>
      <c r="N21">
        <f>'Resnet1ch t-test'!N13</f>
        <v>0.30751499533653198</v>
      </c>
      <c r="O21">
        <f>'Resnet1ch t-test'!O13</f>
        <v>0.41245135664939803</v>
      </c>
      <c r="P21">
        <f>'Resnet1ch t-test'!P13</f>
        <v>0.85785257816314697</v>
      </c>
      <c r="Q21">
        <f>'Resnet1ch t-test'!Q13</f>
        <v>0.37971735000610302</v>
      </c>
    </row>
    <row r="22" spans="1:17" x14ac:dyDescent="0.25">
      <c r="A22" s="105"/>
      <c r="B22" s="105"/>
      <c r="C22">
        <f>'Resnet1ch t-test'!C14</f>
        <v>3</v>
      </c>
      <c r="D22">
        <f>'Resnet1ch t-test'!D14</f>
        <v>29</v>
      </c>
      <c r="E22">
        <f>'Resnet1ch t-test'!E14</f>
        <v>9</v>
      </c>
      <c r="F22">
        <f>'Resnet1ch t-test'!F14</f>
        <v>0.35532996058464</v>
      </c>
      <c r="G22">
        <f>'Resnet1ch t-test'!G14</f>
        <v>0.84073555469512895</v>
      </c>
      <c r="H22">
        <f>'Resnet1ch t-test'!H14</f>
        <v>0.41208741068839999</v>
      </c>
      <c r="I22">
        <f>'Resnet1ch t-test'!I14</f>
        <v>0.48068669438362099</v>
      </c>
      <c r="J22">
        <f>'Resnet1ch t-test'!J14</f>
        <v>0.85838246345519997</v>
      </c>
      <c r="K22">
        <f>'Resnet1ch t-test'!K14</f>
        <v>0.48779803514480502</v>
      </c>
      <c r="L22">
        <f>'Resnet1ch t-test'!L14</f>
        <v>0.31067961454391402</v>
      </c>
      <c r="M22">
        <f>'Resnet1ch t-test'!M14</f>
        <v>0.80970251560211104</v>
      </c>
      <c r="N22">
        <f>'Resnet1ch t-test'!N14</f>
        <v>0.29779574275016701</v>
      </c>
      <c r="O22">
        <f>'Resnet1ch t-test'!O14</f>
        <v>0.453237414360046</v>
      </c>
      <c r="P22">
        <f>'Resnet1ch t-test'!P14</f>
        <v>0.86078971624374301</v>
      </c>
      <c r="Q22">
        <f>'Resnet1ch t-test'!Q14</f>
        <v>0.46594262123107899</v>
      </c>
    </row>
    <row r="23" spans="1:17" ht="15.75" thickBot="1" x14ac:dyDescent="0.3">
      <c r="A23" s="107"/>
      <c r="B23" s="107"/>
      <c r="C23">
        <f>'Resnet1ch t-test'!C15</f>
        <v>4</v>
      </c>
      <c r="D23">
        <f>'Resnet1ch t-test'!D15</f>
        <v>16</v>
      </c>
      <c r="E23">
        <f>'Resnet1ch t-test'!E15</f>
        <v>8</v>
      </c>
      <c r="F23">
        <f>'Resnet1ch t-test'!F15</f>
        <v>0.46486485004424999</v>
      </c>
      <c r="G23">
        <f>'Resnet1ch t-test'!G15</f>
        <v>0.88147175312042203</v>
      </c>
      <c r="H23">
        <f>'Resnet1ch t-test'!H15</f>
        <v>0.49897056818008401</v>
      </c>
      <c r="I23">
        <f>'Resnet1ch t-test'!I15</f>
        <v>0.47468355298042297</v>
      </c>
      <c r="J23">
        <f>'Resnet1ch t-test'!J15</f>
        <v>0.89904934167861905</v>
      </c>
      <c r="K23">
        <f>'Resnet1ch t-test'!K15</f>
        <v>0.48348343372344899</v>
      </c>
      <c r="L23">
        <f>'Resnet1ch t-test'!L15</f>
        <v>0.33980581164360002</v>
      </c>
      <c r="M23">
        <f>'Resnet1ch t-test'!M15</f>
        <v>0.83089709281921298</v>
      </c>
      <c r="N23">
        <f>'Resnet1ch t-test'!N15</f>
        <v>0.316507518291473</v>
      </c>
      <c r="O23">
        <f>'Resnet1ch t-test'!O15</f>
        <v>0.434782594442367</v>
      </c>
      <c r="P23">
        <f>'Resnet1ch t-test'!P15</f>
        <v>0.87798994779586703</v>
      </c>
      <c r="Q23">
        <f>'Resnet1ch t-test'!Q15</f>
        <v>0.39214628934860202</v>
      </c>
    </row>
    <row r="24" spans="1:17" x14ac:dyDescent="0.25">
      <c r="A24" s="105" t="s">
        <v>23</v>
      </c>
      <c r="B24" s="111">
        <v>18</v>
      </c>
      <c r="C24">
        <f>'Resnet3ch t-test'!C4</f>
        <v>1</v>
      </c>
      <c r="D24">
        <f>'Resnet3ch t-test'!D4</f>
        <v>11</v>
      </c>
      <c r="E24">
        <f>'Resnet3ch t-test'!E4</f>
        <v>6</v>
      </c>
      <c r="F24">
        <f>'Resnet3ch t-test'!F4</f>
        <v>0.42804428935050898</v>
      </c>
      <c r="G24">
        <f>'Resnet3ch t-test'!G4</f>
        <v>0.84235513210296598</v>
      </c>
      <c r="H24">
        <f>'Resnet3ch t-test'!H4</f>
        <v>0.397595584392547</v>
      </c>
      <c r="I24">
        <f>'Resnet3ch t-test'!I4</f>
        <v>0.52173912525177002</v>
      </c>
      <c r="J24">
        <f>'Resnet3ch t-test'!J4</f>
        <v>0.84867036342620805</v>
      </c>
      <c r="K24">
        <f>'Resnet3ch t-test'!K4</f>
        <v>0.49701082706451399</v>
      </c>
      <c r="L24">
        <f>'Resnet3ch t-test'!L4</f>
        <v>0.35687732696533198</v>
      </c>
      <c r="M24">
        <f>'Resnet3ch t-test'!M4</f>
        <v>0.84149795770645097</v>
      </c>
      <c r="N24">
        <f>'Resnet3ch t-test'!N4</f>
        <v>0.35585039854049599</v>
      </c>
      <c r="O24" s="31">
        <f>'Resnet3ch t-test'!O4</f>
        <v>0.44370859861373901</v>
      </c>
      <c r="P24" s="31">
        <f>'Resnet3ch t-test'!P4</f>
        <v>0.85996675491332997</v>
      </c>
      <c r="Q24" s="31">
        <f>'Resnet3ch t-test'!Q4</f>
        <v>0.39321514964103699</v>
      </c>
    </row>
    <row r="25" spans="1:17" x14ac:dyDescent="0.25">
      <c r="A25" s="105"/>
      <c r="B25" s="105"/>
      <c r="C25">
        <f>'Resnet3ch t-test'!C5</f>
        <v>2</v>
      </c>
      <c r="D25">
        <f>'Resnet3ch t-test'!D5</f>
        <v>7</v>
      </c>
      <c r="E25">
        <f>'Resnet3ch t-test'!E5</f>
        <v>8</v>
      </c>
      <c r="F25">
        <f>'Resnet3ch t-test'!F5</f>
        <v>0.37864077091217002</v>
      </c>
      <c r="G25">
        <f>'Resnet3ch t-test'!G5</f>
        <v>0.85435140132903997</v>
      </c>
      <c r="H25">
        <f>'Resnet3ch t-test'!H5</f>
        <v>0.363403290510177</v>
      </c>
      <c r="I25">
        <f>'Resnet3ch t-test'!I5</f>
        <v>0.41379311680793701</v>
      </c>
      <c r="J25">
        <f>'Resnet3ch t-test'!J5</f>
        <v>0.88900679349899203</v>
      </c>
      <c r="K25">
        <f>'Resnet3ch t-test'!K5</f>
        <v>0.54354256391525202</v>
      </c>
      <c r="L25">
        <f>'Resnet3ch t-test'!L5</f>
        <v>0.33777776360511702</v>
      </c>
      <c r="M25">
        <f>'Resnet3ch t-test'!M5</f>
        <v>0.80677282810211104</v>
      </c>
      <c r="N25">
        <f>'Resnet3ch t-test'!N5</f>
        <v>0.269260644912719</v>
      </c>
      <c r="O25" s="31">
        <f>'Resnet3ch t-test'!O5</f>
        <v>0.39779004454612699</v>
      </c>
      <c r="P25" s="31">
        <f>'Resnet3ch t-test'!P5</f>
        <v>0.86401391029357899</v>
      </c>
      <c r="Q25" s="31">
        <f>'Resnet3ch t-test'!Q5</f>
        <v>0.44246089458465498</v>
      </c>
    </row>
    <row r="26" spans="1:17" x14ac:dyDescent="0.25">
      <c r="A26" s="105"/>
      <c r="B26" s="105"/>
      <c r="C26">
        <f>'Resnet3ch t-test'!C6</f>
        <v>3</v>
      </c>
      <c r="D26">
        <f>'Resnet3ch t-test'!D6</f>
        <v>25</v>
      </c>
      <c r="E26">
        <f>'Resnet3ch t-test'!E6</f>
        <v>6</v>
      </c>
      <c r="F26">
        <f>'Resnet3ch t-test'!F6</f>
        <v>0.380952388048172</v>
      </c>
      <c r="G26">
        <f>'Resnet3ch t-test'!G6</f>
        <v>0.84852075576782204</v>
      </c>
      <c r="H26">
        <f>'Resnet3ch t-test'!H6</f>
        <v>0.37949493527412398</v>
      </c>
      <c r="I26">
        <f>'Resnet3ch t-test'!I6</f>
        <v>0.46540880203246998</v>
      </c>
      <c r="J26">
        <f>'Resnet3ch t-test'!J6</f>
        <v>0.84707576036453203</v>
      </c>
      <c r="K26">
        <f>'Resnet3ch t-test'!K6</f>
        <v>0.42528277635574302</v>
      </c>
      <c r="L26">
        <f>'Resnet3ch t-test'!L6</f>
        <v>0.35051545500755299</v>
      </c>
      <c r="M26">
        <f>'Resnet3ch t-test'!M6</f>
        <v>0.83388704061508101</v>
      </c>
      <c r="N26">
        <f>'Resnet3ch t-test'!N6</f>
        <v>0.32921004295349099</v>
      </c>
      <c r="O26" s="31">
        <f>'Resnet3ch t-test'!O6</f>
        <v>0.401129931211471</v>
      </c>
      <c r="P26" s="31">
        <f>'Resnet3ch t-test'!P6</f>
        <v>0.86666423082351596</v>
      </c>
      <c r="Q26" s="31">
        <f>'Resnet3ch t-test'!Q6</f>
        <v>0.392840266227722</v>
      </c>
    </row>
    <row r="27" spans="1:17" x14ac:dyDescent="0.25">
      <c r="A27" s="105"/>
      <c r="B27" s="107"/>
      <c r="C27">
        <f>'Resnet3ch t-test'!C7</f>
        <v>4</v>
      </c>
      <c r="D27">
        <f>'Resnet3ch t-test'!D7</f>
        <v>19</v>
      </c>
      <c r="E27">
        <f>'Resnet3ch t-test'!E7</f>
        <v>8</v>
      </c>
      <c r="F27">
        <f>'Resnet3ch t-test'!F7</f>
        <v>0.46896553039550698</v>
      </c>
      <c r="G27">
        <f>'Resnet3ch t-test'!G7</f>
        <v>0.87818098068237305</v>
      </c>
      <c r="H27">
        <f>'Resnet3ch t-test'!H7</f>
        <v>0.48726895451545699</v>
      </c>
      <c r="I27">
        <f>'Resnet3ch t-test'!I7</f>
        <v>0.47164177894592202</v>
      </c>
      <c r="J27">
        <f>'Resnet3ch t-test'!J7</f>
        <v>0.88942408561706499</v>
      </c>
      <c r="K27">
        <f>'Resnet3ch t-test'!K7</f>
        <v>0.50199639797210605</v>
      </c>
      <c r="L27">
        <f>'Resnet3ch t-test'!L7</f>
        <v>0.37900874018669101</v>
      </c>
      <c r="M27">
        <f>'Resnet3ch t-test'!M7</f>
        <v>0.84830111265182495</v>
      </c>
      <c r="N27">
        <f>'Resnet3ch t-test'!N7</f>
        <v>0.36820226907730103</v>
      </c>
      <c r="O27" s="31">
        <f>'Resnet3ch t-test'!O7</f>
        <v>0.40000000596046398</v>
      </c>
      <c r="P27" s="31">
        <f>'Resnet3ch t-test'!P7</f>
        <v>0.87003928422927801</v>
      </c>
      <c r="Q27" s="31">
        <f>'Resnet3ch t-test'!Q7</f>
        <v>0.42728608846664401</v>
      </c>
    </row>
    <row r="28" spans="1:17" x14ac:dyDescent="0.25">
      <c r="A28" s="105"/>
      <c r="B28" s="103">
        <v>34</v>
      </c>
      <c r="C28">
        <f>'Resnet3ch t-test'!C8</f>
        <v>1</v>
      </c>
      <c r="D28">
        <f>'Resnet3ch t-test'!D8</f>
        <v>24</v>
      </c>
      <c r="E28">
        <f>'Resnet3ch t-test'!E8</f>
        <v>3</v>
      </c>
      <c r="F28">
        <f>'Resnet3ch t-test'!F8</f>
        <v>0.44303798675537098</v>
      </c>
      <c r="G28">
        <f>'Resnet3ch t-test'!G8</f>
        <v>0.85094964504241899</v>
      </c>
      <c r="H28">
        <f>'Resnet3ch t-test'!H8</f>
        <v>0.37610369920730502</v>
      </c>
      <c r="I28">
        <f>'Resnet3ch t-test'!I8</f>
        <v>0.48135593533515902</v>
      </c>
      <c r="J28">
        <f>'Resnet3ch t-test'!J8</f>
        <v>0.85361671447753895</v>
      </c>
      <c r="K28">
        <f>'Resnet3ch t-test'!K8</f>
        <v>0.38477489352226202</v>
      </c>
      <c r="L28">
        <f>'Resnet3ch t-test'!L8</f>
        <v>0.422712922096252</v>
      </c>
      <c r="M28">
        <f>'Resnet3ch t-test'!M8</f>
        <v>0.842426717281341</v>
      </c>
      <c r="N28">
        <f>'Resnet3ch t-test'!N8</f>
        <v>0.362184077501297</v>
      </c>
      <c r="O28">
        <f>'Resnet3ch t-test'!O8</f>
        <v>0.44444444775581299</v>
      </c>
      <c r="P28">
        <f>'Resnet3ch t-test'!P8</f>
        <v>0.84364998340606601</v>
      </c>
      <c r="Q28">
        <f>'Resnet3ch t-test'!Q8</f>
        <v>0.351035356521606</v>
      </c>
    </row>
    <row r="29" spans="1:17" x14ac:dyDescent="0.25">
      <c r="A29" s="105"/>
      <c r="B29" s="105"/>
      <c r="C29">
        <f>'Resnet3ch t-test'!C9</f>
        <v>2</v>
      </c>
      <c r="D29">
        <f>'Resnet3ch t-test'!D9</f>
        <v>21</v>
      </c>
      <c r="E29">
        <f>'Resnet3ch t-test'!E9</f>
        <v>20</v>
      </c>
      <c r="F29">
        <f>'Resnet3ch t-test'!F9</f>
        <v>0.45945945382118197</v>
      </c>
      <c r="G29">
        <f>'Resnet3ch t-test'!G9</f>
        <v>0.87553453445434504</v>
      </c>
      <c r="H29">
        <f>'Resnet3ch t-test'!H9</f>
        <v>0.44040283560752802</v>
      </c>
      <c r="I29">
        <f>'Resnet3ch t-test'!I9</f>
        <v>0.48868778347969</v>
      </c>
      <c r="J29">
        <f>'Resnet3ch t-test'!J9</f>
        <v>0.89228439331054599</v>
      </c>
      <c r="K29">
        <f>'Resnet3ch t-test'!K9</f>
        <v>0.52881020307540805</v>
      </c>
      <c r="L29">
        <f>'Resnet3ch t-test'!L9</f>
        <v>0.35102039575576699</v>
      </c>
      <c r="M29">
        <f>'Resnet3ch t-test'!M9</f>
        <v>0.83720934391021695</v>
      </c>
      <c r="N29">
        <f>'Resnet3ch t-test'!N9</f>
        <v>0.345467388629913</v>
      </c>
      <c r="O29">
        <f>'Resnet3ch t-test'!O9</f>
        <v>0.460317462682724</v>
      </c>
      <c r="P29">
        <f>'Resnet3ch t-test'!P9</f>
        <v>0.86284357309341397</v>
      </c>
      <c r="Q29">
        <f>'Resnet3ch t-test'!Q9</f>
        <v>0.40798449516296298</v>
      </c>
    </row>
    <row r="30" spans="1:17" x14ac:dyDescent="0.25">
      <c r="A30" s="105"/>
      <c r="B30" s="105"/>
      <c r="C30">
        <f>'Resnet3ch t-test'!C10</f>
        <v>3</v>
      </c>
      <c r="D30">
        <f>'Resnet3ch t-test'!D10</f>
        <v>48</v>
      </c>
      <c r="E30">
        <f>'Resnet3ch t-test'!E10</f>
        <v>10</v>
      </c>
      <c r="F30">
        <f>'Resnet3ch t-test'!F10</f>
        <v>0.41904762387275601</v>
      </c>
      <c r="G30">
        <f>'Resnet3ch t-test'!G10</f>
        <v>0.85144215822219804</v>
      </c>
      <c r="H30">
        <f>'Resnet3ch t-test'!H10</f>
        <v>0.40989235043525601</v>
      </c>
      <c r="I30">
        <f>'Resnet3ch t-test'!I10</f>
        <v>0.37037035822868303</v>
      </c>
      <c r="J30">
        <f>'Resnet3ch t-test'!J10</f>
        <v>0.86327779293060303</v>
      </c>
      <c r="K30">
        <f>'Resnet3ch t-test'!K10</f>
        <v>0.42630520462989802</v>
      </c>
      <c r="L30">
        <f>'Resnet3ch t-test'!L10</f>
        <v>0.33497536182403498</v>
      </c>
      <c r="M30">
        <f>'Resnet3ch t-test'!M10</f>
        <v>0.796375691890716</v>
      </c>
      <c r="N30">
        <f>'Resnet3ch t-test'!N10</f>
        <v>0.305653095245361</v>
      </c>
      <c r="O30">
        <f>'Resnet3ch t-test'!O10</f>
        <v>0.31707316637039101</v>
      </c>
      <c r="P30">
        <f>'Resnet3ch t-test'!P10</f>
        <v>0.85711264610290505</v>
      </c>
      <c r="Q30">
        <f>'Resnet3ch t-test'!Q10</f>
        <v>0.405340135097503</v>
      </c>
    </row>
    <row r="31" spans="1:17" x14ac:dyDescent="0.25">
      <c r="A31" s="105"/>
      <c r="B31" s="107"/>
      <c r="C31">
        <f>'Resnet3ch t-test'!C11</f>
        <v>4</v>
      </c>
      <c r="D31">
        <f>'Resnet3ch t-test'!D11</f>
        <v>33</v>
      </c>
      <c r="E31">
        <f>'Resnet3ch t-test'!E11</f>
        <v>31</v>
      </c>
      <c r="F31">
        <f>'Resnet3ch t-test'!F11</f>
        <v>0.487394958734512</v>
      </c>
      <c r="G31">
        <f>'Resnet3ch t-test'!G11</f>
        <v>0.86129802465438798</v>
      </c>
      <c r="H31">
        <f>'Resnet3ch t-test'!H11</f>
        <v>0.50594079494476296</v>
      </c>
      <c r="I31">
        <f>'Resnet3ch t-test'!I11</f>
        <v>0.50847458839416504</v>
      </c>
      <c r="J31">
        <f>'Resnet3ch t-test'!J11</f>
        <v>0.89585912227630604</v>
      </c>
      <c r="K31">
        <f>'Resnet3ch t-test'!K11</f>
        <v>0.49422031641006398</v>
      </c>
      <c r="L31">
        <f>'Resnet3ch t-test'!L11</f>
        <v>0.38951310515403698</v>
      </c>
      <c r="M31">
        <f>'Resnet3ch t-test'!M11</f>
        <v>0.83793413639068604</v>
      </c>
      <c r="N31">
        <f>'Resnet3ch t-test'!N11</f>
        <v>0.357453793287277</v>
      </c>
      <c r="O31">
        <f>'Resnet3ch t-test'!O11</f>
        <v>0.431095391511917</v>
      </c>
      <c r="P31">
        <f>'Resnet3ch t-test'!P11</f>
        <v>0.84563577175140303</v>
      </c>
      <c r="Q31">
        <f>'Resnet3ch t-test'!Q11</f>
        <v>0.38255935907363797</v>
      </c>
    </row>
    <row r="32" spans="1:17" x14ac:dyDescent="0.25">
      <c r="A32" s="105"/>
      <c r="B32" s="103">
        <v>50</v>
      </c>
      <c r="C32">
        <f>'Resnet3ch t-test'!C12</f>
        <v>1</v>
      </c>
      <c r="D32">
        <f>'Resnet3ch t-test'!D12</f>
        <v>8</v>
      </c>
      <c r="E32">
        <f>'Resnet3ch t-test'!E12</f>
        <v>20</v>
      </c>
      <c r="F32">
        <f>'Resnet3ch t-test'!F12</f>
        <v>0.20408163964748299</v>
      </c>
      <c r="G32">
        <f>'Resnet3ch t-test'!G12</f>
        <v>0.81001901626586903</v>
      </c>
      <c r="H32">
        <f>'Resnet3ch t-test'!H12</f>
        <v>0.39950579404830899</v>
      </c>
      <c r="I32">
        <f>'Resnet3ch t-test'!I12</f>
        <v>0.430894315242767</v>
      </c>
      <c r="J32">
        <f>'Resnet3ch t-test'!J12</f>
        <v>0.85489863157272294</v>
      </c>
      <c r="K32">
        <f>'Resnet3ch t-test'!K12</f>
        <v>0.382311850786209</v>
      </c>
      <c r="L32">
        <f>'Resnet3ch t-test'!L12</f>
        <v>0.170542642474174</v>
      </c>
      <c r="M32">
        <f>'Resnet3ch t-test'!M12</f>
        <v>0.80191028118133501</v>
      </c>
      <c r="N32">
        <f>'Resnet3ch t-test'!N12</f>
        <v>0.330825746059417</v>
      </c>
      <c r="O32">
        <f>'Resnet3ch t-test'!O12</f>
        <v>0.47191011905670099</v>
      </c>
      <c r="P32">
        <f>'Resnet3ch t-test'!P12</f>
        <v>0.85637271404266302</v>
      </c>
      <c r="Q32">
        <f>'Resnet3ch t-test'!Q12</f>
        <v>0.49981117248535101</v>
      </c>
    </row>
    <row r="33" spans="1:17" x14ac:dyDescent="0.25">
      <c r="A33" s="105"/>
      <c r="B33" s="105"/>
      <c r="C33">
        <f>'Resnet3ch t-test'!C13</f>
        <v>2</v>
      </c>
      <c r="D33">
        <f>'Resnet3ch t-test'!D13</f>
        <v>15</v>
      </c>
      <c r="E33">
        <f>'Resnet3ch t-test'!E13</f>
        <v>4</v>
      </c>
      <c r="F33">
        <f>'Resnet3ch t-test'!F13</f>
        <v>0.33333334326744002</v>
      </c>
      <c r="G33">
        <f>'Resnet3ch t-test'!G13</f>
        <v>0.87028390169143599</v>
      </c>
      <c r="H33">
        <f>'Resnet3ch t-test'!H13</f>
        <v>0.48008829355239802</v>
      </c>
      <c r="I33">
        <f>'Resnet3ch t-test'!I13</f>
        <v>0.48760330677032399</v>
      </c>
      <c r="J33">
        <f>'Resnet3ch t-test'!J13</f>
        <v>0.90357160568237305</v>
      </c>
      <c r="K33">
        <f>'Resnet3ch t-test'!K13</f>
        <v>0.49297505617141701</v>
      </c>
      <c r="L33">
        <f>'Resnet3ch t-test'!L13</f>
        <v>0.22972972691059099</v>
      </c>
      <c r="M33">
        <f>'Resnet3ch t-test'!M13</f>
        <v>0.821707904338836</v>
      </c>
      <c r="N33">
        <f>'Resnet3ch t-test'!N13</f>
        <v>0.33657336235046298</v>
      </c>
      <c r="O33">
        <f>'Resnet3ch t-test'!O13</f>
        <v>0.41245135664939803</v>
      </c>
      <c r="P33">
        <f>'Resnet3ch t-test'!P13</f>
        <v>0.85785257816314697</v>
      </c>
      <c r="Q33">
        <f>'Resnet3ch t-test'!Q13</f>
        <v>0.37971735000610302</v>
      </c>
    </row>
    <row r="34" spans="1:17" x14ac:dyDescent="0.25">
      <c r="A34" s="105"/>
      <c r="B34" s="105"/>
      <c r="C34">
        <f>'Resnet3ch t-test'!C14</f>
        <v>3</v>
      </c>
      <c r="D34">
        <f>'Resnet3ch t-test'!D14</f>
        <v>14</v>
      </c>
      <c r="E34">
        <f>'Resnet3ch t-test'!E14</f>
        <v>9</v>
      </c>
      <c r="F34">
        <f>'Resnet3ch t-test'!F14</f>
        <v>0.27586206793785001</v>
      </c>
      <c r="G34">
        <f>'Resnet3ch t-test'!G14</f>
        <v>0.84948408603668202</v>
      </c>
      <c r="H34">
        <f>'Resnet3ch t-test'!H14</f>
        <v>0.395836651325225</v>
      </c>
      <c r="I34">
        <f>'Resnet3ch t-test'!I14</f>
        <v>0.48068669438362099</v>
      </c>
      <c r="J34">
        <f>'Resnet3ch t-test'!J14</f>
        <v>0.85838246345519997</v>
      </c>
      <c r="K34">
        <f>'Resnet3ch t-test'!K14</f>
        <v>0.48779803514480502</v>
      </c>
      <c r="L34">
        <f>'Resnet3ch t-test'!L14</f>
        <v>0.272727280855178</v>
      </c>
      <c r="M34">
        <f>'Resnet3ch t-test'!M14</f>
        <v>0.844623982906341</v>
      </c>
      <c r="N34">
        <f>'Resnet3ch t-test'!N14</f>
        <v>0.33928376436233498</v>
      </c>
      <c r="O34">
        <f>'Resnet3ch t-test'!O14</f>
        <v>0.453237414360046</v>
      </c>
      <c r="P34">
        <f>'Resnet3ch t-test'!P14</f>
        <v>0.86078971624374301</v>
      </c>
      <c r="Q34">
        <f>'Resnet3ch t-test'!Q14</f>
        <v>0.46594262123107899</v>
      </c>
    </row>
    <row r="35" spans="1:17" x14ac:dyDescent="0.25">
      <c r="A35" s="107"/>
      <c r="B35" s="107"/>
      <c r="C35">
        <f>'Resnet3ch t-test'!C15</f>
        <v>4</v>
      </c>
      <c r="D35">
        <f>'Resnet3ch t-test'!D15</f>
        <v>17</v>
      </c>
      <c r="E35">
        <f>'Resnet3ch t-test'!E15</f>
        <v>8</v>
      </c>
      <c r="F35">
        <f>'Resnet3ch t-test'!F15</f>
        <v>0.404109597206115</v>
      </c>
      <c r="G35">
        <f>'Resnet3ch t-test'!G15</f>
        <v>0.85933279991149902</v>
      </c>
      <c r="H35">
        <f>'Resnet3ch t-test'!H15</f>
        <v>0.43972122669219899</v>
      </c>
      <c r="I35">
        <f>'Resnet3ch t-test'!I15</f>
        <v>0.47468355298042297</v>
      </c>
      <c r="J35">
        <f>'Resnet3ch t-test'!J15</f>
        <v>0.89904934167861905</v>
      </c>
      <c r="K35">
        <f>'Resnet3ch t-test'!K15</f>
        <v>0.48348343372344899</v>
      </c>
      <c r="L35">
        <f>'Resnet3ch t-test'!L15</f>
        <v>0.37209302186965898</v>
      </c>
      <c r="M35">
        <f>'Resnet3ch t-test'!M15</f>
        <v>0.84529596567153897</v>
      </c>
      <c r="N35">
        <f>'Resnet3ch t-test'!N15</f>
        <v>0.28834438323974598</v>
      </c>
      <c r="O35">
        <f>'Resnet3ch t-test'!O15</f>
        <v>0.434782594442367</v>
      </c>
      <c r="P35">
        <f>'Resnet3ch t-test'!P15</f>
        <v>0.87798994779586703</v>
      </c>
      <c r="Q35">
        <f>'Resnet3ch t-test'!Q15</f>
        <v>0.39214628934860202</v>
      </c>
    </row>
  </sheetData>
  <mergeCells count="33">
    <mergeCell ref="L1:Q1"/>
    <mergeCell ref="A2:A3"/>
    <mergeCell ref="B2:B3"/>
    <mergeCell ref="D2:D3"/>
    <mergeCell ref="E2:E3"/>
    <mergeCell ref="F2:H2"/>
    <mergeCell ref="B20:B23"/>
    <mergeCell ref="A1:B1"/>
    <mergeCell ref="C1:C3"/>
    <mergeCell ref="D1:E1"/>
    <mergeCell ref="F1:K1"/>
    <mergeCell ref="T1:AD1"/>
    <mergeCell ref="X2:Z2"/>
    <mergeCell ref="T2:V2"/>
    <mergeCell ref="AB2:AD2"/>
    <mergeCell ref="A24:A35"/>
    <mergeCell ref="B24:B27"/>
    <mergeCell ref="B28:B31"/>
    <mergeCell ref="B32:B35"/>
    <mergeCell ref="I2:K2"/>
    <mergeCell ref="L2:N2"/>
    <mergeCell ref="O2:Q2"/>
    <mergeCell ref="A4:B7"/>
    <mergeCell ref="A8:B11"/>
    <mergeCell ref="A12:A23"/>
    <mergeCell ref="B12:B15"/>
    <mergeCell ref="B16:B19"/>
    <mergeCell ref="U15:V15"/>
    <mergeCell ref="Y15:Z15"/>
    <mergeCell ref="AC15:AD15"/>
    <mergeCell ref="U16:V16"/>
    <mergeCell ref="Y16:Z16"/>
    <mergeCell ref="AC16:AD16"/>
  </mergeCells>
  <conditionalFormatting sqref="T15">
    <cfRule type="containsText" dxfId="391" priority="17" operator="containsText" text="&lt;">
      <formula>NOT(ISERROR(SEARCH("&lt;",T15)))</formula>
    </cfRule>
    <cfRule type="containsText" dxfId="390" priority="18" operator="containsText" text="&gt;">
      <formula>NOT(ISERROR(SEARCH("&gt;",T15)))</formula>
    </cfRule>
  </conditionalFormatting>
  <conditionalFormatting sqref="U15:V15">
    <cfRule type="cellIs" dxfId="389" priority="19" operator="equal">
      <formula>"Significant"</formula>
    </cfRule>
    <cfRule type="containsText" dxfId="388" priority="20" operator="containsText" text="Not">
      <formula>NOT(ISERROR(SEARCH("Not",U15)))</formula>
    </cfRule>
  </conditionalFormatting>
  <conditionalFormatting sqref="X15">
    <cfRule type="containsText" dxfId="387" priority="5" operator="containsText" text="&lt;">
      <formula>NOT(ISERROR(SEARCH("&lt;",X15)))</formula>
    </cfRule>
    <cfRule type="containsText" dxfId="386" priority="6" operator="containsText" text="&gt;">
      <formula>NOT(ISERROR(SEARCH("&gt;",X15)))</formula>
    </cfRule>
  </conditionalFormatting>
  <conditionalFormatting sqref="Y15:Z15">
    <cfRule type="cellIs" dxfId="385" priority="7" operator="equal">
      <formula>"Significant"</formula>
    </cfRule>
    <cfRule type="containsText" dxfId="384" priority="8" operator="containsText" text="Not">
      <formula>NOT(ISERROR(SEARCH("Not",Y15)))</formula>
    </cfRule>
  </conditionalFormatting>
  <conditionalFormatting sqref="AB15">
    <cfRule type="containsText" dxfId="383" priority="1" operator="containsText" text="&lt;">
      <formula>NOT(ISERROR(SEARCH("&lt;",AB15)))</formula>
    </cfRule>
    <cfRule type="containsText" dxfId="382" priority="2" operator="containsText" text="&gt;">
      <formula>NOT(ISERROR(SEARCH("&gt;",AB15)))</formula>
    </cfRule>
  </conditionalFormatting>
  <conditionalFormatting sqref="AC15:AD15">
    <cfRule type="cellIs" dxfId="381" priority="3" operator="equal">
      <formula>"Significant"</formula>
    </cfRule>
    <cfRule type="containsText" dxfId="380" priority="4" operator="containsText" text="Not">
      <formula>NOT(ISERROR(SEARCH("Not",AC15)))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4AB7-2DE5-4AD8-BCDF-0A4858E0C4EC}">
  <sheetPr>
    <tabColor theme="8" tint="0.39997558519241921"/>
  </sheetPr>
  <dimension ref="A1:AB204"/>
  <sheetViews>
    <sheetView topLeftCell="A40" zoomScaleNormal="100" workbookViewId="0">
      <selection activeCell="AA90" sqref="AA90"/>
    </sheetView>
  </sheetViews>
  <sheetFormatPr defaultRowHeight="15" x14ac:dyDescent="0.25"/>
  <cols>
    <col min="1" max="1" width="15" customWidth="1"/>
    <col min="2" max="2" width="16.7109375" bestFit="1" customWidth="1"/>
    <col min="3" max="3" width="15.7109375" bestFit="1" customWidth="1"/>
    <col min="16" max="16" width="14.42578125" customWidth="1"/>
    <col min="17" max="17" width="13.7109375" customWidth="1"/>
    <col min="18" max="18" width="27.42578125" customWidth="1"/>
    <col min="22" max="22" width="27.7109375" customWidth="1"/>
    <col min="26" max="26" width="27.85546875" customWidth="1"/>
  </cols>
  <sheetData>
    <row r="1" spans="1:28" x14ac:dyDescent="0.25">
      <c r="A1" s="126" t="s">
        <v>0</v>
      </c>
      <c r="B1" s="128"/>
      <c r="C1" s="126" t="s">
        <v>12</v>
      </c>
      <c r="D1" s="164" t="s">
        <v>95</v>
      </c>
      <c r="E1" s="165"/>
      <c r="F1" s="165"/>
      <c r="G1" s="165"/>
      <c r="H1" s="165"/>
      <c r="I1" s="165"/>
      <c r="P1" s="105" t="s">
        <v>18</v>
      </c>
      <c r="Q1" s="105">
        <v>18</v>
      </c>
      <c r="R1" s="194" t="s">
        <v>4</v>
      </c>
      <c r="S1" s="194"/>
      <c r="T1" s="194"/>
      <c r="U1" s="15"/>
      <c r="V1" s="194" t="s">
        <v>5</v>
      </c>
      <c r="W1" s="194"/>
      <c r="X1" s="194"/>
      <c r="Y1" s="15"/>
      <c r="Z1" s="194" t="s">
        <v>70</v>
      </c>
      <c r="AA1" s="194"/>
      <c r="AB1" s="194"/>
    </row>
    <row r="2" spans="1:28" ht="15.75" thickBot="1" x14ac:dyDescent="0.3">
      <c r="A2" s="126" t="s">
        <v>16</v>
      </c>
      <c r="B2" s="128" t="s">
        <v>17</v>
      </c>
      <c r="C2" s="126"/>
      <c r="D2" s="162" t="s">
        <v>19</v>
      </c>
      <c r="E2" s="162"/>
      <c r="F2" s="162"/>
      <c r="G2" s="163" t="s">
        <v>71</v>
      </c>
      <c r="H2" s="163"/>
      <c r="I2" s="163"/>
      <c r="P2" s="105"/>
      <c r="Q2" s="105"/>
    </row>
    <row r="3" spans="1:28" ht="15.75" thickBot="1" x14ac:dyDescent="0.3">
      <c r="A3" s="127"/>
      <c r="B3" s="129"/>
      <c r="C3" s="127"/>
      <c r="D3" s="20" t="s">
        <v>4</v>
      </c>
      <c r="E3" s="20" t="s">
        <v>5</v>
      </c>
      <c r="F3" s="20" t="s">
        <v>70</v>
      </c>
      <c r="G3" s="21" t="s">
        <v>4</v>
      </c>
      <c r="H3" s="20" t="s">
        <v>5</v>
      </c>
      <c r="I3" s="20" t="s">
        <v>70</v>
      </c>
      <c r="P3" s="105"/>
      <c r="Q3" s="105"/>
      <c r="R3" s="17"/>
      <c r="S3" s="17" t="s">
        <v>19</v>
      </c>
      <c r="T3" s="17" t="s">
        <v>71</v>
      </c>
      <c r="V3" s="17"/>
      <c r="W3" s="17" t="s">
        <v>19</v>
      </c>
      <c r="X3" s="17" t="s">
        <v>71</v>
      </c>
      <c r="Z3" s="17"/>
      <c r="AA3" s="17" t="s">
        <v>19</v>
      </c>
      <c r="AB3" s="17" t="s">
        <v>71</v>
      </c>
    </row>
    <row r="4" spans="1:28" x14ac:dyDescent="0.25">
      <c r="A4" s="111" t="s">
        <v>18</v>
      </c>
      <c r="B4" s="111">
        <v>18</v>
      </c>
      <c r="C4" s="11">
        <v>1</v>
      </c>
      <c r="D4">
        <f>'Table for t-test'!R4</f>
        <v>-1.4676928520201971E-2</v>
      </c>
      <c r="E4">
        <f>'Table for t-test'!S4</f>
        <v>-2.6960492134094016E-2</v>
      </c>
      <c r="F4">
        <f>'Table for t-test'!T4</f>
        <v>-7.8337192535401001E-2</v>
      </c>
      <c r="G4">
        <f>'Table for t-test'!U4</f>
        <v>4.5910626649857011E-2</v>
      </c>
      <c r="H4">
        <f>'Table for t-test'!V4</f>
        <v>1.1311531066895086E-2</v>
      </c>
      <c r="I4">
        <f>'Table for t-test'!W4</f>
        <v>1.9760727882385976E-2</v>
      </c>
      <c r="P4" s="105"/>
      <c r="Q4" s="105"/>
      <c r="R4" t="s">
        <v>75</v>
      </c>
      <c r="S4">
        <v>3.6896318197250255E-2</v>
      </c>
      <c r="T4">
        <v>0.11416226625442501</v>
      </c>
      <c r="V4" t="s">
        <v>75</v>
      </c>
      <c r="W4">
        <v>3.0558586120605746E-2</v>
      </c>
      <c r="X4">
        <v>3.3349275588989508E-2</v>
      </c>
      <c r="Z4" t="s">
        <v>75</v>
      </c>
      <c r="AA4">
        <v>9.0427972376346519E-2</v>
      </c>
      <c r="AB4">
        <v>0.13097433000803022</v>
      </c>
    </row>
    <row r="5" spans="1:28" x14ac:dyDescent="0.25">
      <c r="A5" s="105"/>
      <c r="B5" s="105"/>
      <c r="C5" s="3">
        <v>2</v>
      </c>
      <c r="D5">
        <f>'Table for t-test'!R5</f>
        <v>0.128408253192901</v>
      </c>
      <c r="E5">
        <f>'Table for t-test'!S5</f>
        <v>0.10063689947128296</v>
      </c>
      <c r="F5">
        <f>'Table for t-test'!T5</f>
        <v>0.17232927680015603</v>
      </c>
      <c r="G5">
        <f>'Table for t-test'!U5</f>
        <v>0.19665342569351202</v>
      </c>
      <c r="H5">
        <f>'Table for t-test'!V5</f>
        <v>6.2459707260131947E-2</v>
      </c>
      <c r="I5">
        <f>'Table for t-test'!W5</f>
        <v>0.20852014422416698</v>
      </c>
      <c r="P5" s="105"/>
      <c r="Q5" s="105"/>
      <c r="R5" t="s">
        <v>76</v>
      </c>
      <c r="S5">
        <v>6.3392382176422624E-3</v>
      </c>
      <c r="T5">
        <v>3.9360916458388408E-3</v>
      </c>
      <c r="V5" t="s">
        <v>76</v>
      </c>
      <c r="W5">
        <v>2.7660949463878971E-3</v>
      </c>
      <c r="X5">
        <v>5.1418558482177348E-4</v>
      </c>
      <c r="Z5" t="s">
        <v>76</v>
      </c>
      <c r="AA5">
        <v>1.5694920939292388E-2</v>
      </c>
      <c r="AB5">
        <v>6.6598434663893242E-3</v>
      </c>
    </row>
    <row r="6" spans="1:28" x14ac:dyDescent="0.25">
      <c r="A6" s="105"/>
      <c r="B6" s="105"/>
      <c r="C6" s="3">
        <v>3</v>
      </c>
      <c r="D6">
        <f>'Table for t-test'!R6</f>
        <v>-4.3014377355576006E-2</v>
      </c>
      <c r="E6">
        <f>'Table for t-test'!S6</f>
        <v>2.4238467216492032E-2</v>
      </c>
      <c r="F6">
        <f>'Table for t-test'!T6</f>
        <v>7.0131599903107023E-2</v>
      </c>
      <c r="G6">
        <f>'Table for t-test'!U6</f>
        <v>0.11808368563652</v>
      </c>
      <c r="H6">
        <f>'Table for t-test'!V6</f>
        <v>3.9416730403900035E-2</v>
      </c>
      <c r="I6">
        <f>'Table for t-test'!W6</f>
        <v>0.125104129314423</v>
      </c>
      <c r="P6" s="105"/>
      <c r="Q6" s="105"/>
      <c r="R6" t="s">
        <v>77</v>
      </c>
      <c r="S6">
        <v>4</v>
      </c>
      <c r="T6">
        <v>4</v>
      </c>
      <c r="V6" t="s">
        <v>77</v>
      </c>
      <c r="W6">
        <v>4</v>
      </c>
      <c r="X6">
        <v>4</v>
      </c>
      <c r="Z6" t="s">
        <v>77</v>
      </c>
      <c r="AA6">
        <v>4</v>
      </c>
      <c r="AB6">
        <v>4</v>
      </c>
    </row>
    <row r="7" spans="1:28" x14ac:dyDescent="0.25">
      <c r="A7" s="105"/>
      <c r="B7" s="105"/>
      <c r="C7" s="3">
        <v>4</v>
      </c>
      <c r="D7">
        <f>'Table for t-test'!R7</f>
        <v>7.6868325471877996E-2</v>
      </c>
      <c r="E7">
        <f>'Table for t-test'!S7</f>
        <v>2.431946992874201E-2</v>
      </c>
      <c r="F7">
        <f>'Table for t-test'!T7</f>
        <v>0.19758820533752403</v>
      </c>
      <c r="G7">
        <f>'Table for t-test'!U7</f>
        <v>9.6001327037811002E-2</v>
      </c>
      <c r="H7">
        <f>'Table for t-test'!V7</f>
        <v>2.0209133625030962E-2</v>
      </c>
      <c r="I7">
        <f>'Table for t-test'!W7</f>
        <v>0.17051231861114496</v>
      </c>
      <c r="P7" s="105"/>
      <c r="Q7" s="105"/>
      <c r="R7" t="s">
        <v>78</v>
      </c>
      <c r="S7">
        <v>0.66928464725763892</v>
      </c>
      <c r="V7" t="s">
        <v>78</v>
      </c>
      <c r="W7">
        <v>0.93667803875539291</v>
      </c>
      <c r="Z7" t="s">
        <v>78</v>
      </c>
      <c r="AA7">
        <v>0.96103148947375372</v>
      </c>
    </row>
    <row r="8" spans="1:28" x14ac:dyDescent="0.25">
      <c r="A8" s="105"/>
      <c r="B8" s="105">
        <v>34</v>
      </c>
      <c r="C8" s="3">
        <v>1</v>
      </c>
      <c r="D8">
        <f>'Table for t-test'!R8</f>
        <v>4.778155684471197E-2</v>
      </c>
      <c r="E8">
        <f>'Table for t-test'!S8</f>
        <v>-8.1306695938110352E-3</v>
      </c>
      <c r="F8">
        <f>'Table for t-test'!T8</f>
        <v>5.7265937328338956E-2</v>
      </c>
      <c r="G8">
        <f>'Table for t-test'!U8</f>
        <v>-2.6386380195618009E-2</v>
      </c>
      <c r="H8">
        <f>'Table for t-test'!V8</f>
        <v>1.1174619197845015E-2</v>
      </c>
      <c r="I8">
        <f>'Table for t-test'!W8</f>
        <v>3.8190096616744995E-2</v>
      </c>
      <c r="P8" s="105"/>
      <c r="Q8" s="105"/>
      <c r="R8" t="s">
        <v>79</v>
      </c>
      <c r="S8">
        <v>0</v>
      </c>
      <c r="V8" t="s">
        <v>79</v>
      </c>
      <c r="W8">
        <v>0</v>
      </c>
      <c r="Z8" t="s">
        <v>79</v>
      </c>
      <c r="AA8">
        <v>0</v>
      </c>
    </row>
    <row r="9" spans="1:28" x14ac:dyDescent="0.25">
      <c r="A9" s="105"/>
      <c r="B9" s="105"/>
      <c r="C9" s="3">
        <v>2</v>
      </c>
      <c r="D9">
        <f>'Table for t-test'!R9</f>
        <v>0.22544819116592402</v>
      </c>
      <c r="E9">
        <f>'Table for t-test'!S9</f>
        <v>0.10219830274581898</v>
      </c>
      <c r="F9">
        <f>'Table for t-test'!T9</f>
        <v>0.24679625034332198</v>
      </c>
      <c r="G9">
        <f>'Table for t-test'!U9</f>
        <v>0.11677283048629702</v>
      </c>
      <c r="H9">
        <f>'Table for t-test'!V9</f>
        <v>6.9335579872131015E-2</v>
      </c>
      <c r="I9">
        <f>'Table for t-test'!W9</f>
        <v>0.21697327494621299</v>
      </c>
      <c r="P9" s="105"/>
      <c r="Q9" s="105"/>
      <c r="R9" t="s">
        <v>80</v>
      </c>
      <c r="S9">
        <v>3</v>
      </c>
      <c r="V9" t="s">
        <v>80</v>
      </c>
      <c r="W9">
        <v>3</v>
      </c>
      <c r="Z9" t="s">
        <v>80</v>
      </c>
      <c r="AA9">
        <v>3</v>
      </c>
    </row>
    <row r="10" spans="1:28" x14ac:dyDescent="0.25">
      <c r="A10" s="105"/>
      <c r="B10" s="105"/>
      <c r="C10" s="3">
        <v>3</v>
      </c>
      <c r="D10">
        <f>'Table for t-test'!R10</f>
        <v>6.3144713640213013E-2</v>
      </c>
      <c r="E10">
        <f>'Table for t-test'!S10</f>
        <v>3.072589635848999E-2</v>
      </c>
      <c r="F10">
        <f>'Table for t-test'!T10</f>
        <v>3.4931093454361017E-2</v>
      </c>
      <c r="G10">
        <f>'Table for t-test'!U10</f>
        <v>-4.1838705539702981E-2</v>
      </c>
      <c r="H10">
        <f>'Table for t-test'!V10</f>
        <v>-2.116155624389604E-2</v>
      </c>
      <c r="I10">
        <f>'Table for t-test'!W10</f>
        <v>-2.8676211833954024E-2</v>
      </c>
      <c r="P10" s="105"/>
      <c r="Q10" s="105"/>
      <c r="R10" t="s">
        <v>81</v>
      </c>
      <c r="S10">
        <v>-2.5794987039006334</v>
      </c>
      <c r="V10" t="s">
        <v>81</v>
      </c>
      <c r="W10">
        <v>-0.17256398747858506</v>
      </c>
      <c r="Z10" t="s">
        <v>81</v>
      </c>
      <c r="AA10">
        <v>-1.5594719256022276</v>
      </c>
    </row>
    <row r="11" spans="1:28" x14ac:dyDescent="0.25">
      <c r="A11" s="105"/>
      <c r="B11" s="105"/>
      <c r="C11" s="3">
        <v>4</v>
      </c>
      <c r="D11">
        <f>'Table for t-test'!R11</f>
        <v>0.27596639096736897</v>
      </c>
      <c r="E11">
        <f>'Table for t-test'!S11</f>
        <v>3.3095538616180087E-2</v>
      </c>
      <c r="F11">
        <f>'Table for t-test'!T11</f>
        <v>0.21413826942443803</v>
      </c>
      <c r="G11">
        <f>'Table for t-test'!U11</f>
        <v>0.20033635199069899</v>
      </c>
      <c r="H11">
        <f>'Table for t-test'!V11</f>
        <v>8.0013871192929908E-3</v>
      </c>
      <c r="I11">
        <f>'Table for t-test'!W11</f>
        <v>0.15607485175132702</v>
      </c>
      <c r="P11" s="105"/>
      <c r="Q11" s="105"/>
      <c r="R11" t="s">
        <v>82</v>
      </c>
      <c r="S11">
        <v>4.0907693275050533E-2</v>
      </c>
      <c r="V11" t="s">
        <v>82</v>
      </c>
      <c r="W11">
        <v>0.43698966171405684</v>
      </c>
      <c r="Z11" t="s">
        <v>82</v>
      </c>
      <c r="AA11">
        <v>0.10839184502765828</v>
      </c>
    </row>
    <row r="12" spans="1:28" x14ac:dyDescent="0.25">
      <c r="A12" s="105"/>
      <c r="B12" s="105">
        <v>50</v>
      </c>
      <c r="C12" s="3">
        <v>1</v>
      </c>
      <c r="D12">
        <f>'Table for t-test'!R12</f>
        <v>2.979373931884699E-2</v>
      </c>
      <c r="E12">
        <f>'Table for t-test'!S12</f>
        <v>-1.8278181552886963E-2</v>
      </c>
      <c r="F12">
        <f>'Table for t-test'!T12</f>
        <v>5.296528339386003E-2</v>
      </c>
      <c r="G12">
        <f>'Table for t-test'!U12</f>
        <v>5.7898819446562999E-2</v>
      </c>
      <c r="H12">
        <f>'Table for t-test'!V12</f>
        <v>-5.7520270347599656E-3</v>
      </c>
      <c r="I12">
        <f>'Table for t-test'!W12</f>
        <v>1.8688648939132968E-2</v>
      </c>
      <c r="P12" s="105"/>
      <c r="Q12" s="105"/>
      <c r="R12" t="s">
        <v>83</v>
      </c>
      <c r="S12">
        <v>2.3533634348018233</v>
      </c>
      <c r="V12" t="s">
        <v>83</v>
      </c>
      <c r="W12">
        <v>2.3533634348018233</v>
      </c>
      <c r="Z12" t="s">
        <v>83</v>
      </c>
      <c r="AA12">
        <v>2.3533634348018233</v>
      </c>
    </row>
    <row r="13" spans="1:28" x14ac:dyDescent="0.25">
      <c r="A13" s="105"/>
      <c r="B13" s="105"/>
      <c r="C13" s="3">
        <v>2</v>
      </c>
      <c r="D13">
        <f>'Table for t-test'!R13</f>
        <v>0.10101008415222196</v>
      </c>
      <c r="E13">
        <f>'Table for t-test'!S13</f>
        <v>2.8890192508697066E-2</v>
      </c>
      <c r="F13">
        <f>'Table for t-test'!T13</f>
        <v>0.12279897928237898</v>
      </c>
      <c r="G13">
        <f>'Table for t-test'!U13</f>
        <v>0.14295740425586703</v>
      </c>
      <c r="H13">
        <f>'Table for t-test'!V13</f>
        <v>3.7697494029999001E-2</v>
      </c>
      <c r="I13">
        <f>'Table for t-test'!W13</f>
        <v>0.18081095814704901</v>
      </c>
      <c r="P13" s="105"/>
      <c r="Q13" s="105"/>
      <c r="R13" t="s">
        <v>84</v>
      </c>
      <c r="S13">
        <v>8.1815386550101066E-2</v>
      </c>
      <c r="V13" t="s">
        <v>84</v>
      </c>
      <c r="W13">
        <v>0.87397932342811369</v>
      </c>
      <c r="Z13" t="s">
        <v>84</v>
      </c>
      <c r="AA13">
        <v>0.21678369005531656</v>
      </c>
    </row>
    <row r="14" spans="1:28" ht="15.75" thickBot="1" x14ac:dyDescent="0.3">
      <c r="A14" s="105"/>
      <c r="B14" s="105"/>
      <c r="C14" s="3">
        <v>3</v>
      </c>
      <c r="D14">
        <f>'Table for t-test'!R14</f>
        <v>9.8149538040160966E-2</v>
      </c>
      <c r="E14">
        <f>'Table for t-test'!S14</f>
        <v>-1.9055306911468062E-2</v>
      </c>
      <c r="F14">
        <f>'Table for t-test'!T14</f>
        <v>7.1432411670684981E-2</v>
      </c>
      <c r="G14">
        <f>'Table for t-test'!U14</f>
        <v>0.11688527464866599</v>
      </c>
      <c r="H14">
        <f>'Table for t-test'!V14</f>
        <v>5.4048299789429044E-2</v>
      </c>
      <c r="I14">
        <f>'Table for t-test'!W14</f>
        <v>0.11831025779247301</v>
      </c>
      <c r="P14" s="105"/>
      <c r="Q14" s="105"/>
      <c r="R14" s="16" t="s">
        <v>85</v>
      </c>
      <c r="S14" s="16">
        <v>3.1824463052837091</v>
      </c>
      <c r="T14" s="16"/>
      <c r="V14" s="16" t="s">
        <v>85</v>
      </c>
      <c r="W14" s="16">
        <v>3.1824463052837091</v>
      </c>
      <c r="X14" s="16"/>
      <c r="Z14" s="16" t="s">
        <v>85</v>
      </c>
      <c r="AA14" s="16">
        <v>3.1824463052837091</v>
      </c>
      <c r="AB14" s="16"/>
    </row>
    <row r="15" spans="1:28" x14ac:dyDescent="0.25">
      <c r="A15" s="107"/>
      <c r="B15" s="107"/>
      <c r="C15" s="8">
        <v>4</v>
      </c>
      <c r="D15">
        <f>'Table for t-test'!R15</f>
        <v>7.0115327835090224E-3</v>
      </c>
      <c r="E15">
        <f>'Table for t-test'!S15</f>
        <v>1.6818046569823997E-2</v>
      </c>
      <c r="F15">
        <f>'Table for t-test'!T15</f>
        <v>0.11711776256561302</v>
      </c>
      <c r="G15">
        <f>'Table for t-test'!U15</f>
        <v>0.20470085740089394</v>
      </c>
      <c r="H15">
        <f>'Table for t-test'!V15</f>
        <v>7.6187193393707053E-2</v>
      </c>
      <c r="I15">
        <f>'Table for t-test'!W15</f>
        <v>0.24728012084960899</v>
      </c>
      <c r="P15" s="105"/>
      <c r="Q15" s="105"/>
      <c r="R15" t="str">
        <f>IF(T4 &gt; S4, "Pretrained &gt; Fresh", "Pretrained &lt; Fresh")</f>
        <v>Pretrained &gt; Fresh</v>
      </c>
      <c r="S15" s="171" t="str">
        <f>IF(S11 &lt; 0.05, "Significant", "Not Significant")</f>
        <v>Significant</v>
      </c>
      <c r="T15" s="171"/>
      <c r="V15" t="str">
        <f>IF(X4 &gt; W4, "Pretrained &gt; Fresh", "Pretrained &lt; Fresh")</f>
        <v>Pretrained &gt; Fresh</v>
      </c>
      <c r="W15" s="171" t="str">
        <f>IF(W11 &lt; 0.05, "Significant", "Not Significant")</f>
        <v>Not Significant</v>
      </c>
      <c r="X15" s="171"/>
      <c r="Z15" t="str">
        <f>IF(AB4 &gt; AA4, "Pretrained &gt; Fresh", "Pretrained &lt; Fresh")</f>
        <v>Pretrained &gt; Fresh</v>
      </c>
      <c r="AA15" s="171" t="str">
        <f>IF(AA11 &lt; 0.05, "Significant", "Not Significant")</f>
        <v>Not Significant</v>
      </c>
      <c r="AB15" s="171"/>
    </row>
    <row r="16" spans="1:28" x14ac:dyDescent="0.25">
      <c r="A16" s="103" t="s">
        <v>22</v>
      </c>
      <c r="B16" s="103">
        <v>18</v>
      </c>
      <c r="C16" s="3">
        <v>1</v>
      </c>
      <c r="D16">
        <f>'Table for t-test'!R16</f>
        <v>6.3560903072359953E-3</v>
      </c>
      <c r="E16">
        <f>'Table for t-test'!S16</f>
        <v>-6.3203573226930931E-3</v>
      </c>
      <c r="F16">
        <f>'Table for t-test'!T16</f>
        <v>-1.3499408960342019E-2</v>
      </c>
      <c r="G16">
        <f>'Table for t-test'!U16</f>
        <v>7.8030526638031006E-2</v>
      </c>
      <c r="H16">
        <f>'Table for t-test'!V16</f>
        <v>-1.1296391487121915E-2</v>
      </c>
      <c r="I16">
        <f>'Table for t-test'!W16</f>
        <v>0.10379567742347701</v>
      </c>
      <c r="P16" s="105"/>
      <c r="Q16" s="105"/>
      <c r="R16">
        <f>S11</f>
        <v>4.0907693275050533E-2</v>
      </c>
      <c r="V16">
        <f>W11</f>
        <v>0.43698966171405684</v>
      </c>
      <c r="Z16">
        <f>AA11</f>
        <v>0.10839184502765828</v>
      </c>
    </row>
    <row r="17" spans="1:28" x14ac:dyDescent="0.25">
      <c r="A17" s="105"/>
      <c r="B17" s="105"/>
      <c r="C17" s="3">
        <v>2</v>
      </c>
      <c r="D17">
        <f>'Table for t-test'!R17</f>
        <v>4.1221439838409035E-2</v>
      </c>
      <c r="E17">
        <f>'Table for t-test'!S17</f>
        <v>4.4929742813110018E-2</v>
      </c>
      <c r="F17">
        <f>'Table for t-test'!T17</f>
        <v>7.7693492174149004E-2</v>
      </c>
      <c r="G17">
        <f>'Table for t-test'!U17</f>
        <v>1.6003072261810025E-2</v>
      </c>
      <c r="H17">
        <f>'Table for t-test'!V17</f>
        <v>2.4992883205413041E-2</v>
      </c>
      <c r="I17">
        <f>'Table for t-test'!W17</f>
        <v>0.10108166933059703</v>
      </c>
      <c r="P17" s="105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 x14ac:dyDescent="0.25">
      <c r="A18" s="105"/>
      <c r="B18" s="105"/>
      <c r="C18" s="3">
        <v>3</v>
      </c>
      <c r="D18">
        <f>'Table for t-test'!R18</f>
        <v>4.1095882654190008E-2</v>
      </c>
      <c r="E18">
        <f>'Table for t-test'!S18</f>
        <v>2.2115647792816051E-2</v>
      </c>
      <c r="F18">
        <f>'Table for t-test'!T18</f>
        <v>8.2411468029019996E-3</v>
      </c>
      <c r="G18">
        <f>'Table for t-test'!U18</f>
        <v>6.4278870820998979E-2</v>
      </c>
      <c r="H18">
        <f>'Table for t-test'!V18</f>
        <v>-1.9588470458983931E-2</v>
      </c>
      <c r="I18">
        <f>'Table for t-test'!W18</f>
        <v>3.2442510128021018E-2</v>
      </c>
      <c r="P18" s="105"/>
      <c r="Q18" s="105">
        <v>34</v>
      </c>
      <c r="R18" s="194" t="s">
        <v>4</v>
      </c>
      <c r="S18" s="194"/>
      <c r="T18" s="194"/>
      <c r="U18" s="15"/>
      <c r="V18" s="194" t="s">
        <v>5</v>
      </c>
      <c r="W18" s="194"/>
      <c r="X18" s="194"/>
      <c r="Y18" s="15"/>
      <c r="Z18" s="194" t="s">
        <v>70</v>
      </c>
      <c r="AA18" s="194"/>
      <c r="AB18" s="194"/>
    </row>
    <row r="19" spans="1:28" ht="15.75" thickBot="1" x14ac:dyDescent="0.3">
      <c r="A19" s="105"/>
      <c r="B19" s="105"/>
      <c r="C19" s="3">
        <v>4</v>
      </c>
      <c r="D19">
        <f>'Table for t-test'!R19</f>
        <v>8.0474287271500022E-2</v>
      </c>
      <c r="E19">
        <f>'Table for t-test'!S19</f>
        <v>5.1940619945526012E-2</v>
      </c>
      <c r="F19">
        <f>'Table for t-test'!T19</f>
        <v>0.14641994237899802</v>
      </c>
      <c r="G19">
        <f>'Table for t-test'!U19</f>
        <v>7.1641772985458041E-2</v>
      </c>
      <c r="H19">
        <f>'Table for t-test'!V19</f>
        <v>1.9384801387786976E-2</v>
      </c>
      <c r="I19">
        <f>'Table for t-test'!W19</f>
        <v>7.4710309505462036E-2</v>
      </c>
      <c r="P19" s="105"/>
      <c r="Q19" s="105"/>
    </row>
    <row r="20" spans="1:28" x14ac:dyDescent="0.25">
      <c r="A20" s="105"/>
      <c r="B20" s="105">
        <v>34</v>
      </c>
      <c r="C20" s="3">
        <v>1</v>
      </c>
      <c r="D20">
        <f>'Table for t-test'!R20</f>
        <v>-1.4206290245055986E-2</v>
      </c>
      <c r="E20">
        <f>'Table for t-test'!S20</f>
        <v>4.1927099227899722E-3</v>
      </c>
      <c r="F20">
        <f>'Table for t-test'!T20</f>
        <v>1.9641995429993009E-2</v>
      </c>
      <c r="G20">
        <f>'Table for t-test'!U20</f>
        <v>3.6911487579346036E-2</v>
      </c>
      <c r="H20">
        <f>'Table for t-test'!V20</f>
        <v>9.9667310714729451E-3</v>
      </c>
      <c r="I20">
        <f>'Table for t-test'!W20</f>
        <v>3.3739537000656017E-2</v>
      </c>
      <c r="P20" s="105"/>
      <c r="Q20" s="105"/>
      <c r="R20" s="17"/>
      <c r="S20" s="17" t="s">
        <v>19</v>
      </c>
      <c r="T20" s="17" t="s">
        <v>71</v>
      </c>
      <c r="V20" s="17"/>
      <c r="W20" s="17" t="s">
        <v>19</v>
      </c>
      <c r="X20" s="17" t="s">
        <v>71</v>
      </c>
      <c r="Z20" s="17"/>
      <c r="AA20" s="17" t="s">
        <v>19</v>
      </c>
      <c r="AB20" s="17" t="s">
        <v>71</v>
      </c>
    </row>
    <row r="21" spans="1:28" x14ac:dyDescent="0.25">
      <c r="A21" s="105"/>
      <c r="B21" s="105"/>
      <c r="C21" s="3">
        <v>2</v>
      </c>
      <c r="D21">
        <f>'Table for t-test'!R21</f>
        <v>0.12028568983077997</v>
      </c>
      <c r="E21">
        <f>'Table for t-test'!S21</f>
        <v>6.1668097972869984E-2</v>
      </c>
      <c r="F21">
        <f>'Table for t-test'!T21</f>
        <v>0.15366479754447904</v>
      </c>
      <c r="G21">
        <f>'Table for t-test'!U21</f>
        <v>2.8370320796965998E-2</v>
      </c>
      <c r="H21">
        <f>'Table for t-test'!V21</f>
        <v>2.9440820217132013E-2</v>
      </c>
      <c r="I21">
        <f>'Table for t-test'!W21</f>
        <v>0.12082570791244507</v>
      </c>
      <c r="P21" s="105"/>
      <c r="Q21" s="105"/>
      <c r="R21" t="s">
        <v>75</v>
      </c>
      <c r="S21">
        <v>0.15308521315455448</v>
      </c>
      <c r="T21">
        <v>6.2221024185418757E-2</v>
      </c>
      <c r="V21" t="s">
        <v>75</v>
      </c>
      <c r="W21">
        <v>3.9472267031669506E-2</v>
      </c>
      <c r="X21">
        <v>1.6837507486343245E-2</v>
      </c>
      <c r="Z21" t="s">
        <v>75</v>
      </c>
      <c r="AA21">
        <v>0.13828288763761498</v>
      </c>
      <c r="AB21">
        <v>9.5640502870082744E-2</v>
      </c>
    </row>
    <row r="22" spans="1:28" x14ac:dyDescent="0.25">
      <c r="A22" s="105"/>
      <c r="B22" s="105"/>
      <c r="C22" s="3">
        <v>3</v>
      </c>
      <c r="D22">
        <f>'Table for t-test'!R22</f>
        <v>9.2165917158127053E-2</v>
      </c>
      <c r="E22">
        <f>'Table for t-test'!S22</f>
        <v>2.1112561225891002E-2</v>
      </c>
      <c r="F22">
        <f>'Table for t-test'!T22</f>
        <v>6.5511316061019009E-2</v>
      </c>
      <c r="G22">
        <f>'Table for t-test'!U22</f>
        <v>5.3297191858292015E-2</v>
      </c>
      <c r="H22">
        <f>'Table for t-test'!V22</f>
        <v>6.165146827697976E-3</v>
      </c>
      <c r="I22">
        <f>'Table for t-test'!W22</f>
        <v>2.096506953239502E-2</v>
      </c>
      <c r="P22" s="105"/>
      <c r="Q22" s="105"/>
      <c r="R22" t="s">
        <v>76</v>
      </c>
      <c r="S22">
        <v>1.3171445977483062E-2</v>
      </c>
      <c r="T22">
        <v>1.3577147602352841E-2</v>
      </c>
      <c r="V22" t="s">
        <v>76</v>
      </c>
      <c r="W22">
        <v>2.1059189323399453E-3</v>
      </c>
      <c r="X22">
        <v>1.4367072585024035E-3</v>
      </c>
      <c r="Z22" t="s">
        <v>76</v>
      </c>
      <c r="AA22">
        <v>1.1591509476679474E-2</v>
      </c>
      <c r="AB22">
        <v>1.2376382279285511E-2</v>
      </c>
    </row>
    <row r="23" spans="1:28" x14ac:dyDescent="0.25">
      <c r="A23" s="105"/>
      <c r="B23" s="105"/>
      <c r="C23" s="3">
        <v>4</v>
      </c>
      <c r="D23">
        <f>'Table for t-test'!R23</f>
        <v>9.1579854488373025E-2</v>
      </c>
      <c r="E23">
        <f>'Table for t-test'!S23</f>
        <v>3.2129943370818981E-2</v>
      </c>
      <c r="F23">
        <f>'Table for t-test'!T23</f>
        <v>0.14321947097778304</v>
      </c>
      <c r="G23">
        <f>'Table for t-test'!U23</f>
        <v>7.7379196882248036E-2</v>
      </c>
      <c r="H23">
        <f>'Table for t-test'!V23</f>
        <v>5.022335052490301E-2</v>
      </c>
      <c r="I23">
        <f>'Table for t-test'!W23</f>
        <v>0.111660957336426</v>
      </c>
      <c r="P23" s="105"/>
      <c r="Q23" s="105"/>
      <c r="R23" t="s">
        <v>77</v>
      </c>
      <c r="S23">
        <v>4</v>
      </c>
      <c r="T23">
        <v>4</v>
      </c>
      <c r="V23" t="s">
        <v>77</v>
      </c>
      <c r="W23">
        <v>4</v>
      </c>
      <c r="X23">
        <v>4</v>
      </c>
      <c r="Z23" t="s">
        <v>77</v>
      </c>
      <c r="AA23">
        <v>4</v>
      </c>
      <c r="AB23">
        <v>4</v>
      </c>
    </row>
    <row r="24" spans="1:28" x14ac:dyDescent="0.25">
      <c r="A24" s="105"/>
      <c r="B24" s="105">
        <v>50</v>
      </c>
      <c r="C24" s="3">
        <v>1</v>
      </c>
      <c r="D24">
        <f>'Table for t-test'!R24</f>
        <v>7.7972710132599987E-3</v>
      </c>
      <c r="E24">
        <f>'Table for t-test'!S24</f>
        <v>-3.8356184959411954E-2</v>
      </c>
      <c r="F24">
        <f>'Table for t-test'!T24</f>
        <v>3.8015723228454978E-2</v>
      </c>
      <c r="G24">
        <f>'Table for t-test'!U24</f>
        <v>-4.1015803813933993E-2</v>
      </c>
      <c r="H24">
        <f>'Table for t-test'!V24</f>
        <v>-1.4740824699400745E-3</v>
      </c>
      <c r="I24">
        <f>'Table for t-test'!W24</f>
        <v>-0.11749932169914201</v>
      </c>
      <c r="P24" s="105"/>
      <c r="Q24" s="105"/>
      <c r="R24" t="s">
        <v>78</v>
      </c>
      <c r="S24">
        <v>0.9873099718731303</v>
      </c>
      <c r="V24" t="s">
        <v>78</v>
      </c>
      <c r="W24">
        <v>0.75719893018209838</v>
      </c>
      <c r="Z24" t="s">
        <v>78</v>
      </c>
      <c r="AA24">
        <v>0.98109664246402661</v>
      </c>
    </row>
    <row r="25" spans="1:28" x14ac:dyDescent="0.25">
      <c r="A25" s="105"/>
      <c r="B25" s="105"/>
      <c r="C25" s="3">
        <v>2</v>
      </c>
      <c r="D25">
        <f>'Table for t-test'!R25</f>
        <v>7.7429413795469526E-3</v>
      </c>
      <c r="E25">
        <f>'Table for t-test'!S25</f>
        <v>4.5996725559235063E-2</v>
      </c>
      <c r="F25">
        <f>'Table for t-test'!T25</f>
        <v>0.10440069437027</v>
      </c>
      <c r="G25">
        <f>'Table for t-test'!U25</f>
        <v>7.5151950120925959E-2</v>
      </c>
      <c r="H25">
        <f>'Table for t-test'!V25</f>
        <v>4.5719027519226074E-2</v>
      </c>
      <c r="I25">
        <f>'Table for t-test'!W25</f>
        <v>0.113257706165314</v>
      </c>
      <c r="P25" s="105"/>
      <c r="Q25" s="105"/>
      <c r="R25" t="s">
        <v>79</v>
      </c>
      <c r="S25">
        <v>0</v>
      </c>
      <c r="V25" t="s">
        <v>79</v>
      </c>
      <c r="W25">
        <v>0</v>
      </c>
      <c r="Z25" t="s">
        <v>79</v>
      </c>
      <c r="AA25">
        <v>0</v>
      </c>
    </row>
    <row r="26" spans="1:28" x14ac:dyDescent="0.25">
      <c r="A26" s="105"/>
      <c r="B26" s="105"/>
      <c r="C26" s="3">
        <v>3</v>
      </c>
      <c r="D26">
        <f>'Table for t-test'!R26</f>
        <v>4.4650346040725986E-2</v>
      </c>
      <c r="E26">
        <f>'Table for t-test'!S26</f>
        <v>3.1033039093017911E-2</v>
      </c>
      <c r="F26">
        <f>'Table for t-test'!T26</f>
        <v>0.11429166793823298</v>
      </c>
      <c r="G26">
        <f>'Table for t-test'!U26</f>
        <v>2.7449280023574996E-2</v>
      </c>
      <c r="H26">
        <f>'Table for t-test'!V26</f>
        <v>-2.407252788543035E-3</v>
      </c>
      <c r="I26">
        <f>'Table for t-test'!W26</f>
        <v>2.1855413913726029E-2</v>
      </c>
      <c r="P26" s="105"/>
      <c r="Q26" s="105"/>
      <c r="R26" t="s">
        <v>80</v>
      </c>
      <c r="S26">
        <v>3</v>
      </c>
      <c r="V26" t="s">
        <v>80</v>
      </c>
      <c r="W26">
        <v>3</v>
      </c>
      <c r="Z26" t="s">
        <v>80</v>
      </c>
      <c r="AA26">
        <v>3</v>
      </c>
    </row>
    <row r="27" spans="1:28" x14ac:dyDescent="0.25">
      <c r="A27" s="107"/>
      <c r="B27" s="107"/>
      <c r="C27" s="8">
        <v>4</v>
      </c>
      <c r="D27">
        <f>'Table for t-test'!R27</f>
        <v>0.12505903840064997</v>
      </c>
      <c r="E27">
        <f>'Table for t-test'!S27</f>
        <v>5.0574660301209051E-2</v>
      </c>
      <c r="F27">
        <f>'Table for t-test'!T27</f>
        <v>0.18246304988861101</v>
      </c>
      <c r="G27">
        <f>'Table for t-test'!U27</f>
        <v>3.9900958538055975E-2</v>
      </c>
      <c r="H27">
        <f>'Table for t-test'!V27</f>
        <v>2.105939388275202E-2</v>
      </c>
      <c r="I27">
        <f>'Table for t-test'!W27</f>
        <v>9.1337144374846968E-2</v>
      </c>
      <c r="P27" s="105"/>
      <c r="Q27" s="105"/>
      <c r="R27" t="s">
        <v>81</v>
      </c>
      <c r="S27">
        <v>9.8198820798219408</v>
      </c>
      <c r="V27" t="s">
        <v>81</v>
      </c>
      <c r="W27">
        <v>1.5019502988171647</v>
      </c>
      <c r="Z27" t="s">
        <v>81</v>
      </c>
      <c r="AA27">
        <v>3.9520760470753404</v>
      </c>
    </row>
    <row r="28" spans="1:28" x14ac:dyDescent="0.25">
      <c r="A28" s="103" t="s">
        <v>23</v>
      </c>
      <c r="B28" s="103">
        <v>18</v>
      </c>
      <c r="C28" s="3">
        <v>1</v>
      </c>
      <c r="D28">
        <f>'Table for t-test'!R28</f>
        <v>7.1166962385177002E-2</v>
      </c>
      <c r="E28">
        <f>'Table for t-test'!S28</f>
        <v>8.571743965150036E-4</v>
      </c>
      <c r="F28">
        <f>'Table for t-test'!T28</f>
        <v>4.1745185852051003E-2</v>
      </c>
      <c r="G28">
        <f>'Table for t-test'!U28</f>
        <v>7.8030526638031006E-2</v>
      </c>
      <c r="H28">
        <f>'Table for t-test'!V28</f>
        <v>-1.1296391487121915E-2</v>
      </c>
      <c r="I28">
        <f>'Table for t-test'!W28</f>
        <v>0.10379567742347701</v>
      </c>
      <c r="P28" s="105"/>
      <c r="Q28" s="105"/>
      <c r="R28" t="s">
        <v>82</v>
      </c>
      <c r="S28">
        <v>1.1223844307319175E-3</v>
      </c>
      <c r="V28" t="s">
        <v>82</v>
      </c>
      <c r="W28">
        <v>0.11505812395140298</v>
      </c>
      <c r="Z28" t="s">
        <v>82</v>
      </c>
      <c r="AA28">
        <v>1.4452379217851931E-2</v>
      </c>
    </row>
    <row r="29" spans="1:28" x14ac:dyDescent="0.25">
      <c r="A29" s="105"/>
      <c r="B29" s="105"/>
      <c r="C29" s="3">
        <v>2</v>
      </c>
      <c r="D29">
        <f>'Table for t-test'!R29</f>
        <v>4.0863007307053001E-2</v>
      </c>
      <c r="E29">
        <f>'Table for t-test'!S29</f>
        <v>4.7578573226928933E-2</v>
      </c>
      <c r="F29">
        <f>'Table for t-test'!T29</f>
        <v>9.4142645597457997E-2</v>
      </c>
      <c r="G29">
        <f>'Table for t-test'!U29</f>
        <v>1.6003072261810025E-2</v>
      </c>
      <c r="H29">
        <f>'Table for t-test'!V29</f>
        <v>2.4992883205413041E-2</v>
      </c>
      <c r="I29">
        <f>'Table for t-test'!W29</f>
        <v>0.10108166933059703</v>
      </c>
      <c r="P29" s="105"/>
      <c r="Q29" s="105"/>
      <c r="R29" t="s">
        <v>83</v>
      </c>
      <c r="S29">
        <v>2.3533634348018233</v>
      </c>
      <c r="V29" t="s">
        <v>83</v>
      </c>
      <c r="W29">
        <v>2.3533634348018233</v>
      </c>
      <c r="Z29" t="s">
        <v>83</v>
      </c>
      <c r="AA29">
        <v>2.3533634348018233</v>
      </c>
    </row>
    <row r="30" spans="1:28" x14ac:dyDescent="0.25">
      <c r="A30" s="105"/>
      <c r="B30" s="105"/>
      <c r="C30" s="3">
        <v>3</v>
      </c>
      <c r="D30">
        <f>'Table for t-test'!R30</f>
        <v>3.0436933040619008E-2</v>
      </c>
      <c r="E30">
        <f>'Table for t-test'!S30</f>
        <v>1.4633715152741034E-2</v>
      </c>
      <c r="F30">
        <f>'Table for t-test'!T30</f>
        <v>5.028489232063299E-2</v>
      </c>
      <c r="G30">
        <f>'Table for t-test'!U30</f>
        <v>6.4278870820998979E-2</v>
      </c>
      <c r="H30">
        <f>'Table for t-test'!V30</f>
        <v>-1.9588470458983931E-2</v>
      </c>
      <c r="I30">
        <f>'Table for t-test'!W30</f>
        <v>3.2442510128021018E-2</v>
      </c>
      <c r="P30" s="105"/>
      <c r="Q30" s="105"/>
      <c r="R30" t="s">
        <v>84</v>
      </c>
      <c r="S30">
        <v>2.244768861463835E-3</v>
      </c>
      <c r="V30" t="s">
        <v>84</v>
      </c>
      <c r="W30">
        <v>0.23011624790280596</v>
      </c>
      <c r="Z30" t="s">
        <v>84</v>
      </c>
      <c r="AA30">
        <v>2.8904758435703861E-2</v>
      </c>
    </row>
    <row r="31" spans="1:28" ht="15.75" thickBot="1" x14ac:dyDescent="0.3">
      <c r="A31" s="105"/>
      <c r="B31" s="105"/>
      <c r="C31" s="3">
        <v>4</v>
      </c>
      <c r="D31">
        <f>'Table for t-test'!R31</f>
        <v>8.9956790208815973E-2</v>
      </c>
      <c r="E31">
        <f>'Table for t-test'!S31</f>
        <v>2.9879868030548096E-2</v>
      </c>
      <c r="F31">
        <f>'Table for t-test'!T31</f>
        <v>0.11906668543815596</v>
      </c>
      <c r="G31">
        <f>'Table for t-test'!U31</f>
        <v>7.1641772985458041E-2</v>
      </c>
      <c r="H31">
        <f>'Table for t-test'!V31</f>
        <v>1.9384801387786976E-2</v>
      </c>
      <c r="I31">
        <f>'Table for t-test'!W31</f>
        <v>7.4710309505462036E-2</v>
      </c>
      <c r="P31" s="105"/>
      <c r="Q31" s="105"/>
      <c r="R31" s="16" t="s">
        <v>85</v>
      </c>
      <c r="S31" s="16">
        <v>3.1824463052837091</v>
      </c>
      <c r="T31" s="16"/>
      <c r="V31" s="16" t="s">
        <v>85</v>
      </c>
      <c r="W31" s="16">
        <v>3.1824463052837091</v>
      </c>
      <c r="X31" s="16"/>
      <c r="Z31" s="16" t="s">
        <v>85</v>
      </c>
      <c r="AA31" s="16">
        <v>3.1824463052837091</v>
      </c>
      <c r="AB31" s="16"/>
    </row>
    <row r="32" spans="1:28" x14ac:dyDescent="0.25">
      <c r="A32" s="105"/>
      <c r="B32" s="105">
        <v>34</v>
      </c>
      <c r="C32" s="3">
        <v>1</v>
      </c>
      <c r="D32">
        <f>'Table for t-test'!R32</f>
        <v>2.0325064659118985E-2</v>
      </c>
      <c r="E32">
        <f>'Table for t-test'!S32</f>
        <v>8.5229277610779919E-3</v>
      </c>
      <c r="F32">
        <f>'Table for t-test'!T32</f>
        <v>1.3919621706008023E-2</v>
      </c>
      <c r="G32">
        <f>'Table for t-test'!U32</f>
        <v>3.6911487579346036E-2</v>
      </c>
      <c r="H32">
        <f>'Table for t-test'!V32</f>
        <v>9.9667310714729451E-3</v>
      </c>
      <c r="I32">
        <f>'Table for t-test'!W32</f>
        <v>3.3739537000656017E-2</v>
      </c>
      <c r="P32" s="105"/>
      <c r="Q32" s="105"/>
      <c r="R32" t="str">
        <f>IF(T21 &gt; S21, "Pretrained &gt; Fresh", "Pretrained &lt; Fresh")</f>
        <v>Pretrained &lt; Fresh</v>
      </c>
      <c r="S32" s="171" t="str">
        <f>IF(S28 &lt; 0.05, "Significant", "Not Significant")</f>
        <v>Significant</v>
      </c>
      <c r="T32" s="171"/>
      <c r="V32" t="str">
        <f>IF(X21 &gt; W21, "Pretrained &gt; Fresh", "Pretrained &lt; Fresh")</f>
        <v>Pretrained &lt; Fresh</v>
      </c>
      <c r="W32" s="171" t="str">
        <f>IF(W28 &lt; 0.05, "Significant", "Not Significant")</f>
        <v>Not Significant</v>
      </c>
      <c r="X32" s="171"/>
      <c r="Z32" t="str">
        <f>IF(AB21 &gt; AA21, "Pretrained &gt; Fresh", "Pretrained &lt; Fresh")</f>
        <v>Pretrained &lt; Fresh</v>
      </c>
      <c r="AA32" s="171" t="str">
        <f>IF(AA28 &lt; 0.05, "Significant", "Not Significant")</f>
        <v>Significant</v>
      </c>
      <c r="AB32" s="171"/>
    </row>
    <row r="33" spans="1:28" x14ac:dyDescent="0.25">
      <c r="A33" s="105"/>
      <c r="B33" s="105"/>
      <c r="C33" s="3">
        <v>2</v>
      </c>
      <c r="D33">
        <f>'Table for t-test'!R33</f>
        <v>0.10843905806541498</v>
      </c>
      <c r="E33">
        <f>'Table for t-test'!S33</f>
        <v>3.8325190544128085E-2</v>
      </c>
      <c r="F33">
        <f>'Table for t-test'!T33</f>
        <v>9.4935446977615023E-2</v>
      </c>
      <c r="G33">
        <f>'Table for t-test'!U33</f>
        <v>2.8370320796965998E-2</v>
      </c>
      <c r="H33">
        <f>'Table for t-test'!V33</f>
        <v>2.9440820217132013E-2</v>
      </c>
      <c r="I33">
        <f>'Table for t-test'!W33</f>
        <v>0.12082570791244507</v>
      </c>
      <c r="P33" s="105"/>
      <c r="Q33" s="105"/>
      <c r="R33">
        <f>S28</f>
        <v>1.1223844307319175E-3</v>
      </c>
      <c r="V33">
        <f>W28</f>
        <v>0.11505812395140298</v>
      </c>
      <c r="Z33">
        <f>AA28</f>
        <v>1.4452379217851931E-2</v>
      </c>
    </row>
    <row r="34" spans="1:28" x14ac:dyDescent="0.25">
      <c r="A34" s="105"/>
      <c r="B34" s="105"/>
      <c r="C34" s="3">
        <v>3</v>
      </c>
      <c r="D34">
        <f>'Table for t-test'!R34</f>
        <v>8.4072262048721036E-2</v>
      </c>
      <c r="E34">
        <f>'Table for t-test'!S34</f>
        <v>5.5066466331482045E-2</v>
      </c>
      <c r="F34">
        <f>'Table for t-test'!T34</f>
        <v>0.10423925518989502</v>
      </c>
      <c r="G34">
        <f>'Table for t-test'!U34</f>
        <v>5.3297191858292015E-2</v>
      </c>
      <c r="H34">
        <f>'Table for t-test'!V34</f>
        <v>6.165146827697976E-3</v>
      </c>
      <c r="I34">
        <f>'Table for t-test'!W34</f>
        <v>2.096506953239502E-2</v>
      </c>
      <c r="P34" s="105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</row>
    <row r="35" spans="1:28" x14ac:dyDescent="0.25">
      <c r="A35" s="105"/>
      <c r="B35" s="105"/>
      <c r="C35" s="3">
        <v>4</v>
      </c>
      <c r="D35">
        <f>'Table for t-test'!R35</f>
        <v>9.788185358047502E-2</v>
      </c>
      <c r="E35">
        <f>'Table for t-test'!S35</f>
        <v>2.3363888263701948E-2</v>
      </c>
      <c r="F35">
        <f>'Table for t-test'!T35</f>
        <v>0.14848700165748596</v>
      </c>
      <c r="G35">
        <f>'Table for t-test'!U35</f>
        <v>7.7379196882248036E-2</v>
      </c>
      <c r="H35">
        <f>'Table for t-test'!V35</f>
        <v>5.022335052490301E-2</v>
      </c>
      <c r="I35">
        <f>'Table for t-test'!W35</f>
        <v>0.111660957336426</v>
      </c>
      <c r="P35" s="105"/>
      <c r="Q35" s="105">
        <v>50</v>
      </c>
      <c r="R35" s="194" t="s">
        <v>4</v>
      </c>
      <c r="S35" s="194"/>
      <c r="T35" s="194"/>
      <c r="U35" s="15"/>
      <c r="V35" s="194" t="s">
        <v>5</v>
      </c>
      <c r="W35" s="194"/>
      <c r="X35" s="194"/>
      <c r="Y35" s="15"/>
      <c r="Z35" s="194" t="s">
        <v>70</v>
      </c>
      <c r="AA35" s="194"/>
      <c r="AB35" s="194"/>
    </row>
    <row r="36" spans="1:28" ht="15.75" thickBot="1" x14ac:dyDescent="0.3">
      <c r="A36" s="105"/>
      <c r="B36" s="105">
        <v>50</v>
      </c>
      <c r="C36" s="3">
        <v>1</v>
      </c>
      <c r="D36">
        <f>'Table for t-test'!R36</f>
        <v>3.3538997173308993E-2</v>
      </c>
      <c r="E36">
        <f>'Table for t-test'!S36</f>
        <v>8.1087350845340245E-3</v>
      </c>
      <c r="F36">
        <f>'Table for t-test'!T36</f>
        <v>6.868004798889199E-2</v>
      </c>
      <c r="G36">
        <f>'Table for t-test'!U36</f>
        <v>-4.1015803813933993E-2</v>
      </c>
      <c r="H36">
        <f>'Table for t-test'!V36</f>
        <v>-1.4740824699400745E-3</v>
      </c>
      <c r="I36">
        <f>'Table for t-test'!W36</f>
        <v>-0.11749932169914201</v>
      </c>
      <c r="P36" s="105"/>
      <c r="Q36" s="105"/>
    </row>
    <row r="37" spans="1:28" x14ac:dyDescent="0.25">
      <c r="A37" s="105"/>
      <c r="B37" s="105"/>
      <c r="C37" s="3">
        <v>2</v>
      </c>
      <c r="D37">
        <f>'Table for t-test'!R37</f>
        <v>0.10360361635684903</v>
      </c>
      <c r="E37">
        <f>'Table for t-test'!S37</f>
        <v>4.8575997352599987E-2</v>
      </c>
      <c r="F37">
        <f>'Table for t-test'!T37</f>
        <v>0.14351493120193504</v>
      </c>
      <c r="G37">
        <f>'Table for t-test'!U37</f>
        <v>7.5151950120925959E-2</v>
      </c>
      <c r="H37">
        <f>'Table for t-test'!V37</f>
        <v>4.5719027519226074E-2</v>
      </c>
      <c r="I37">
        <f>'Table for t-test'!W37</f>
        <v>0.113257706165314</v>
      </c>
      <c r="P37" s="105"/>
      <c r="Q37" s="105"/>
      <c r="R37" s="17"/>
      <c r="S37" s="17" t="s">
        <v>19</v>
      </c>
      <c r="T37" s="17" t="s">
        <v>71</v>
      </c>
      <c r="V37" s="17"/>
      <c r="W37" s="17" t="s">
        <v>19</v>
      </c>
      <c r="X37" s="17" t="s">
        <v>71</v>
      </c>
      <c r="Z37" s="17"/>
      <c r="AA37" s="17" t="s">
        <v>19</v>
      </c>
      <c r="AB37" s="17" t="s">
        <v>71</v>
      </c>
    </row>
    <row r="38" spans="1:28" x14ac:dyDescent="0.25">
      <c r="A38" s="105"/>
      <c r="B38" s="105"/>
      <c r="C38" s="3">
        <v>3</v>
      </c>
      <c r="D38">
        <f>'Table for t-test'!R38</f>
        <v>3.1347870826720081E-3</v>
      </c>
      <c r="E38">
        <f>'Table for t-test'!S38</f>
        <v>4.8601031303410203E-3</v>
      </c>
      <c r="F38">
        <f>'Table for t-test'!T38</f>
        <v>5.6552886962890014E-2</v>
      </c>
      <c r="G38">
        <f>'Table for t-test'!U38</f>
        <v>2.7449280023574996E-2</v>
      </c>
      <c r="H38">
        <f>'Table for t-test'!V38</f>
        <v>-2.407252788543035E-3</v>
      </c>
      <c r="I38">
        <f>'Table for t-test'!W38</f>
        <v>2.1855413913726029E-2</v>
      </c>
      <c r="P38" s="105"/>
      <c r="Q38" s="105"/>
      <c r="R38" t="s">
        <v>75</v>
      </c>
      <c r="S38">
        <v>5.8991223573684734E-2</v>
      </c>
      <c r="T38">
        <v>0.13061058893799748</v>
      </c>
      <c r="V38" t="s">
        <v>75</v>
      </c>
      <c r="W38">
        <v>2.0936876535415094E-3</v>
      </c>
      <c r="X38">
        <v>4.0545240044593783E-2</v>
      </c>
      <c r="Z38" t="s">
        <v>75</v>
      </c>
      <c r="AA38">
        <v>9.1078609228134252E-2</v>
      </c>
      <c r="AB38">
        <v>0.14127249643206599</v>
      </c>
    </row>
    <row r="39" spans="1:28" x14ac:dyDescent="0.25">
      <c r="A39" s="107"/>
      <c r="B39" s="107"/>
      <c r="C39" s="8">
        <v>4</v>
      </c>
      <c r="D39">
        <f>'Table for t-test'!R39</f>
        <v>3.2016575336456021E-2</v>
      </c>
      <c r="E39">
        <f>'Table for t-test'!S39</f>
        <v>1.403683423996005E-2</v>
      </c>
      <c r="F39">
        <f>'Table for t-test'!T39</f>
        <v>0.151376843452453</v>
      </c>
      <c r="G39">
        <f>'Table for t-test'!U39</f>
        <v>3.9900958538055975E-2</v>
      </c>
      <c r="H39">
        <f>'Table for t-test'!V39</f>
        <v>2.105939388275202E-2</v>
      </c>
      <c r="I39">
        <f>'Table for t-test'!W39</f>
        <v>9.1337144374846968E-2</v>
      </c>
      <c r="P39" s="105"/>
      <c r="Q39" s="105"/>
      <c r="R39" t="s">
        <v>76</v>
      </c>
      <c r="S39">
        <v>2.2844465258759221E-3</v>
      </c>
      <c r="T39">
        <v>3.7057324681046971E-3</v>
      </c>
      <c r="V39" t="s">
        <v>76</v>
      </c>
      <c r="W39">
        <v>5.9905081467417204E-4</v>
      </c>
      <c r="X39">
        <v>1.2014093524645366E-3</v>
      </c>
      <c r="Z39" t="s">
        <v>76</v>
      </c>
      <c r="AA39">
        <v>1.174272689175614E-3</v>
      </c>
      <c r="AB39">
        <v>9.4516568196501057E-3</v>
      </c>
    </row>
    <row r="40" spans="1:28" x14ac:dyDescent="0.25">
      <c r="A40" s="103" t="s">
        <v>25</v>
      </c>
      <c r="B40" s="103"/>
      <c r="C40" s="10">
        <v>1</v>
      </c>
      <c r="D40">
        <f>'Table for t-test'!R40</f>
        <v>0</v>
      </c>
      <c r="E40">
        <f>'Table for t-test'!S40</f>
        <v>1.6069829463957963E-2</v>
      </c>
      <c r="F40">
        <f>'Table for t-test'!T40</f>
        <v>2.0309105515479986E-2</v>
      </c>
      <c r="G40">
        <f>'Table for t-test'!U40</f>
        <v>-7.4115425348282027E-2</v>
      </c>
      <c r="H40">
        <f>'Table for t-test'!V40</f>
        <v>-5.8820247650139823E-3</v>
      </c>
      <c r="I40">
        <f>'Table for t-test'!W40</f>
        <v>1.0238587856293002E-2</v>
      </c>
      <c r="P40" s="105"/>
      <c r="Q40" s="105"/>
      <c r="R40" t="s">
        <v>77</v>
      </c>
      <c r="S40">
        <v>4</v>
      </c>
      <c r="T40">
        <v>4</v>
      </c>
      <c r="V40" t="s">
        <v>77</v>
      </c>
      <c r="W40">
        <v>4</v>
      </c>
      <c r="X40">
        <v>4</v>
      </c>
      <c r="Z40" t="s">
        <v>77</v>
      </c>
      <c r="AA40">
        <v>4</v>
      </c>
      <c r="AB40">
        <v>4</v>
      </c>
    </row>
    <row r="41" spans="1:28" x14ac:dyDescent="0.25">
      <c r="A41" s="105"/>
      <c r="B41" s="105"/>
      <c r="C41" s="3">
        <v>2</v>
      </c>
      <c r="D41">
        <f>'Table for t-test'!R41</f>
        <v>0</v>
      </c>
      <c r="E41">
        <f>'Table for t-test'!S41</f>
        <v>6.3210070133209006E-2</v>
      </c>
      <c r="F41">
        <f>'Table for t-test'!T41</f>
        <v>8.8532924652099998E-2</v>
      </c>
      <c r="G41">
        <f>'Table for t-test'!U41</f>
        <v>0.11531940102577201</v>
      </c>
      <c r="H41">
        <f>'Table for t-test'!V41</f>
        <v>8.7455272674559992E-2</v>
      </c>
      <c r="I41">
        <f>'Table for t-test'!W41</f>
        <v>0.16138763725757599</v>
      </c>
      <c r="P41" s="105"/>
      <c r="Q41" s="105"/>
      <c r="R41" t="s">
        <v>78</v>
      </c>
      <c r="S41">
        <v>-0.2001274773404684</v>
      </c>
      <c r="V41" t="s">
        <v>78</v>
      </c>
      <c r="W41">
        <v>0.43459862112793551</v>
      </c>
      <c r="Z41" t="s">
        <v>78</v>
      </c>
      <c r="AA41">
        <v>0.91427794757951686</v>
      </c>
    </row>
    <row r="42" spans="1:28" x14ac:dyDescent="0.25">
      <c r="A42" s="105"/>
      <c r="B42" s="105"/>
      <c r="C42" s="3">
        <v>3</v>
      </c>
      <c r="D42">
        <f>'Table for t-test'!R42</f>
        <v>0</v>
      </c>
      <c r="E42">
        <f>'Table for t-test'!S42</f>
        <v>-1.0140538215630546E-3</v>
      </c>
      <c r="F42">
        <f>'Table for t-test'!T42</f>
        <v>8.7488740682599986E-3</v>
      </c>
      <c r="G42">
        <f>'Table for t-test'!U42</f>
        <v>4.2470961809158991E-2</v>
      </c>
      <c r="H42">
        <f>'Table for t-test'!V42</f>
        <v>1.7149031162262074E-2</v>
      </c>
      <c r="I42">
        <f>'Table for t-test'!W42</f>
        <v>5.7152450084686002E-2</v>
      </c>
      <c r="P42" s="105"/>
      <c r="Q42" s="105"/>
      <c r="R42" t="s">
        <v>79</v>
      </c>
      <c r="S42">
        <v>0</v>
      </c>
      <c r="V42" t="s">
        <v>79</v>
      </c>
      <c r="W42">
        <v>0</v>
      </c>
      <c r="Z42" t="s">
        <v>79</v>
      </c>
      <c r="AA42">
        <v>0</v>
      </c>
    </row>
    <row r="43" spans="1:28" x14ac:dyDescent="0.25">
      <c r="A43" s="107"/>
      <c r="B43" s="107"/>
      <c r="C43" s="8">
        <v>4</v>
      </c>
      <c r="D43">
        <f>'Table for t-test'!R43</f>
        <v>0</v>
      </c>
      <c r="E43">
        <f>'Table for t-test'!S43</f>
        <v>4.7089159488677979E-2</v>
      </c>
      <c r="F43">
        <f>'Table for t-test'!T43</f>
        <v>4.8084899783133989E-2</v>
      </c>
      <c r="G43">
        <f>'Table for t-test'!U43</f>
        <v>2.7884602546692006E-2</v>
      </c>
      <c r="H43">
        <f>'Table for t-test'!V43</f>
        <v>2.8432428836823065E-2</v>
      </c>
      <c r="I43">
        <f>'Table for t-test'!W43</f>
        <v>6.4288228750229048E-2</v>
      </c>
      <c r="P43" s="105"/>
      <c r="Q43" s="105"/>
      <c r="R43" t="s">
        <v>80</v>
      </c>
      <c r="S43">
        <v>3</v>
      </c>
      <c r="V43" t="s">
        <v>80</v>
      </c>
      <c r="W43">
        <v>3</v>
      </c>
      <c r="Z43" t="s">
        <v>80</v>
      </c>
      <c r="AA43">
        <v>3</v>
      </c>
    </row>
    <row r="44" spans="1:28" x14ac:dyDescent="0.25">
      <c r="A44" s="103" t="s">
        <v>26</v>
      </c>
      <c r="B44" s="103"/>
      <c r="C44" s="10">
        <v>1</v>
      </c>
      <c r="D44">
        <f>'Table for t-test'!R44</f>
        <v>0</v>
      </c>
      <c r="E44">
        <f>'Table for t-test'!S44</f>
        <v>3.0254960060120073E-2</v>
      </c>
      <c r="F44">
        <f>'Table for t-test'!T44</f>
        <v>4.2955666780471996E-2</v>
      </c>
      <c r="G44">
        <f>'Table for t-test'!U44</f>
        <v>-7.4115425348282027E-2</v>
      </c>
      <c r="H44">
        <f>'Table for t-test'!V44</f>
        <v>-5.8820247650139823E-3</v>
      </c>
      <c r="I44">
        <f>'Table for t-test'!W44</f>
        <v>1.0238587856293002E-2</v>
      </c>
      <c r="P44" s="105"/>
      <c r="Q44" s="105"/>
      <c r="R44" t="s">
        <v>81</v>
      </c>
      <c r="S44">
        <v>-1.6934148850122501</v>
      </c>
      <c r="V44" t="s">
        <v>81</v>
      </c>
      <c r="W44">
        <v>-2.3586438293340191</v>
      </c>
      <c r="Z44" t="s">
        <v>81</v>
      </c>
      <c r="AA44">
        <v>-1.4908521472962617</v>
      </c>
    </row>
    <row r="45" spans="1:28" x14ac:dyDescent="0.25">
      <c r="A45" s="105"/>
      <c r="B45" s="105"/>
      <c r="C45" s="3">
        <v>2</v>
      </c>
      <c r="D45">
        <f>'Table for t-test'!R45</f>
        <v>0</v>
      </c>
      <c r="E45">
        <f>'Table for t-test'!S45</f>
        <v>5.4666638374328946E-2</v>
      </c>
      <c r="F45">
        <f>'Table for t-test'!T45</f>
        <v>9.0144827961921997E-2</v>
      </c>
      <c r="G45">
        <f>'Table for t-test'!U45</f>
        <v>0.11531940102577201</v>
      </c>
      <c r="H45">
        <f>'Table for t-test'!V45</f>
        <v>8.7455272674559992E-2</v>
      </c>
      <c r="I45">
        <f>'Table for t-test'!W45</f>
        <v>0.16138763725757599</v>
      </c>
      <c r="P45" s="105"/>
      <c r="Q45" s="105"/>
      <c r="R45" t="s">
        <v>82</v>
      </c>
      <c r="S45">
        <v>9.4475619817611545E-2</v>
      </c>
      <c r="V45" t="s">
        <v>82</v>
      </c>
      <c r="W45">
        <v>4.9761097702398296E-2</v>
      </c>
      <c r="Z45" t="s">
        <v>82</v>
      </c>
      <c r="AA45">
        <v>0.11639558950816661</v>
      </c>
    </row>
    <row r="46" spans="1:28" x14ac:dyDescent="0.25">
      <c r="A46" s="105"/>
      <c r="B46" s="105"/>
      <c r="C46" s="3">
        <v>3</v>
      </c>
      <c r="D46">
        <f>'Table for t-test'!R46</f>
        <v>0</v>
      </c>
      <c r="E46">
        <f>'Table for t-test'!S46</f>
        <v>3.4305572509766069E-2</v>
      </c>
      <c r="F46">
        <f>'Table for t-test'!T46</f>
        <v>1.7023570835591001E-2</v>
      </c>
      <c r="G46">
        <f>'Table for t-test'!U46</f>
        <v>4.2470961809158991E-2</v>
      </c>
      <c r="H46">
        <f>'Table for t-test'!V46</f>
        <v>1.7149031162262074E-2</v>
      </c>
      <c r="I46">
        <f>'Table for t-test'!W46</f>
        <v>5.7152450084686002E-2</v>
      </c>
      <c r="P46" s="105"/>
      <c r="Q46" s="105"/>
      <c r="R46" t="s">
        <v>83</v>
      </c>
      <c r="S46">
        <v>2.3533634348018233</v>
      </c>
      <c r="V46" t="s">
        <v>83</v>
      </c>
      <c r="W46">
        <v>2.3533634348018233</v>
      </c>
      <c r="Z46" t="s">
        <v>83</v>
      </c>
      <c r="AA46">
        <v>2.3533634348018233</v>
      </c>
    </row>
    <row r="47" spans="1:28" x14ac:dyDescent="0.25">
      <c r="A47" s="107"/>
      <c r="B47" s="107"/>
      <c r="C47" s="8">
        <v>4</v>
      </c>
      <c r="D47">
        <f>'Table for t-test'!R47</f>
        <v>0</v>
      </c>
      <c r="E47">
        <f>'Table for t-test'!S47</f>
        <v>4.1077911853790061E-2</v>
      </c>
      <c r="F47">
        <f>'Table for t-test'!T47</f>
        <v>6.9380462169646995E-2</v>
      </c>
      <c r="G47">
        <f>'Table for t-test'!U47</f>
        <v>2.7884602546692006E-2</v>
      </c>
      <c r="H47">
        <f>'Table for t-test'!V47</f>
        <v>2.8432428836823065E-2</v>
      </c>
      <c r="I47">
        <f>'Table for t-test'!W47</f>
        <v>6.4288228750229048E-2</v>
      </c>
      <c r="P47" s="105"/>
      <c r="Q47" s="105"/>
      <c r="R47" t="s">
        <v>84</v>
      </c>
      <c r="S47">
        <v>0.18895123963522309</v>
      </c>
      <c r="V47" t="s">
        <v>84</v>
      </c>
      <c r="W47">
        <v>9.9522195404796593E-2</v>
      </c>
      <c r="Z47" t="s">
        <v>84</v>
      </c>
      <c r="AA47">
        <v>0.23279117901633323</v>
      </c>
    </row>
    <row r="48" spans="1:28" ht="15.75" thickBot="1" x14ac:dyDescent="0.3">
      <c r="P48" s="105"/>
      <c r="Q48" s="105"/>
      <c r="R48" s="16" t="s">
        <v>85</v>
      </c>
      <c r="S48" s="16">
        <v>3.1824463052837091</v>
      </c>
      <c r="T48" s="16"/>
      <c r="V48" s="16" t="s">
        <v>85</v>
      </c>
      <c r="W48" s="16">
        <v>3.1824463052837091</v>
      </c>
      <c r="X48" s="16"/>
      <c r="Z48" s="16" t="s">
        <v>85</v>
      </c>
      <c r="AA48" s="16">
        <v>3.1824463052837091</v>
      </c>
      <c r="AB48" s="16"/>
    </row>
    <row r="49" spans="16:28" x14ac:dyDescent="0.25">
      <c r="P49" s="105"/>
      <c r="Q49" s="105"/>
      <c r="R49" t="str">
        <f>IF(T38 &gt; S38, "Pretrained &gt; Fresh", "Pretrained &lt; Fresh")</f>
        <v>Pretrained &gt; Fresh</v>
      </c>
      <c r="S49" s="171" t="str">
        <f>IF(S45 &lt; 0.05, "Significant", "Not Significant")</f>
        <v>Not Significant</v>
      </c>
      <c r="T49" s="171"/>
      <c r="V49" t="str">
        <f>IF(X38 &gt; W38, "Pretrained &gt; Fresh", "Pretrained &lt; Fresh")</f>
        <v>Pretrained &gt; Fresh</v>
      </c>
      <c r="W49" s="171" t="str">
        <f>IF(W45 &lt; 0.05, "Significant", "Not Significant")</f>
        <v>Significant</v>
      </c>
      <c r="X49" s="171"/>
      <c r="Z49" t="str">
        <f>IF(AB38 &gt; AA38, "Pretrained &gt; Fresh", "Pretrained &lt; Fresh")</f>
        <v>Pretrained &gt; Fresh</v>
      </c>
      <c r="AA49" s="171" t="str">
        <f>IF(AA45 &lt; 0.05, "Significant", "Not Significant")</f>
        <v>Not Significant</v>
      </c>
      <c r="AB49" s="171"/>
    </row>
    <row r="50" spans="16:28" x14ac:dyDescent="0.25">
      <c r="P50" s="105"/>
      <c r="Q50" s="105"/>
      <c r="R50">
        <f>S45</f>
        <v>9.4475619817611545E-2</v>
      </c>
      <c r="V50">
        <f>W45</f>
        <v>4.9761097702398296E-2</v>
      </c>
      <c r="Z50">
        <f>AA45</f>
        <v>0.11639558950816661</v>
      </c>
    </row>
    <row r="51" spans="16:28" x14ac:dyDescent="0.25">
      <c r="P51" s="105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r="52" spans="16:28" x14ac:dyDescent="0.25">
      <c r="P52" s="105" t="s">
        <v>97</v>
      </c>
      <c r="Q52" s="105">
        <v>18</v>
      </c>
      <c r="R52" s="194" t="s">
        <v>4</v>
      </c>
      <c r="S52" s="194"/>
      <c r="T52" s="194"/>
      <c r="U52" s="15"/>
      <c r="V52" s="194" t="s">
        <v>5</v>
      </c>
      <c r="W52" s="194"/>
      <c r="X52" s="194"/>
      <c r="Y52" s="15"/>
      <c r="Z52" s="194" t="s">
        <v>70</v>
      </c>
      <c r="AA52" s="194"/>
      <c r="AB52" s="194"/>
    </row>
    <row r="53" spans="16:28" ht="15.75" thickBot="1" x14ac:dyDescent="0.3">
      <c r="P53" s="105"/>
      <c r="Q53" s="105"/>
    </row>
    <row r="54" spans="16:28" x14ac:dyDescent="0.25">
      <c r="P54" s="105"/>
      <c r="Q54" s="105"/>
      <c r="R54" s="17"/>
      <c r="S54" s="17" t="s">
        <v>19</v>
      </c>
      <c r="T54" s="17" t="s">
        <v>71</v>
      </c>
      <c r="V54" s="17"/>
      <c r="W54" s="17" t="s">
        <v>19</v>
      </c>
      <c r="X54" s="17" t="s">
        <v>71</v>
      </c>
      <c r="Z54" s="17"/>
      <c r="AA54" s="17" t="s">
        <v>19</v>
      </c>
      <c r="AB54" s="17" t="s">
        <v>71</v>
      </c>
    </row>
    <row r="55" spans="16:28" x14ac:dyDescent="0.25">
      <c r="P55" s="105"/>
      <c r="Q55" s="105"/>
      <c r="R55" t="s">
        <v>75</v>
      </c>
      <c r="S55">
        <v>4.2286925017833765E-2</v>
      </c>
      <c r="T55">
        <v>5.7488560676574513E-2</v>
      </c>
      <c r="V55" t="s">
        <v>75</v>
      </c>
      <c r="W55">
        <v>2.8166413307189747E-2</v>
      </c>
      <c r="X55">
        <v>3.3732056617735429E-3</v>
      </c>
      <c r="Z55" t="s">
        <v>75</v>
      </c>
      <c r="AA55">
        <v>5.4713793098926752E-2</v>
      </c>
      <c r="AB55">
        <v>7.8007541596889274E-2</v>
      </c>
    </row>
    <row r="56" spans="16:28" x14ac:dyDescent="0.25">
      <c r="P56" s="105"/>
      <c r="Q56" s="105"/>
      <c r="R56" t="s">
        <v>76</v>
      </c>
      <c r="S56">
        <v>9.1728445315753318E-4</v>
      </c>
      <c r="T56">
        <v>7.964799483636669E-4</v>
      </c>
      <c r="V56" t="s">
        <v>76</v>
      </c>
      <c r="W56">
        <v>6.9072374306481776E-4</v>
      </c>
      <c r="X56">
        <v>4.8873910185656254E-4</v>
      </c>
      <c r="Z56" t="s">
        <v>76</v>
      </c>
      <c r="AA56">
        <v>5.2502773914335126E-3</v>
      </c>
      <c r="AB56">
        <v>1.0948290507685639E-3</v>
      </c>
    </row>
    <row r="57" spans="16:28" x14ac:dyDescent="0.25">
      <c r="P57" s="105"/>
      <c r="Q57" s="105"/>
      <c r="R57" t="s">
        <v>77</v>
      </c>
      <c r="S57">
        <v>4</v>
      </c>
      <c r="T57">
        <v>4</v>
      </c>
      <c r="V57" t="s">
        <v>77</v>
      </c>
      <c r="W57">
        <v>4</v>
      </c>
      <c r="X57">
        <v>4</v>
      </c>
      <c r="Z57" t="s">
        <v>77</v>
      </c>
      <c r="AA57">
        <v>4</v>
      </c>
      <c r="AB57">
        <v>4</v>
      </c>
    </row>
    <row r="58" spans="16:28" x14ac:dyDescent="0.25">
      <c r="P58" s="105"/>
      <c r="Q58" s="105"/>
      <c r="R58" t="s">
        <v>78</v>
      </c>
      <c r="S58">
        <v>-6.2981920342638234E-2</v>
      </c>
      <c r="V58" t="s">
        <v>78</v>
      </c>
      <c r="W58">
        <v>0.79625751331403372</v>
      </c>
      <c r="Z58" t="s">
        <v>78</v>
      </c>
      <c r="AA58">
        <v>8.1513893146984803E-2</v>
      </c>
    </row>
    <row r="59" spans="16:28" x14ac:dyDescent="0.25">
      <c r="P59" s="105"/>
      <c r="Q59" s="105"/>
      <c r="R59" t="s">
        <v>79</v>
      </c>
      <c r="S59">
        <v>0</v>
      </c>
      <c r="V59" t="s">
        <v>79</v>
      </c>
      <c r="W59">
        <v>0</v>
      </c>
      <c r="Z59" t="s">
        <v>79</v>
      </c>
      <c r="AA59">
        <v>0</v>
      </c>
    </row>
    <row r="60" spans="16:28" x14ac:dyDescent="0.25">
      <c r="P60" s="105"/>
      <c r="Q60" s="105"/>
      <c r="R60" t="s">
        <v>80</v>
      </c>
      <c r="S60">
        <v>3</v>
      </c>
      <c r="V60" t="s">
        <v>80</v>
      </c>
      <c r="W60">
        <v>3</v>
      </c>
      <c r="Z60" t="s">
        <v>80</v>
      </c>
      <c r="AA60">
        <v>3</v>
      </c>
    </row>
    <row r="61" spans="16:28" x14ac:dyDescent="0.25">
      <c r="P61" s="105"/>
      <c r="Q61" s="105"/>
      <c r="R61" t="s">
        <v>81</v>
      </c>
      <c r="S61">
        <v>-0.71238345573333062</v>
      </c>
      <c r="V61" t="s">
        <v>81</v>
      </c>
      <c r="W61">
        <v>3.1102234865726497</v>
      </c>
      <c r="Z61" t="s">
        <v>81</v>
      </c>
      <c r="AA61">
        <v>-0.60374858874738091</v>
      </c>
    </row>
    <row r="62" spans="16:28" x14ac:dyDescent="0.25">
      <c r="P62" s="105"/>
      <c r="Q62" s="105"/>
      <c r="R62" t="s">
        <v>82</v>
      </c>
      <c r="S62">
        <v>0.26381701853129202</v>
      </c>
      <c r="V62" t="s">
        <v>82</v>
      </c>
      <c r="W62">
        <v>2.6436155130855721E-2</v>
      </c>
      <c r="Z62" t="s">
        <v>82</v>
      </c>
      <c r="AA62">
        <v>0.29430369906273546</v>
      </c>
    </row>
    <row r="63" spans="16:28" x14ac:dyDescent="0.25">
      <c r="P63" s="105"/>
      <c r="Q63" s="105"/>
      <c r="R63" t="s">
        <v>83</v>
      </c>
      <c r="S63">
        <v>2.3533634348018233</v>
      </c>
      <c r="V63" t="s">
        <v>83</v>
      </c>
      <c r="W63">
        <v>2.3533634348018233</v>
      </c>
      <c r="Z63" t="s">
        <v>83</v>
      </c>
      <c r="AA63">
        <v>2.3533634348018233</v>
      </c>
    </row>
    <row r="64" spans="16:28" x14ac:dyDescent="0.25">
      <c r="P64" s="105"/>
      <c r="Q64" s="105"/>
      <c r="R64" t="s">
        <v>84</v>
      </c>
      <c r="S64">
        <v>0.52763403706258405</v>
      </c>
      <c r="V64" t="s">
        <v>84</v>
      </c>
      <c r="W64">
        <v>5.2872310261711443E-2</v>
      </c>
      <c r="Z64" t="s">
        <v>84</v>
      </c>
      <c r="AA64">
        <v>0.58860739812547092</v>
      </c>
    </row>
    <row r="65" spans="16:28" ht="15.75" thickBot="1" x14ac:dyDescent="0.3">
      <c r="P65" s="105"/>
      <c r="Q65" s="105"/>
      <c r="R65" s="16" t="s">
        <v>85</v>
      </c>
      <c r="S65" s="16">
        <v>3.1824463052837091</v>
      </c>
      <c r="T65" s="16"/>
      <c r="V65" s="16" t="s">
        <v>85</v>
      </c>
      <c r="W65" s="16">
        <v>3.1824463052837091</v>
      </c>
      <c r="X65" s="16"/>
      <c r="Z65" s="16" t="s">
        <v>85</v>
      </c>
      <c r="AA65" s="16">
        <v>3.1824463052837091</v>
      </c>
      <c r="AB65" s="16"/>
    </row>
    <row r="66" spans="16:28" x14ac:dyDescent="0.25">
      <c r="P66" s="105"/>
      <c r="Q66" s="105"/>
      <c r="R66" t="str">
        <f>IF(T55 &gt; S55, "Pretrained &gt; Fresh", "Pretrained &lt; Fresh")</f>
        <v>Pretrained &gt; Fresh</v>
      </c>
      <c r="S66" s="171" t="str">
        <f>IF(S62 &lt; 0.05, "Significant", "Not Significant")</f>
        <v>Not Significant</v>
      </c>
      <c r="T66" s="171"/>
      <c r="V66" t="str">
        <f>IF(X55 &gt; W55, "Pretrained &gt; Fresh", "Pretrained &lt; Fresh")</f>
        <v>Pretrained &lt; Fresh</v>
      </c>
      <c r="W66" s="171" t="str">
        <f>IF(W62 &lt; 0.05, "Significant", "Not Significant")</f>
        <v>Significant</v>
      </c>
      <c r="X66" s="171"/>
      <c r="Z66" t="str">
        <f>IF(AB55 &gt; AA55, "Pretrained &gt; Fresh", "Pretrained &lt; Fresh")</f>
        <v>Pretrained &gt; Fresh</v>
      </c>
      <c r="AA66" s="171" t="str">
        <f>IF(AA62 &lt; 0.05, "Significant", "Not Significant")</f>
        <v>Not Significant</v>
      </c>
      <c r="AB66" s="171"/>
    </row>
    <row r="67" spans="16:28" x14ac:dyDescent="0.25">
      <c r="P67" s="105"/>
      <c r="Q67" s="105"/>
      <c r="R67">
        <f>S62</f>
        <v>0.26381701853129202</v>
      </c>
      <c r="V67">
        <f>W62</f>
        <v>2.6436155130855721E-2</v>
      </c>
      <c r="Z67">
        <f>AA62</f>
        <v>0.29430369906273546</v>
      </c>
    </row>
    <row r="68" spans="16:28" x14ac:dyDescent="0.25">
      <c r="P68" s="105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r="69" spans="16:28" x14ac:dyDescent="0.25">
      <c r="P69" s="105"/>
      <c r="Q69" s="105">
        <v>34</v>
      </c>
      <c r="R69" s="194" t="s">
        <v>4</v>
      </c>
      <c r="S69" s="194"/>
      <c r="T69" s="194"/>
      <c r="U69" s="15"/>
      <c r="V69" s="194" t="s">
        <v>5</v>
      </c>
      <c r="W69" s="194"/>
      <c r="X69" s="194"/>
      <c r="Y69" s="15"/>
      <c r="Z69" s="194" t="s">
        <v>70</v>
      </c>
      <c r="AA69" s="194"/>
      <c r="AB69" s="194"/>
    </row>
    <row r="70" spans="16:28" ht="15.75" thickBot="1" x14ac:dyDescent="0.3">
      <c r="P70" s="105"/>
      <c r="Q70" s="105"/>
    </row>
    <row r="71" spans="16:28" x14ac:dyDescent="0.25">
      <c r="P71" s="105"/>
      <c r="Q71" s="105"/>
      <c r="R71" s="17"/>
      <c r="S71" s="17" t="s">
        <v>19</v>
      </c>
      <c r="T71" s="17" t="s">
        <v>71</v>
      </c>
      <c r="V71" s="17"/>
      <c r="W71" s="17" t="s">
        <v>19</v>
      </c>
      <c r="X71" s="17" t="s">
        <v>71</v>
      </c>
      <c r="Z71" s="17"/>
      <c r="AA71" s="17" t="s">
        <v>19</v>
      </c>
      <c r="AB71" s="17" t="s">
        <v>71</v>
      </c>
    </row>
    <row r="72" spans="16:28" x14ac:dyDescent="0.25">
      <c r="P72" s="105"/>
      <c r="Q72" s="105"/>
      <c r="R72" t="s">
        <v>75</v>
      </c>
      <c r="S72">
        <v>7.2456292808056016E-2</v>
      </c>
      <c r="T72">
        <v>4.8989549279213021E-2</v>
      </c>
      <c r="V72" t="s">
        <v>75</v>
      </c>
      <c r="W72">
        <v>2.9775828123092485E-2</v>
      </c>
      <c r="X72">
        <v>2.3949012160301486E-2</v>
      </c>
      <c r="Z72" t="s">
        <v>75</v>
      </c>
      <c r="AA72">
        <v>9.5509395003318523E-2</v>
      </c>
      <c r="AB72">
        <v>7.1797817945480527E-2</v>
      </c>
    </row>
    <row r="73" spans="16:28" x14ac:dyDescent="0.25">
      <c r="P73" s="105"/>
      <c r="Q73" s="105"/>
      <c r="R73" t="s">
        <v>76</v>
      </c>
      <c r="S73">
        <v>3.5174114747855644E-3</v>
      </c>
      <c r="T73">
        <v>4.6518667774750219E-4</v>
      </c>
      <c r="V73" t="s">
        <v>76</v>
      </c>
      <c r="W73">
        <v>5.8406895498446735E-4</v>
      </c>
      <c r="X73">
        <v>4.1075695428194309E-4</v>
      </c>
      <c r="Z73" t="s">
        <v>76</v>
      </c>
      <c r="AA73">
        <v>4.1046830841535526E-3</v>
      </c>
      <c r="AB73">
        <v>2.675068312139324E-3</v>
      </c>
    </row>
    <row r="74" spans="16:28" x14ac:dyDescent="0.25">
      <c r="P74" s="105"/>
      <c r="Q74" s="105"/>
      <c r="R74" t="s">
        <v>77</v>
      </c>
      <c r="S74">
        <v>4</v>
      </c>
      <c r="T74">
        <v>4</v>
      </c>
      <c r="V74" t="s">
        <v>77</v>
      </c>
      <c r="W74">
        <v>4</v>
      </c>
      <c r="X74">
        <v>4</v>
      </c>
      <c r="Z74" t="s">
        <v>77</v>
      </c>
      <c r="AA74">
        <v>4</v>
      </c>
      <c r="AB74">
        <v>4</v>
      </c>
    </row>
    <row r="75" spans="16:28" x14ac:dyDescent="0.25">
      <c r="P75" s="105"/>
      <c r="Q75" s="105"/>
      <c r="R75" t="s">
        <v>78</v>
      </c>
      <c r="S75">
        <v>0.17936859500277377</v>
      </c>
      <c r="V75" t="s">
        <v>78</v>
      </c>
      <c r="W75">
        <v>0.50957252281229826</v>
      </c>
      <c r="Z75" t="s">
        <v>78</v>
      </c>
      <c r="AA75">
        <v>0.92198075821131109</v>
      </c>
    </row>
    <row r="76" spans="16:28" x14ac:dyDescent="0.25">
      <c r="P76" s="105"/>
      <c r="Q76" s="105"/>
      <c r="R76" t="s">
        <v>79</v>
      </c>
      <c r="S76">
        <v>0</v>
      </c>
      <c r="V76" t="s">
        <v>79</v>
      </c>
      <c r="W76">
        <v>0</v>
      </c>
      <c r="Z76" t="s">
        <v>79</v>
      </c>
      <c r="AA76">
        <v>0</v>
      </c>
    </row>
    <row r="77" spans="16:28" x14ac:dyDescent="0.25">
      <c r="P77" s="105"/>
      <c r="Q77" s="105"/>
      <c r="R77" t="s">
        <v>80</v>
      </c>
      <c r="S77">
        <v>3</v>
      </c>
      <c r="V77" t="s">
        <v>80</v>
      </c>
      <c r="W77">
        <v>3</v>
      </c>
      <c r="Z77" t="s">
        <v>80</v>
      </c>
      <c r="AA77">
        <v>3</v>
      </c>
    </row>
    <row r="78" spans="16:28" x14ac:dyDescent="0.25">
      <c r="P78" s="105"/>
      <c r="Q78" s="105"/>
      <c r="R78" t="s">
        <v>81</v>
      </c>
      <c r="S78">
        <v>0.79064659171030205</v>
      </c>
      <c r="V78" t="s">
        <v>81</v>
      </c>
      <c r="W78">
        <v>0.5234524275554423</v>
      </c>
      <c r="Z78" t="s">
        <v>81</v>
      </c>
      <c r="AA78">
        <v>1.8328008360430013</v>
      </c>
    </row>
    <row r="79" spans="16:28" x14ac:dyDescent="0.25">
      <c r="P79" s="105"/>
      <c r="Q79" s="105"/>
      <c r="R79" t="s">
        <v>82</v>
      </c>
      <c r="S79">
        <v>0.24344430591608973</v>
      </c>
      <c r="V79" t="s">
        <v>82</v>
      </c>
      <c r="W79">
        <v>0.31843256674528603</v>
      </c>
      <c r="Z79" t="s">
        <v>82</v>
      </c>
      <c r="AA79">
        <v>8.2105404956630032E-2</v>
      </c>
    </row>
    <row r="80" spans="16:28" x14ac:dyDescent="0.25">
      <c r="P80" s="105"/>
      <c r="Q80" s="105"/>
      <c r="R80" t="s">
        <v>83</v>
      </c>
      <c r="S80">
        <v>2.3533634348018233</v>
      </c>
      <c r="V80" t="s">
        <v>83</v>
      </c>
      <c r="W80">
        <v>2.3533634348018233</v>
      </c>
      <c r="Z80" t="s">
        <v>83</v>
      </c>
      <c r="AA80">
        <v>2.3533634348018233</v>
      </c>
    </row>
    <row r="81" spans="16:28" x14ac:dyDescent="0.25">
      <c r="P81" s="105"/>
      <c r="Q81" s="105"/>
      <c r="R81" t="s">
        <v>84</v>
      </c>
      <c r="S81">
        <v>0.48688861183217946</v>
      </c>
      <c r="V81" t="s">
        <v>84</v>
      </c>
      <c r="W81">
        <v>0.63686513349057206</v>
      </c>
      <c r="Z81" t="s">
        <v>84</v>
      </c>
      <c r="AA81">
        <v>0.16421080991326006</v>
      </c>
    </row>
    <row r="82" spans="16:28" ht="15.75" thickBot="1" x14ac:dyDescent="0.3">
      <c r="P82" s="105"/>
      <c r="Q82" s="105"/>
      <c r="R82" s="16" t="s">
        <v>85</v>
      </c>
      <c r="S82" s="16">
        <v>3.1824463052837091</v>
      </c>
      <c r="T82" s="16"/>
      <c r="V82" s="16" t="s">
        <v>85</v>
      </c>
      <c r="W82" s="16">
        <v>3.1824463052837091</v>
      </c>
      <c r="X82" s="16"/>
      <c r="Z82" s="16" t="s">
        <v>85</v>
      </c>
      <c r="AA82" s="16">
        <v>3.1824463052837091</v>
      </c>
      <c r="AB82" s="16"/>
    </row>
    <row r="83" spans="16:28" x14ac:dyDescent="0.25">
      <c r="P83" s="105"/>
      <c r="Q83" s="105"/>
      <c r="R83" t="str">
        <f>IF(T72 &gt; S72, "Pretrained &gt; Fresh", "Pretrained &lt; Fresh")</f>
        <v>Pretrained &lt; Fresh</v>
      </c>
      <c r="S83" s="171" t="str">
        <f>IF(S79 &lt; 0.05, "Significant", "Not Significant")</f>
        <v>Not Significant</v>
      </c>
      <c r="T83" s="171"/>
      <c r="V83" t="str">
        <f>IF(X72 &gt; W72, "Pretrained &gt; Fresh", "Pretrained &lt; Fresh")</f>
        <v>Pretrained &lt; Fresh</v>
      </c>
      <c r="W83" s="171" t="str">
        <f>IF(W79 &lt; 0.05, "Significant", "Not Significant")</f>
        <v>Not Significant</v>
      </c>
      <c r="X83" s="171"/>
      <c r="Z83" t="str">
        <f>IF(AB72 &gt; AA72, "Pretrained &gt; Fresh", "Pretrained &lt; Fresh")</f>
        <v>Pretrained &lt; Fresh</v>
      </c>
      <c r="AA83" s="171" t="str">
        <f>IF(AA79 &lt; 0.05, "Significant", "Not Significant")</f>
        <v>Not Significant</v>
      </c>
      <c r="AB83" s="171"/>
    </row>
    <row r="84" spans="16:28" x14ac:dyDescent="0.25">
      <c r="P84" s="105"/>
      <c r="Q84" s="105"/>
      <c r="R84">
        <f>S79</f>
        <v>0.24344430591608973</v>
      </c>
      <c r="V84">
        <f>W79</f>
        <v>0.31843256674528603</v>
      </c>
      <c r="Z84">
        <f>AA79</f>
        <v>8.2105404956630032E-2</v>
      </c>
    </row>
    <row r="85" spans="16:28" x14ac:dyDescent="0.25">
      <c r="P85" s="105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r="86" spans="16:28" x14ac:dyDescent="0.25">
      <c r="P86" s="105"/>
      <c r="Q86" s="105">
        <v>50</v>
      </c>
      <c r="R86" s="194" t="s">
        <v>4</v>
      </c>
      <c r="S86" s="194"/>
      <c r="T86" s="194"/>
      <c r="U86" s="15"/>
      <c r="V86" s="194" t="s">
        <v>5</v>
      </c>
      <c r="W86" s="194"/>
      <c r="X86" s="194"/>
      <c r="Y86" s="15"/>
      <c r="Z86" s="194" t="s">
        <v>70</v>
      </c>
      <c r="AA86" s="194"/>
      <c r="AB86" s="194"/>
    </row>
    <row r="87" spans="16:28" ht="15.75" thickBot="1" x14ac:dyDescent="0.3">
      <c r="P87" s="105"/>
      <c r="Q87" s="105"/>
    </row>
    <row r="88" spans="16:28" x14ac:dyDescent="0.25">
      <c r="P88" s="105"/>
      <c r="Q88" s="105"/>
      <c r="R88" s="17"/>
      <c r="S88" s="17" t="s">
        <v>19</v>
      </c>
      <c r="T88" s="17" t="s">
        <v>71</v>
      </c>
      <c r="V88" s="17"/>
      <c r="W88" s="17" t="s">
        <v>19</v>
      </c>
      <c r="X88" s="17" t="s">
        <v>71</v>
      </c>
      <c r="Z88" s="17"/>
      <c r="AA88" s="17" t="s">
        <v>19</v>
      </c>
      <c r="AB88" s="17" t="s">
        <v>71</v>
      </c>
    </row>
    <row r="89" spans="16:28" x14ac:dyDescent="0.25">
      <c r="P89" s="105"/>
      <c r="Q89" s="105"/>
      <c r="R89" t="s">
        <v>75</v>
      </c>
      <c r="S89">
        <v>5.2747830748557975E-2</v>
      </c>
      <c r="T89">
        <v>2.5371596217155734E-2</v>
      </c>
      <c r="V89" t="s">
        <v>75</v>
      </c>
      <c r="W89">
        <v>3.3928290009499013E-2</v>
      </c>
      <c r="X89">
        <v>1.5724271535873746E-2</v>
      </c>
      <c r="Z89" t="s">
        <v>75</v>
      </c>
      <c r="AA89">
        <v>0.11745886504650149</v>
      </c>
      <c r="AB89">
        <v>2.7237735688686246E-2</v>
      </c>
    </row>
    <row r="90" spans="16:28" x14ac:dyDescent="0.25">
      <c r="P90" s="105"/>
      <c r="Q90" s="105"/>
      <c r="R90" t="s">
        <v>76</v>
      </c>
      <c r="S90">
        <v>2.5629664550453585E-3</v>
      </c>
      <c r="T90">
        <v>2.366929885707999E-3</v>
      </c>
      <c r="V90" t="s">
        <v>76</v>
      </c>
      <c r="W90">
        <v>3.6592689163317607E-4</v>
      </c>
      <c r="X90">
        <v>5.1756149059773999E-4</v>
      </c>
      <c r="Z90" t="s">
        <v>76</v>
      </c>
      <c r="AA90">
        <v>2.2618213331530323E-3</v>
      </c>
      <c r="AB90">
        <v>1.0828651561230689E-2</v>
      </c>
    </row>
    <row r="91" spans="16:28" x14ac:dyDescent="0.25">
      <c r="P91" s="105"/>
      <c r="Q91" s="105"/>
      <c r="R91" t="s">
        <v>77</v>
      </c>
      <c r="S91">
        <v>4</v>
      </c>
      <c r="T91">
        <v>4</v>
      </c>
      <c r="V91" t="s">
        <v>77</v>
      </c>
      <c r="W91">
        <v>4</v>
      </c>
      <c r="X91">
        <v>4</v>
      </c>
      <c r="Z91" t="s">
        <v>77</v>
      </c>
      <c r="AA91">
        <v>4</v>
      </c>
      <c r="AB91">
        <v>4</v>
      </c>
    </row>
    <row r="92" spans="16:28" x14ac:dyDescent="0.25">
      <c r="P92" s="105"/>
      <c r="Q92" s="105"/>
      <c r="R92" t="s">
        <v>78</v>
      </c>
      <c r="S92">
        <v>0.33236041402354333</v>
      </c>
      <c r="V92" t="s">
        <v>78</v>
      </c>
      <c r="W92">
        <v>-0.56218771843404869</v>
      </c>
      <c r="Z92" t="s">
        <v>78</v>
      </c>
      <c r="AA92">
        <v>-0.12521132552834122</v>
      </c>
    </row>
    <row r="93" spans="16:28" x14ac:dyDescent="0.25">
      <c r="P93" s="105"/>
      <c r="Q93" s="105"/>
      <c r="R93" t="s">
        <v>79</v>
      </c>
      <c r="S93">
        <v>0</v>
      </c>
      <c r="V93" t="s">
        <v>79</v>
      </c>
      <c r="W93">
        <v>0</v>
      </c>
      <c r="Z93" t="s">
        <v>79</v>
      </c>
      <c r="AA93">
        <v>0</v>
      </c>
    </row>
    <row r="94" spans="16:28" x14ac:dyDescent="0.25">
      <c r="P94" s="105"/>
      <c r="Q94" s="105"/>
      <c r="R94" t="s">
        <v>80</v>
      </c>
      <c r="S94">
        <v>3</v>
      </c>
      <c r="V94" t="s">
        <v>80</v>
      </c>
      <c r="W94">
        <v>3</v>
      </c>
      <c r="Z94" t="s">
        <v>80</v>
      </c>
      <c r="AA94">
        <v>3</v>
      </c>
    </row>
    <row r="95" spans="16:28" x14ac:dyDescent="0.25">
      <c r="P95" s="105"/>
      <c r="Q95" s="105"/>
      <c r="R95" t="s">
        <v>81</v>
      </c>
      <c r="S95">
        <v>0.95417556939459935</v>
      </c>
      <c r="V95" t="s">
        <v>81</v>
      </c>
      <c r="W95">
        <v>0.98263656737138527</v>
      </c>
      <c r="Z95" t="s">
        <v>81</v>
      </c>
      <c r="AA95">
        <v>1.5073635782787924</v>
      </c>
    </row>
    <row r="96" spans="16:28" x14ac:dyDescent="0.25">
      <c r="P96" s="105"/>
      <c r="Q96" s="105"/>
      <c r="R96" t="s">
        <v>82</v>
      </c>
      <c r="S96">
        <v>0.20519390621951958</v>
      </c>
      <c r="V96" t="s">
        <v>82</v>
      </c>
      <c r="W96">
        <v>0.19912222543139887</v>
      </c>
      <c r="Z96" t="s">
        <v>82</v>
      </c>
      <c r="AA96">
        <v>0.11441188584093018</v>
      </c>
    </row>
    <row r="97" spans="16:28" x14ac:dyDescent="0.25">
      <c r="P97" s="105"/>
      <c r="Q97" s="105"/>
      <c r="R97" t="s">
        <v>83</v>
      </c>
      <c r="S97">
        <v>2.3533634348018233</v>
      </c>
      <c r="V97" t="s">
        <v>83</v>
      </c>
      <c r="W97">
        <v>2.3533634348018233</v>
      </c>
      <c r="Z97" t="s">
        <v>83</v>
      </c>
      <c r="AA97">
        <v>2.3533634348018233</v>
      </c>
    </row>
    <row r="98" spans="16:28" x14ac:dyDescent="0.25">
      <c r="P98" s="105"/>
      <c r="Q98" s="105"/>
      <c r="R98" t="s">
        <v>84</v>
      </c>
      <c r="S98">
        <v>0.41038781243903916</v>
      </c>
      <c r="V98" t="s">
        <v>84</v>
      </c>
      <c r="W98">
        <v>0.39824445086279775</v>
      </c>
      <c r="Z98" t="s">
        <v>84</v>
      </c>
      <c r="AA98">
        <v>0.22882377168186036</v>
      </c>
    </row>
    <row r="99" spans="16:28" ht="15.75" thickBot="1" x14ac:dyDescent="0.3">
      <c r="P99" s="105"/>
      <c r="Q99" s="105"/>
      <c r="R99" s="16" t="s">
        <v>85</v>
      </c>
      <c r="S99" s="16">
        <v>3.1824463052837091</v>
      </c>
      <c r="T99" s="16"/>
      <c r="V99" s="16" t="s">
        <v>85</v>
      </c>
      <c r="W99" s="16">
        <v>3.1824463052837091</v>
      </c>
      <c r="X99" s="16"/>
      <c r="Z99" s="16" t="s">
        <v>85</v>
      </c>
      <c r="AA99" s="16">
        <v>3.1824463052837091</v>
      </c>
      <c r="AB99" s="16"/>
    </row>
    <row r="100" spans="16:28" x14ac:dyDescent="0.25">
      <c r="P100" s="105"/>
      <c r="Q100" s="105"/>
      <c r="R100" t="str">
        <f>IF(T89 &gt; S89, "Pretrained &gt; Fresh", "Pretrained &lt; Fresh")</f>
        <v>Pretrained &lt; Fresh</v>
      </c>
      <c r="S100" s="171" t="str">
        <f>IF(S96 &lt; 0.05, "Significant", "Not Significant")</f>
        <v>Not Significant</v>
      </c>
      <c r="T100" s="171"/>
      <c r="V100" t="str">
        <f>IF(X89 &gt; W89, "Pretrained &gt; Fresh", "Pretrained &lt; Fresh")</f>
        <v>Pretrained &lt; Fresh</v>
      </c>
      <c r="W100" s="171" t="str">
        <f>IF(W96 &lt; 0.05, "Significant", "Not Significant")</f>
        <v>Not Significant</v>
      </c>
      <c r="X100" s="171"/>
      <c r="Z100" t="str">
        <f>IF(AB89 &gt; AA89, "Pretrained &gt; Fresh", "Pretrained &lt; Fresh")</f>
        <v>Pretrained &lt; Fresh</v>
      </c>
      <c r="AA100" s="171" t="str">
        <f>IF(AA96 &lt; 0.05, "Significant", "Not Significant")</f>
        <v>Not Significant</v>
      </c>
      <c r="AB100" s="171"/>
    </row>
    <row r="101" spans="16:28" x14ac:dyDescent="0.25">
      <c r="P101" s="105"/>
      <c r="Q101" s="105"/>
      <c r="R101">
        <f>S96</f>
        <v>0.20519390621951958</v>
      </c>
      <c r="V101">
        <f>W96</f>
        <v>0.19912222543139887</v>
      </c>
      <c r="Z101">
        <f>AA96</f>
        <v>0.11441188584093018</v>
      </c>
    </row>
    <row r="102" spans="16:28" x14ac:dyDescent="0.25">
      <c r="P102" s="105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r="103" spans="16:28" x14ac:dyDescent="0.25">
      <c r="P103" s="105" t="s">
        <v>98</v>
      </c>
      <c r="Q103" s="105">
        <v>18</v>
      </c>
      <c r="R103" s="194" t="s">
        <v>4</v>
      </c>
      <c r="S103" s="194"/>
      <c r="T103" s="194"/>
      <c r="U103" s="15"/>
      <c r="V103" s="194" t="s">
        <v>5</v>
      </c>
      <c r="W103" s="194"/>
      <c r="X103" s="194"/>
      <c r="Y103" s="15"/>
      <c r="Z103" s="194" t="s">
        <v>70</v>
      </c>
      <c r="AA103" s="194"/>
      <c r="AB103" s="194"/>
    </row>
    <row r="104" spans="16:28" ht="15.75" thickBot="1" x14ac:dyDescent="0.3">
      <c r="P104" s="105"/>
      <c r="Q104" s="105"/>
    </row>
    <row r="105" spans="16:28" x14ac:dyDescent="0.25">
      <c r="P105" s="105"/>
      <c r="Q105" s="105"/>
      <c r="R105" s="17"/>
      <c r="S105" s="17" t="s">
        <v>19</v>
      </c>
      <c r="T105" s="17" t="s">
        <v>71</v>
      </c>
      <c r="V105" s="17"/>
      <c r="W105" s="17" t="s">
        <v>19</v>
      </c>
      <c r="X105" s="17" t="s">
        <v>71</v>
      </c>
      <c r="Z105" s="17"/>
      <c r="AA105" s="17" t="s">
        <v>19</v>
      </c>
      <c r="AB105" s="17" t="s">
        <v>71</v>
      </c>
    </row>
    <row r="106" spans="16:28" x14ac:dyDescent="0.25">
      <c r="P106" s="105"/>
      <c r="Q106" s="105"/>
      <c r="R106" t="s">
        <v>75</v>
      </c>
      <c r="S106">
        <v>4.6312399208545726E-2</v>
      </c>
      <c r="T106">
        <v>2.5371596217155734E-2</v>
      </c>
      <c r="V106" t="s">
        <v>75</v>
      </c>
      <c r="W106">
        <v>2.2312059998512518E-2</v>
      </c>
      <c r="X106">
        <v>1.5724271535873746E-2</v>
      </c>
      <c r="Z106" t="s">
        <v>75</v>
      </c>
      <c r="AA106">
        <v>0.10979278385639224</v>
      </c>
      <c r="AB106">
        <v>2.7237735688686246E-2</v>
      </c>
    </row>
    <row r="107" spans="16:28" x14ac:dyDescent="0.25">
      <c r="P107" s="105"/>
      <c r="Q107" s="105"/>
      <c r="R107" t="s">
        <v>76</v>
      </c>
      <c r="S107">
        <v>3.0582712606354386E-3</v>
      </c>
      <c r="T107">
        <v>2.366929885707999E-3</v>
      </c>
      <c r="V107" t="s">
        <v>76</v>
      </c>
      <c r="W107">
        <v>1.7054764604115952E-3</v>
      </c>
      <c r="X107">
        <v>5.1756149059773999E-4</v>
      </c>
      <c r="Z107" t="s">
        <v>76</v>
      </c>
      <c r="AA107">
        <v>3.4940761948627406E-3</v>
      </c>
      <c r="AB107">
        <v>1.0828651561230689E-2</v>
      </c>
    </row>
    <row r="108" spans="16:28" x14ac:dyDescent="0.25">
      <c r="P108" s="105"/>
      <c r="Q108" s="105"/>
      <c r="R108" t="s">
        <v>77</v>
      </c>
      <c r="S108">
        <v>4</v>
      </c>
      <c r="T108">
        <v>4</v>
      </c>
      <c r="V108" t="s">
        <v>77</v>
      </c>
      <c r="W108">
        <v>4</v>
      </c>
      <c r="X108">
        <v>4</v>
      </c>
      <c r="Z108" t="s">
        <v>77</v>
      </c>
      <c r="AA108">
        <v>4</v>
      </c>
      <c r="AB108">
        <v>4</v>
      </c>
    </row>
    <row r="109" spans="16:28" x14ac:dyDescent="0.25">
      <c r="P109" s="105"/>
      <c r="Q109" s="105"/>
      <c r="R109" t="s">
        <v>78</v>
      </c>
      <c r="S109">
        <v>0.22023324033924854</v>
      </c>
      <c r="V109" t="s">
        <v>78</v>
      </c>
      <c r="W109">
        <v>0.61963495534081559</v>
      </c>
      <c r="Z109" t="s">
        <v>78</v>
      </c>
      <c r="AA109">
        <v>0.78895699400092156</v>
      </c>
    </row>
    <row r="110" spans="16:28" x14ac:dyDescent="0.25">
      <c r="P110" s="105"/>
      <c r="Q110" s="105"/>
      <c r="R110" t="s">
        <v>79</v>
      </c>
      <c r="S110">
        <v>0</v>
      </c>
      <c r="V110" t="s">
        <v>79</v>
      </c>
      <c r="W110">
        <v>0</v>
      </c>
      <c r="Z110" t="s">
        <v>79</v>
      </c>
      <c r="AA110">
        <v>0</v>
      </c>
    </row>
    <row r="111" spans="16:28" x14ac:dyDescent="0.25">
      <c r="P111" s="105"/>
      <c r="Q111" s="105"/>
      <c r="R111" t="s">
        <v>80</v>
      </c>
      <c r="S111">
        <v>3</v>
      </c>
      <c r="V111" t="s">
        <v>80</v>
      </c>
      <c r="W111">
        <v>3</v>
      </c>
      <c r="Z111" t="s">
        <v>80</v>
      </c>
      <c r="AA111">
        <v>3</v>
      </c>
    </row>
    <row r="112" spans="16:28" x14ac:dyDescent="0.25">
      <c r="P112" s="105"/>
      <c r="Q112" s="105"/>
      <c r="R112" t="s">
        <v>81</v>
      </c>
      <c r="S112">
        <v>0.64318161270441765</v>
      </c>
      <c r="V112" t="s">
        <v>81</v>
      </c>
      <c r="W112">
        <v>0.40492824138827627</v>
      </c>
      <c r="Z112" t="s">
        <v>81</v>
      </c>
      <c r="AA112">
        <v>2.4299801683080946</v>
      </c>
    </row>
    <row r="113" spans="16:28" x14ac:dyDescent="0.25">
      <c r="P113" s="105"/>
      <c r="Q113" s="105"/>
      <c r="R113" t="s">
        <v>82</v>
      </c>
      <c r="S113">
        <v>0.28294461672046023</v>
      </c>
      <c r="V113" t="s">
        <v>82</v>
      </c>
      <c r="W113">
        <v>0.35633701964152009</v>
      </c>
      <c r="Z113" t="s">
        <v>82</v>
      </c>
      <c r="AA113">
        <v>4.6665840713493265E-2</v>
      </c>
    </row>
    <row r="114" spans="16:28" x14ac:dyDescent="0.25">
      <c r="P114" s="105"/>
      <c r="Q114" s="105"/>
      <c r="R114" t="s">
        <v>83</v>
      </c>
      <c r="S114">
        <v>2.3533634348018233</v>
      </c>
      <c r="V114" t="s">
        <v>83</v>
      </c>
      <c r="W114">
        <v>2.3533634348018233</v>
      </c>
      <c r="Z114" t="s">
        <v>83</v>
      </c>
      <c r="AA114">
        <v>2.3533634348018233</v>
      </c>
    </row>
    <row r="115" spans="16:28" x14ac:dyDescent="0.25">
      <c r="P115" s="105"/>
      <c r="Q115" s="105"/>
      <c r="R115" t="s">
        <v>84</v>
      </c>
      <c r="S115">
        <v>0.56588923344092046</v>
      </c>
      <c r="V115" t="s">
        <v>84</v>
      </c>
      <c r="W115">
        <v>0.71267403928304018</v>
      </c>
      <c r="Z115" t="s">
        <v>84</v>
      </c>
      <c r="AA115">
        <v>9.3331681426986529E-2</v>
      </c>
    </row>
    <row r="116" spans="16:28" ht="15.75" thickBot="1" x14ac:dyDescent="0.3">
      <c r="P116" s="105"/>
      <c r="Q116" s="105"/>
      <c r="R116" s="16" t="s">
        <v>85</v>
      </c>
      <c r="S116" s="16">
        <v>3.1824463052837091</v>
      </c>
      <c r="T116" s="16"/>
      <c r="V116" s="16" t="s">
        <v>85</v>
      </c>
      <c r="W116" s="16">
        <v>3.1824463052837091</v>
      </c>
      <c r="X116" s="16"/>
      <c r="Z116" s="16" t="s">
        <v>85</v>
      </c>
      <c r="AA116" s="16">
        <v>3.1824463052837091</v>
      </c>
      <c r="AB116" s="16"/>
    </row>
    <row r="117" spans="16:28" x14ac:dyDescent="0.25">
      <c r="P117" s="105"/>
      <c r="Q117" s="105"/>
      <c r="R117" t="str">
        <f>IF(T106 &gt; S106, "Pretrained &gt; Fresh", "Pretrained &lt; Fresh")</f>
        <v>Pretrained &lt; Fresh</v>
      </c>
      <c r="S117" s="171" t="str">
        <f>IF(S113 &lt; 0.05, "Significant", "Not Significant")</f>
        <v>Not Significant</v>
      </c>
      <c r="T117" s="171"/>
      <c r="V117" t="str">
        <f>IF(X106 &gt; W106, "Pretrained &gt; Fresh", "Pretrained &lt; Fresh")</f>
        <v>Pretrained &lt; Fresh</v>
      </c>
      <c r="W117" s="171" t="str">
        <f>IF(W113 &lt; 0.05, "Significant", "Not Significant")</f>
        <v>Not Significant</v>
      </c>
      <c r="X117" s="171"/>
      <c r="Z117" t="str">
        <f>IF(AB106 &gt; AA106, "Pretrained &gt; Fresh", "Pretrained &lt; Fresh")</f>
        <v>Pretrained &lt; Fresh</v>
      </c>
      <c r="AA117" s="171" t="str">
        <f>IF(AA113 &lt; 0.05, "Significant", "Not Significant")</f>
        <v>Significant</v>
      </c>
      <c r="AB117" s="171"/>
    </row>
    <row r="118" spans="16:28" x14ac:dyDescent="0.25">
      <c r="P118" s="105"/>
      <c r="Q118" s="105"/>
      <c r="R118">
        <f>S113</f>
        <v>0.28294461672046023</v>
      </c>
      <c r="V118">
        <f>W113</f>
        <v>0.35633701964152009</v>
      </c>
      <c r="Z118">
        <f>AA113</f>
        <v>4.6665840713493265E-2</v>
      </c>
    </row>
    <row r="119" spans="16:28" x14ac:dyDescent="0.25">
      <c r="P119" s="105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r="120" spans="16:28" x14ac:dyDescent="0.25">
      <c r="P120" s="105"/>
      <c r="Q120" s="105">
        <v>34</v>
      </c>
      <c r="R120" s="194" t="s">
        <v>4</v>
      </c>
      <c r="S120" s="194"/>
      <c r="T120" s="194"/>
      <c r="U120" s="15"/>
      <c r="V120" s="194" t="s">
        <v>5</v>
      </c>
      <c r="W120" s="194"/>
      <c r="X120" s="194"/>
      <c r="Y120" s="15"/>
      <c r="Z120" s="194" t="s">
        <v>70</v>
      </c>
      <c r="AA120" s="194"/>
      <c r="AB120" s="194"/>
    </row>
    <row r="121" spans="16:28" ht="15.75" thickBot="1" x14ac:dyDescent="0.3">
      <c r="P121" s="105"/>
      <c r="Q121" s="105"/>
    </row>
    <row r="122" spans="16:28" x14ac:dyDescent="0.25">
      <c r="P122" s="105"/>
      <c r="Q122" s="105"/>
      <c r="R122" s="17"/>
      <c r="S122" s="17" t="s">
        <v>19</v>
      </c>
      <c r="T122" s="17" t="s">
        <v>71</v>
      </c>
      <c r="V122" s="17"/>
      <c r="W122" s="17" t="s">
        <v>19</v>
      </c>
      <c r="X122" s="17" t="s">
        <v>71</v>
      </c>
      <c r="Z122" s="17"/>
      <c r="AA122" s="17" t="s">
        <v>19</v>
      </c>
      <c r="AB122" s="17" t="s">
        <v>71</v>
      </c>
    </row>
    <row r="123" spans="16:28" x14ac:dyDescent="0.25">
      <c r="P123" s="105"/>
      <c r="Q123" s="105"/>
      <c r="R123" t="s">
        <v>75</v>
      </c>
      <c r="S123">
        <v>7.7679559588432506E-2</v>
      </c>
      <c r="T123">
        <v>4.8989549279213021E-2</v>
      </c>
      <c r="V123" t="s">
        <v>75</v>
      </c>
      <c r="W123">
        <v>3.1319618225097517E-2</v>
      </c>
      <c r="X123">
        <v>2.3949012160301486E-2</v>
      </c>
      <c r="Z123" t="s">
        <v>75</v>
      </c>
      <c r="AA123">
        <v>9.0395331382751007E-2</v>
      </c>
      <c r="AB123">
        <v>7.1797817945480527E-2</v>
      </c>
    </row>
    <row r="124" spans="16:28" x14ac:dyDescent="0.25">
      <c r="P124" s="105"/>
      <c r="Q124" s="105"/>
      <c r="R124" t="s">
        <v>76</v>
      </c>
      <c r="S124">
        <v>1.5615613874796104E-3</v>
      </c>
      <c r="T124">
        <v>4.6518667774750219E-4</v>
      </c>
      <c r="V124" t="s">
        <v>76</v>
      </c>
      <c r="W124">
        <v>3.9865785794527723E-4</v>
      </c>
      <c r="X124">
        <v>4.1075695428194309E-4</v>
      </c>
      <c r="Z124" t="s">
        <v>76</v>
      </c>
      <c r="AA124">
        <v>3.1451477339542477E-3</v>
      </c>
      <c r="AB124">
        <v>2.675068312139324E-3</v>
      </c>
    </row>
    <row r="125" spans="16:28" x14ac:dyDescent="0.25">
      <c r="P125" s="105"/>
      <c r="Q125" s="105"/>
      <c r="R125" t="s">
        <v>77</v>
      </c>
      <c r="S125">
        <v>4</v>
      </c>
      <c r="T125">
        <v>4</v>
      </c>
      <c r="V125" t="s">
        <v>77</v>
      </c>
      <c r="W125">
        <v>4</v>
      </c>
      <c r="X125">
        <v>4</v>
      </c>
      <c r="Z125" t="s">
        <v>77</v>
      </c>
      <c r="AA125">
        <v>4</v>
      </c>
      <c r="AB125">
        <v>4</v>
      </c>
    </row>
    <row r="126" spans="16:28" x14ac:dyDescent="0.25">
      <c r="P126" s="105"/>
      <c r="Q126" s="105"/>
      <c r="R126" t="s">
        <v>78</v>
      </c>
      <c r="S126">
        <v>0.25795551572056769</v>
      </c>
      <c r="V126" t="s">
        <v>78</v>
      </c>
      <c r="W126">
        <v>-0.22580093096074669</v>
      </c>
      <c r="Z126" t="s">
        <v>78</v>
      </c>
      <c r="AA126">
        <v>0.54530288745631139</v>
      </c>
    </row>
    <row r="127" spans="16:28" x14ac:dyDescent="0.25">
      <c r="P127" s="105"/>
      <c r="Q127" s="105"/>
      <c r="R127" t="s">
        <v>79</v>
      </c>
      <c r="S127">
        <v>0</v>
      </c>
      <c r="V127" t="s">
        <v>79</v>
      </c>
      <c r="W127">
        <v>0</v>
      </c>
      <c r="Z127" t="s">
        <v>79</v>
      </c>
      <c r="AA127">
        <v>0</v>
      </c>
    </row>
    <row r="128" spans="16:28" x14ac:dyDescent="0.25">
      <c r="P128" s="105"/>
      <c r="Q128" s="105"/>
      <c r="R128" t="s">
        <v>80</v>
      </c>
      <c r="S128">
        <v>3</v>
      </c>
      <c r="V128" t="s">
        <v>80</v>
      </c>
      <c r="W128">
        <v>3</v>
      </c>
      <c r="Z128" t="s">
        <v>80</v>
      </c>
      <c r="AA128">
        <v>3</v>
      </c>
    </row>
    <row r="129" spans="16:28" x14ac:dyDescent="0.25">
      <c r="P129" s="105"/>
      <c r="Q129" s="105"/>
      <c r="R129" t="s">
        <v>81</v>
      </c>
      <c r="S129">
        <v>1.4403474066020674</v>
      </c>
      <c r="V129" t="s">
        <v>81</v>
      </c>
      <c r="W129">
        <v>0.46799597473833254</v>
      </c>
      <c r="Z129" t="s">
        <v>81</v>
      </c>
      <c r="AA129">
        <v>0.72161427204653539</v>
      </c>
    </row>
    <row r="130" spans="16:28" x14ac:dyDescent="0.25">
      <c r="P130" s="105"/>
      <c r="Q130" s="105"/>
      <c r="R130" t="s">
        <v>82</v>
      </c>
      <c r="S130">
        <v>0.12270042712723765</v>
      </c>
      <c r="V130" t="s">
        <v>82</v>
      </c>
      <c r="W130">
        <v>0.33584456205687585</v>
      </c>
      <c r="Z130" t="s">
        <v>82</v>
      </c>
      <c r="AA130">
        <v>0.2613442880121013</v>
      </c>
    </row>
    <row r="131" spans="16:28" x14ac:dyDescent="0.25">
      <c r="P131" s="105"/>
      <c r="Q131" s="105"/>
      <c r="R131" t="s">
        <v>83</v>
      </c>
      <c r="S131">
        <v>2.3533634348018233</v>
      </c>
      <c r="V131" t="s">
        <v>83</v>
      </c>
      <c r="W131">
        <v>2.3533634348018233</v>
      </c>
      <c r="Z131" t="s">
        <v>83</v>
      </c>
      <c r="AA131">
        <v>2.3533634348018233</v>
      </c>
    </row>
    <row r="132" spans="16:28" x14ac:dyDescent="0.25">
      <c r="P132" s="105"/>
      <c r="Q132" s="105"/>
      <c r="R132" t="s">
        <v>84</v>
      </c>
      <c r="S132">
        <v>0.2454008542544753</v>
      </c>
      <c r="V132" t="s">
        <v>84</v>
      </c>
      <c r="W132">
        <v>0.6716891241137517</v>
      </c>
      <c r="Z132" t="s">
        <v>84</v>
      </c>
      <c r="AA132">
        <v>0.5226885760242026</v>
      </c>
    </row>
    <row r="133" spans="16:28" ht="15.75" thickBot="1" x14ac:dyDescent="0.3">
      <c r="P133" s="105"/>
      <c r="Q133" s="105"/>
      <c r="R133" s="16" t="s">
        <v>85</v>
      </c>
      <c r="S133" s="16">
        <v>3.1824463052837091</v>
      </c>
      <c r="T133" s="16"/>
      <c r="V133" s="16" t="s">
        <v>85</v>
      </c>
      <c r="W133" s="16">
        <v>3.1824463052837091</v>
      </c>
      <c r="X133" s="16"/>
      <c r="Z133" s="16" t="s">
        <v>85</v>
      </c>
      <c r="AA133" s="16">
        <v>3.1824463052837091</v>
      </c>
      <c r="AB133" s="16"/>
    </row>
    <row r="134" spans="16:28" x14ac:dyDescent="0.25">
      <c r="P134" s="105"/>
      <c r="Q134" s="105"/>
      <c r="R134" t="str">
        <f>IF(T123 &gt; S123, "Pretrained &gt; Fresh", "Pretrained &lt; Fresh")</f>
        <v>Pretrained &lt; Fresh</v>
      </c>
      <c r="S134" s="171" t="str">
        <f>IF(S130 &lt; 0.05, "Significant", "Not Significant")</f>
        <v>Not Significant</v>
      </c>
      <c r="T134" s="171"/>
      <c r="V134" t="str">
        <f>IF(X123 &gt; W123, "Pretrained &gt; Fresh", "Pretrained &lt; Fresh")</f>
        <v>Pretrained &lt; Fresh</v>
      </c>
      <c r="W134" s="171" t="str">
        <f>IF(W130 &lt; 0.05, "Significant", "Not Significant")</f>
        <v>Not Significant</v>
      </c>
      <c r="X134" s="171"/>
      <c r="Z134" t="str">
        <f>IF(AB123 &gt; AA123, "Pretrained &gt; Fresh", "Pretrained &lt; Fresh")</f>
        <v>Pretrained &lt; Fresh</v>
      </c>
      <c r="AA134" s="171" t="str">
        <f>IF(AA130 &lt; 0.05, "Significant", "Not Significant")</f>
        <v>Not Significant</v>
      </c>
      <c r="AB134" s="171"/>
    </row>
    <row r="135" spans="16:28" x14ac:dyDescent="0.25">
      <c r="P135" s="105"/>
      <c r="Q135" s="105"/>
      <c r="R135">
        <f>S130</f>
        <v>0.12270042712723765</v>
      </c>
      <c r="V135">
        <f>W130</f>
        <v>0.33584456205687585</v>
      </c>
      <c r="Z135">
        <f>AA130</f>
        <v>0.2613442880121013</v>
      </c>
    </row>
    <row r="136" spans="16:28" x14ac:dyDescent="0.25">
      <c r="P136" s="105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r="137" spans="16:28" x14ac:dyDescent="0.25">
      <c r="P137" s="105"/>
      <c r="Q137" s="105">
        <v>50</v>
      </c>
      <c r="R137" s="194" t="s">
        <v>4</v>
      </c>
      <c r="S137" s="194"/>
      <c r="T137" s="194"/>
      <c r="U137" s="15"/>
      <c r="V137" s="194" t="s">
        <v>5</v>
      </c>
      <c r="W137" s="194"/>
      <c r="X137" s="194"/>
      <c r="Y137" s="15"/>
      <c r="Z137" s="194" t="s">
        <v>70</v>
      </c>
      <c r="AA137" s="194"/>
      <c r="AB137" s="194"/>
    </row>
    <row r="138" spans="16:28" ht="15.75" thickBot="1" x14ac:dyDescent="0.3">
      <c r="P138" s="105"/>
      <c r="Q138" s="105"/>
    </row>
    <row r="139" spans="16:28" x14ac:dyDescent="0.25">
      <c r="P139" s="105"/>
      <c r="Q139" s="105"/>
      <c r="R139" s="17"/>
      <c r="S139" s="17" t="s">
        <v>19</v>
      </c>
      <c r="T139" s="17" t="s">
        <v>71</v>
      </c>
      <c r="V139" s="17"/>
      <c r="W139" s="17" t="s">
        <v>19</v>
      </c>
      <c r="X139" s="17" t="s">
        <v>71</v>
      </c>
      <c r="Z139" s="17"/>
      <c r="AA139" s="17" t="s">
        <v>19</v>
      </c>
      <c r="AB139" s="17" t="s">
        <v>71</v>
      </c>
    </row>
    <row r="140" spans="16:28" x14ac:dyDescent="0.25">
      <c r="P140" s="105"/>
      <c r="Q140" s="105"/>
      <c r="R140" t="s">
        <v>75</v>
      </c>
      <c r="S140">
        <v>4.3073493987321514E-2</v>
      </c>
      <c r="T140">
        <v>2.5371596217155734E-2</v>
      </c>
      <c r="V140" t="s">
        <v>75</v>
      </c>
      <c r="W140">
        <v>1.889541745185877E-2</v>
      </c>
      <c r="X140">
        <v>1.5724271535873746E-2</v>
      </c>
      <c r="Z140" t="s">
        <v>75</v>
      </c>
      <c r="AA140">
        <v>0.10503117740154251</v>
      </c>
      <c r="AB140">
        <v>2.7237735688686246E-2</v>
      </c>
    </row>
    <row r="141" spans="16:28" x14ac:dyDescent="0.25">
      <c r="P141" s="105"/>
      <c r="Q141" s="105"/>
      <c r="R141" t="s">
        <v>76</v>
      </c>
      <c r="S141">
        <v>1.8240527009445824E-3</v>
      </c>
      <c r="T141">
        <v>2.366929885707999E-3</v>
      </c>
      <c r="V141" t="s">
        <v>76</v>
      </c>
      <c r="W141">
        <v>4.0596173955619448E-4</v>
      </c>
      <c r="X141">
        <v>5.1756149059773999E-4</v>
      </c>
      <c r="Z141" t="s">
        <v>76</v>
      </c>
      <c r="AA141">
        <v>2.4334897739004499E-3</v>
      </c>
      <c r="AB141">
        <v>1.0828651561230689E-2</v>
      </c>
    </row>
    <row r="142" spans="16:28" x14ac:dyDescent="0.25">
      <c r="P142" s="105"/>
      <c r="Q142" s="105"/>
      <c r="R142" t="s">
        <v>77</v>
      </c>
      <c r="S142">
        <v>4</v>
      </c>
      <c r="T142">
        <v>4</v>
      </c>
      <c r="V142" t="s">
        <v>77</v>
      </c>
      <c r="W142">
        <v>4</v>
      </c>
      <c r="X142">
        <v>4</v>
      </c>
      <c r="Z142" t="s">
        <v>77</v>
      </c>
      <c r="AA142">
        <v>4</v>
      </c>
      <c r="AB142">
        <v>4</v>
      </c>
    </row>
    <row r="143" spans="16:28" x14ac:dyDescent="0.25">
      <c r="P143" s="105"/>
      <c r="Q143" s="105"/>
      <c r="R143" t="s">
        <v>78</v>
      </c>
      <c r="S143">
        <v>0.54584841100075909</v>
      </c>
      <c r="V143" t="s">
        <v>78</v>
      </c>
      <c r="W143">
        <v>0.9485156703289469</v>
      </c>
      <c r="Z143" t="s">
        <v>78</v>
      </c>
      <c r="AA143">
        <v>0.76644901567101642</v>
      </c>
    </row>
    <row r="144" spans="16:28" x14ac:dyDescent="0.25">
      <c r="P144" s="105"/>
      <c r="Q144" s="105"/>
      <c r="R144" t="s">
        <v>79</v>
      </c>
      <c r="S144">
        <v>0</v>
      </c>
      <c r="V144" t="s">
        <v>79</v>
      </c>
      <c r="W144">
        <v>0</v>
      </c>
      <c r="Z144" t="s">
        <v>79</v>
      </c>
      <c r="AA144">
        <v>0</v>
      </c>
    </row>
    <row r="145" spans="16:28" x14ac:dyDescent="0.25">
      <c r="P145" s="105"/>
      <c r="Q145" s="105"/>
      <c r="R145" t="s">
        <v>80</v>
      </c>
      <c r="S145">
        <v>3</v>
      </c>
      <c r="V145" t="s">
        <v>80</v>
      </c>
      <c r="W145">
        <v>3</v>
      </c>
      <c r="Z145" t="s">
        <v>80</v>
      </c>
      <c r="AA145">
        <v>3</v>
      </c>
    </row>
    <row r="146" spans="16:28" x14ac:dyDescent="0.25">
      <c r="P146" s="105"/>
      <c r="Q146" s="105"/>
      <c r="R146" t="s">
        <v>81</v>
      </c>
      <c r="S146">
        <v>0.80742773129661127</v>
      </c>
      <c r="V146" t="s">
        <v>81</v>
      </c>
      <c r="W146">
        <v>0.86334627937924135</v>
      </c>
      <c r="Z146" t="s">
        <v>81</v>
      </c>
      <c r="AA146">
        <v>2.1185997877146456</v>
      </c>
    </row>
    <row r="147" spans="16:28" x14ac:dyDescent="0.25">
      <c r="P147" s="105"/>
      <c r="Q147" s="105"/>
      <c r="R147" t="s">
        <v>82</v>
      </c>
      <c r="S147">
        <v>0.23925107818435659</v>
      </c>
      <c r="V147" t="s">
        <v>82</v>
      </c>
      <c r="W147">
        <v>0.22572342813706356</v>
      </c>
      <c r="Z147" t="s">
        <v>82</v>
      </c>
      <c r="AA147">
        <v>6.2173769404871022E-2</v>
      </c>
    </row>
    <row r="148" spans="16:28" x14ac:dyDescent="0.25">
      <c r="P148" s="105"/>
      <c r="Q148" s="105"/>
      <c r="R148" t="s">
        <v>83</v>
      </c>
      <c r="S148">
        <v>2.3533634348018233</v>
      </c>
      <c r="V148" t="s">
        <v>83</v>
      </c>
      <c r="W148">
        <v>2.3533634348018233</v>
      </c>
      <c r="Z148" t="s">
        <v>83</v>
      </c>
      <c r="AA148">
        <v>2.3533634348018233</v>
      </c>
    </row>
    <row r="149" spans="16:28" x14ac:dyDescent="0.25">
      <c r="P149" s="105"/>
      <c r="Q149" s="105"/>
      <c r="R149" t="s">
        <v>84</v>
      </c>
      <c r="S149">
        <v>0.47850215636871318</v>
      </c>
      <c r="V149" t="s">
        <v>84</v>
      </c>
      <c r="W149">
        <v>0.45144685627412712</v>
      </c>
      <c r="Z149" t="s">
        <v>84</v>
      </c>
      <c r="AA149">
        <v>0.12434753880974204</v>
      </c>
    </row>
    <row r="150" spans="16:28" ht="15.75" thickBot="1" x14ac:dyDescent="0.3">
      <c r="P150" s="105"/>
      <c r="Q150" s="105"/>
      <c r="R150" s="16" t="s">
        <v>85</v>
      </c>
      <c r="S150" s="16">
        <v>3.1824463052837091</v>
      </c>
      <c r="T150" s="16"/>
      <c r="V150" s="16" t="s">
        <v>85</v>
      </c>
      <c r="W150" s="16">
        <v>3.1824463052837091</v>
      </c>
      <c r="X150" s="16"/>
      <c r="Z150" s="16" t="s">
        <v>85</v>
      </c>
      <c r="AA150" s="16">
        <v>3.1824463052837091</v>
      </c>
      <c r="AB150" s="16"/>
    </row>
    <row r="151" spans="16:28" x14ac:dyDescent="0.25">
      <c r="P151" s="105"/>
      <c r="Q151" s="105"/>
      <c r="R151" t="str">
        <f>IF(T140 &gt; S140, "Pretrained &gt; Fresh", "Pretrained &lt; Fresh")</f>
        <v>Pretrained &lt; Fresh</v>
      </c>
      <c r="S151" s="171" t="str">
        <f>IF(S147 &lt; 0.05, "Significant", "Not Significant")</f>
        <v>Not Significant</v>
      </c>
      <c r="T151" s="171"/>
      <c r="V151" t="str">
        <f>IF(X140 &gt; W140, "Pretrained &gt; Fresh", "Pretrained &lt; Fresh")</f>
        <v>Pretrained &lt; Fresh</v>
      </c>
      <c r="W151" s="171" t="str">
        <f>IF(W147 &lt; 0.05, "Significant", "Not Significant")</f>
        <v>Not Significant</v>
      </c>
      <c r="X151" s="171"/>
      <c r="Z151" t="str">
        <f>IF(AB140 &gt; AA140, "Pretrained &gt; Fresh", "Pretrained &lt; Fresh")</f>
        <v>Pretrained &lt; Fresh</v>
      </c>
      <c r="AA151" s="171" t="str">
        <f>IF(AA147 &lt; 0.05, "Significant", "Not Significant")</f>
        <v>Not Significant</v>
      </c>
      <c r="AB151" s="171"/>
    </row>
    <row r="152" spans="16:28" x14ac:dyDescent="0.25">
      <c r="P152" s="105"/>
      <c r="Q152" s="105"/>
      <c r="R152">
        <f>S147</f>
        <v>0.23925107818435659</v>
      </c>
      <c r="V152">
        <f>W147</f>
        <v>0.22572342813706356</v>
      </c>
      <c r="Z152">
        <f>AA147</f>
        <v>6.2173769404871022E-2</v>
      </c>
    </row>
    <row r="153" spans="16:28" x14ac:dyDescent="0.25">
      <c r="P153" s="105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r="154" spans="16:28" x14ac:dyDescent="0.25">
      <c r="P154" s="105" t="s">
        <v>99</v>
      </c>
      <c r="R154" s="194" t="s">
        <v>4</v>
      </c>
      <c r="S154" s="194"/>
      <c r="T154" s="194"/>
      <c r="U154" s="15"/>
      <c r="V154" s="194" t="s">
        <v>5</v>
      </c>
      <c r="W154" s="194"/>
      <c r="X154" s="194"/>
      <c r="Y154" s="15"/>
      <c r="Z154" s="194" t="s">
        <v>70</v>
      </c>
      <c r="AA154" s="194"/>
      <c r="AB154" s="194"/>
    </row>
    <row r="155" spans="16:28" ht="15.75" thickBot="1" x14ac:dyDescent="0.3">
      <c r="P155" s="105"/>
    </row>
    <row r="156" spans="16:28" x14ac:dyDescent="0.25">
      <c r="P156" s="105"/>
      <c r="R156" s="17"/>
      <c r="S156" s="17" t="s">
        <v>19</v>
      </c>
      <c r="T156" s="17" t="s">
        <v>71</v>
      </c>
      <c r="V156" s="17"/>
      <c r="W156" s="17" t="s">
        <v>19</v>
      </c>
      <c r="X156" s="17" t="s">
        <v>71</v>
      </c>
      <c r="Z156" s="17"/>
      <c r="AA156" s="17" t="s">
        <v>19</v>
      </c>
      <c r="AB156" s="17" t="s">
        <v>71</v>
      </c>
    </row>
    <row r="157" spans="16:28" x14ac:dyDescent="0.25">
      <c r="P157" s="105"/>
      <c r="R157" t="s">
        <v>75</v>
      </c>
      <c r="S157">
        <v>0</v>
      </c>
      <c r="T157">
        <v>2.7889885008335245E-2</v>
      </c>
      <c r="V157" t="s">
        <v>75</v>
      </c>
      <c r="W157">
        <v>3.1338751316070473E-2</v>
      </c>
      <c r="X157">
        <v>3.1788676977157787E-2</v>
      </c>
      <c r="Z157" t="s">
        <v>75</v>
      </c>
      <c r="AA157">
        <v>4.1418951004743493E-2</v>
      </c>
      <c r="AB157">
        <v>7.326672598719601E-2</v>
      </c>
    </row>
    <row r="158" spans="16:28" x14ac:dyDescent="0.25">
      <c r="P158" s="105"/>
      <c r="R158" t="s">
        <v>76</v>
      </c>
      <c r="S158">
        <v>0</v>
      </c>
      <c r="T158">
        <v>6.0872038135229888E-3</v>
      </c>
      <c r="V158" t="s">
        <v>76</v>
      </c>
      <c r="W158">
        <v>8.4790009851567832E-4</v>
      </c>
      <c r="X158">
        <v>1.5811450924835982E-3</v>
      </c>
      <c r="Z158" t="s">
        <v>76</v>
      </c>
      <c r="AA158">
        <v>1.25904029652542E-3</v>
      </c>
      <c r="AB158">
        <v>4.0260414999556049E-3</v>
      </c>
    </row>
    <row r="159" spans="16:28" x14ac:dyDescent="0.25">
      <c r="P159" s="105"/>
      <c r="R159" t="s">
        <v>77</v>
      </c>
      <c r="S159">
        <v>4</v>
      </c>
      <c r="T159">
        <v>4</v>
      </c>
      <c r="V159" t="s">
        <v>77</v>
      </c>
      <c r="W159">
        <v>4</v>
      </c>
      <c r="X159">
        <v>4</v>
      </c>
      <c r="Z159" t="s">
        <v>77</v>
      </c>
      <c r="AA159">
        <v>4</v>
      </c>
      <c r="AB159">
        <v>4</v>
      </c>
    </row>
    <row r="160" spans="16:28" x14ac:dyDescent="0.25">
      <c r="P160" s="105"/>
      <c r="R160" t="s">
        <v>78</v>
      </c>
      <c r="S160" t="e">
        <v>#DIV/0!</v>
      </c>
      <c r="V160" t="s">
        <v>78</v>
      </c>
      <c r="W160">
        <v>0.79748167868147246</v>
      </c>
      <c r="Z160" t="s">
        <v>78</v>
      </c>
      <c r="AA160">
        <v>0.88074960762304855</v>
      </c>
    </row>
    <row r="161" spans="16:28" x14ac:dyDescent="0.25">
      <c r="P161" s="105"/>
      <c r="R161" t="s">
        <v>79</v>
      </c>
      <c r="S161">
        <v>0</v>
      </c>
      <c r="V161" t="s">
        <v>79</v>
      </c>
      <c r="W161">
        <v>0</v>
      </c>
      <c r="Z161" t="s">
        <v>79</v>
      </c>
      <c r="AA161">
        <v>0</v>
      </c>
    </row>
    <row r="162" spans="16:28" x14ac:dyDescent="0.25">
      <c r="P162" s="105"/>
      <c r="R162" t="s">
        <v>80</v>
      </c>
      <c r="S162">
        <v>3</v>
      </c>
      <c r="V162" t="s">
        <v>80</v>
      </c>
      <c r="W162">
        <v>3</v>
      </c>
      <c r="Z162" t="s">
        <v>80</v>
      </c>
      <c r="AA162">
        <v>3</v>
      </c>
    </row>
    <row r="163" spans="16:28" x14ac:dyDescent="0.25">
      <c r="P163" s="105"/>
      <c r="R163" t="s">
        <v>81</v>
      </c>
      <c r="S163">
        <v>-0.71493703970340106</v>
      </c>
      <c r="V163" t="s">
        <v>81</v>
      </c>
      <c r="W163">
        <v>-3.7290691587146006E-2</v>
      </c>
      <c r="Z163" t="s">
        <v>81</v>
      </c>
      <c r="AA163">
        <v>-1.7537036906675882</v>
      </c>
    </row>
    <row r="164" spans="16:28" x14ac:dyDescent="0.25">
      <c r="P164" s="105"/>
      <c r="R164" t="s">
        <v>82</v>
      </c>
      <c r="S164">
        <v>0.26313110648802812</v>
      </c>
      <c r="V164" t="s">
        <v>82</v>
      </c>
      <c r="W164">
        <v>0.48629794323416586</v>
      </c>
      <c r="Z164" t="s">
        <v>82</v>
      </c>
      <c r="AA164">
        <v>8.8880080355350027E-2</v>
      </c>
    </row>
    <row r="165" spans="16:28" x14ac:dyDescent="0.25">
      <c r="P165" s="105"/>
      <c r="R165" t="s">
        <v>83</v>
      </c>
      <c r="S165">
        <v>2.3533634348018233</v>
      </c>
      <c r="V165" t="s">
        <v>83</v>
      </c>
      <c r="W165">
        <v>2.3533634348018233</v>
      </c>
      <c r="Z165" t="s">
        <v>83</v>
      </c>
      <c r="AA165">
        <v>2.3533634348018233</v>
      </c>
    </row>
    <row r="166" spans="16:28" x14ac:dyDescent="0.25">
      <c r="P166" s="105"/>
      <c r="R166" t="s">
        <v>84</v>
      </c>
      <c r="S166">
        <v>0.52626221297605624</v>
      </c>
      <c r="V166" t="s">
        <v>84</v>
      </c>
      <c r="W166">
        <v>0.97259588646833173</v>
      </c>
      <c r="Z166" t="s">
        <v>84</v>
      </c>
      <c r="AA166">
        <v>0.17776016071070005</v>
      </c>
    </row>
    <row r="167" spans="16:28" ht="15.75" thickBot="1" x14ac:dyDescent="0.3">
      <c r="P167" s="105"/>
      <c r="R167" s="16" t="s">
        <v>85</v>
      </c>
      <c r="S167" s="16">
        <v>3.1824463052837091</v>
      </c>
      <c r="T167" s="16"/>
      <c r="V167" s="16" t="s">
        <v>85</v>
      </c>
      <c r="W167" s="16">
        <v>3.1824463052837091</v>
      </c>
      <c r="X167" s="16"/>
      <c r="Z167" s="16" t="s">
        <v>85</v>
      </c>
      <c r="AA167" s="16">
        <v>3.1824463052837091</v>
      </c>
      <c r="AB167" s="16"/>
    </row>
    <row r="168" spans="16:28" x14ac:dyDescent="0.25">
      <c r="P168" s="105"/>
      <c r="R168" t="str">
        <f>IF(T157 &gt; S157, "Pretrained &gt; Fresh", "Pretrained &lt; Fresh")</f>
        <v>Pretrained &gt; Fresh</v>
      </c>
      <c r="S168" s="171" t="str">
        <f>IF(S164 &lt; 0.05, "Significant", "Not Significant")</f>
        <v>Not Significant</v>
      </c>
      <c r="T168" s="171"/>
      <c r="V168" t="str">
        <f>IF(X157 &gt; W157, "Pretrained &gt; Fresh", "Pretrained &lt; Fresh")</f>
        <v>Pretrained &gt; Fresh</v>
      </c>
      <c r="W168" s="171" t="str">
        <f>IF(W164 &lt; 0.05, "Significant", "Not Significant")</f>
        <v>Not Significant</v>
      </c>
      <c r="X168" s="171"/>
      <c r="Z168" t="str">
        <f>IF(AB157 &gt; AA157, "Pretrained &gt; Fresh", "Pretrained &lt; Fresh")</f>
        <v>Pretrained &gt; Fresh</v>
      </c>
      <c r="AA168" s="171" t="str">
        <f>IF(AA164 &lt; 0.05, "Significant", "Not Significant")</f>
        <v>Not Significant</v>
      </c>
      <c r="AB168" s="171"/>
    </row>
    <row r="169" spans="16:28" x14ac:dyDescent="0.25">
      <c r="P169" s="105"/>
      <c r="R169">
        <f>S164</f>
        <v>0.26313110648802812</v>
      </c>
      <c r="V169">
        <f>W164</f>
        <v>0.48629794323416586</v>
      </c>
      <c r="Z169">
        <f>AA164</f>
        <v>8.8880080355350027E-2</v>
      </c>
    </row>
    <row r="170" spans="16:28" x14ac:dyDescent="0.25">
      <c r="P170" s="105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r="171" spans="16:28" x14ac:dyDescent="0.25">
      <c r="P171" s="105" t="s">
        <v>100</v>
      </c>
      <c r="R171" s="194" t="s">
        <v>4</v>
      </c>
      <c r="S171" s="194"/>
      <c r="T171" s="194"/>
      <c r="U171" s="15"/>
      <c r="V171" s="194" t="s">
        <v>5</v>
      </c>
      <c r="W171" s="194"/>
      <c r="X171" s="194"/>
      <c r="Y171" s="15"/>
      <c r="Z171" s="194" t="s">
        <v>70</v>
      </c>
      <c r="AA171" s="194"/>
      <c r="AB171" s="194"/>
    </row>
    <row r="172" spans="16:28" ht="15.75" thickBot="1" x14ac:dyDescent="0.3">
      <c r="P172" s="105"/>
    </row>
    <row r="173" spans="16:28" x14ac:dyDescent="0.25">
      <c r="P173" s="105"/>
      <c r="R173" s="17"/>
      <c r="S173" s="17" t="s">
        <v>19</v>
      </c>
      <c r="T173" s="17" t="s">
        <v>71</v>
      </c>
      <c r="V173" s="17"/>
      <c r="W173" s="17" t="s">
        <v>19</v>
      </c>
      <c r="X173" s="17" t="s">
        <v>71</v>
      </c>
      <c r="Z173" s="17"/>
      <c r="AA173" s="17" t="s">
        <v>19</v>
      </c>
      <c r="AB173" s="17" t="s">
        <v>71</v>
      </c>
    </row>
    <row r="174" spans="16:28" x14ac:dyDescent="0.25">
      <c r="P174" s="105"/>
      <c r="R174" t="s">
        <v>75</v>
      </c>
      <c r="S174">
        <v>0</v>
      </c>
      <c r="T174">
        <v>2.7889885008335245E-2</v>
      </c>
      <c r="V174" t="s">
        <v>75</v>
      </c>
      <c r="W174">
        <v>4.0076270699501287E-2</v>
      </c>
      <c r="X174">
        <v>3.1788676977157787E-2</v>
      </c>
      <c r="Z174" t="s">
        <v>75</v>
      </c>
      <c r="AA174">
        <v>5.4876131936907997E-2</v>
      </c>
      <c r="AB174">
        <v>7.326672598719601E-2</v>
      </c>
    </row>
    <row r="175" spans="16:28" x14ac:dyDescent="0.25">
      <c r="P175" s="105"/>
      <c r="R175" t="s">
        <v>76</v>
      </c>
      <c r="S175">
        <v>0</v>
      </c>
      <c r="T175">
        <v>6.0872038135229888E-3</v>
      </c>
      <c r="V175" t="s">
        <v>76</v>
      </c>
      <c r="W175">
        <v>1.1454707138695234E-4</v>
      </c>
      <c r="X175">
        <v>1.5811450924835982E-3</v>
      </c>
      <c r="Z175" t="s">
        <v>76</v>
      </c>
      <c r="AA175">
        <v>1.0097234620933093E-3</v>
      </c>
      <c r="AB175">
        <v>4.0260414999556049E-3</v>
      </c>
    </row>
    <row r="176" spans="16:28" x14ac:dyDescent="0.25">
      <c r="P176" s="105"/>
      <c r="R176" t="s">
        <v>77</v>
      </c>
      <c r="S176">
        <v>4</v>
      </c>
      <c r="T176">
        <v>4</v>
      </c>
      <c r="V176" t="s">
        <v>77</v>
      </c>
      <c r="W176">
        <v>4</v>
      </c>
      <c r="X176">
        <v>4</v>
      </c>
      <c r="Z176" t="s">
        <v>77</v>
      </c>
      <c r="AA176">
        <v>4</v>
      </c>
      <c r="AB176">
        <v>4</v>
      </c>
    </row>
    <row r="177" spans="16:28" x14ac:dyDescent="0.25">
      <c r="P177" s="105"/>
      <c r="R177" t="s">
        <v>78</v>
      </c>
      <c r="S177" t="e">
        <v>#DIV/0!</v>
      </c>
      <c r="V177" t="s">
        <v>78</v>
      </c>
      <c r="W177">
        <v>0.9894737666490655</v>
      </c>
      <c r="Z177" t="s">
        <v>78</v>
      </c>
      <c r="AA177">
        <v>0.71734063638886092</v>
      </c>
    </row>
    <row r="178" spans="16:28" x14ac:dyDescent="0.25">
      <c r="P178" s="105"/>
      <c r="R178" t="s">
        <v>79</v>
      </c>
      <c r="S178">
        <v>0</v>
      </c>
      <c r="V178" t="s">
        <v>79</v>
      </c>
      <c r="W178">
        <v>0</v>
      </c>
      <c r="Z178" t="s">
        <v>79</v>
      </c>
      <c r="AA178">
        <v>0</v>
      </c>
    </row>
    <row r="179" spans="16:28" x14ac:dyDescent="0.25">
      <c r="P179" s="105"/>
      <c r="R179" t="s">
        <v>80</v>
      </c>
      <c r="S179">
        <v>3</v>
      </c>
      <c r="V179" t="s">
        <v>80</v>
      </c>
      <c r="W179">
        <v>3</v>
      </c>
      <c r="Z179" t="s">
        <v>80</v>
      </c>
      <c r="AA179">
        <v>3</v>
      </c>
    </row>
    <row r="180" spans="16:28" x14ac:dyDescent="0.25">
      <c r="P180" s="105"/>
      <c r="R180" t="s">
        <v>81</v>
      </c>
      <c r="S180">
        <v>-0.71493703970340106</v>
      </c>
      <c r="V180" t="s">
        <v>81</v>
      </c>
      <c r="W180">
        <v>0.56735795699964131</v>
      </c>
      <c r="Z180" t="s">
        <v>81</v>
      </c>
      <c r="AA180">
        <v>-0.79451654239918645</v>
      </c>
    </row>
    <row r="181" spans="16:28" x14ac:dyDescent="0.25">
      <c r="P181" s="105"/>
      <c r="R181" t="s">
        <v>82</v>
      </c>
      <c r="S181">
        <v>0.26313110648802812</v>
      </c>
      <c r="V181" t="s">
        <v>82</v>
      </c>
      <c r="W181">
        <v>0.30507581232102376</v>
      </c>
      <c r="Z181" t="s">
        <v>82</v>
      </c>
      <c r="AA181">
        <v>0.24247180846538316</v>
      </c>
    </row>
    <row r="182" spans="16:28" x14ac:dyDescent="0.25">
      <c r="P182" s="105"/>
      <c r="R182" t="s">
        <v>83</v>
      </c>
      <c r="S182">
        <v>2.3533634348018233</v>
      </c>
      <c r="V182" t="s">
        <v>83</v>
      </c>
      <c r="W182">
        <v>2.3533634348018233</v>
      </c>
      <c r="Z182" t="s">
        <v>83</v>
      </c>
      <c r="AA182">
        <v>2.3533634348018233</v>
      </c>
    </row>
    <row r="183" spans="16:28" x14ac:dyDescent="0.25">
      <c r="P183" s="105"/>
      <c r="R183" t="s">
        <v>84</v>
      </c>
      <c r="S183">
        <v>0.52626221297605624</v>
      </c>
      <c r="V183" t="s">
        <v>84</v>
      </c>
      <c r="W183">
        <v>0.61015162464204753</v>
      </c>
      <c r="Z183" t="s">
        <v>84</v>
      </c>
      <c r="AA183">
        <v>0.48494361693076632</v>
      </c>
    </row>
    <row r="184" spans="16:28" ht="15.75" thickBot="1" x14ac:dyDescent="0.3">
      <c r="P184" s="105"/>
      <c r="R184" s="16" t="s">
        <v>85</v>
      </c>
      <c r="S184" s="16">
        <v>3.1824463052837091</v>
      </c>
      <c r="T184" s="16"/>
      <c r="V184" s="16" t="s">
        <v>85</v>
      </c>
      <c r="W184" s="16">
        <v>3.1824463052837091</v>
      </c>
      <c r="X184" s="16"/>
      <c r="Z184" s="16" t="s">
        <v>85</v>
      </c>
      <c r="AA184" s="16">
        <v>3.1824463052837091</v>
      </c>
      <c r="AB184" s="16"/>
    </row>
    <row r="185" spans="16:28" x14ac:dyDescent="0.25">
      <c r="P185" s="105"/>
      <c r="R185" t="str">
        <f>IF(T174 &gt; S174, "Pretrained &gt; Fresh", "Pretrained &lt; Fresh")</f>
        <v>Pretrained &gt; Fresh</v>
      </c>
      <c r="S185" s="171" t="str">
        <f>IF(S181 &lt; 0.05, "Significant", "Not Significant")</f>
        <v>Not Significant</v>
      </c>
      <c r="T185" s="171"/>
      <c r="V185" t="str">
        <f>IF(X174 &gt; W174, "Pretrained &gt; Fresh", "Pretrained &lt; Fresh")</f>
        <v>Pretrained &lt; Fresh</v>
      </c>
      <c r="W185" s="171" t="str">
        <f>IF(W181 &lt; 0.05, "Significant", "Not Significant")</f>
        <v>Not Significant</v>
      </c>
      <c r="X185" s="171"/>
      <c r="Z185" t="str">
        <f>IF(AB174 &gt; AA174, "Pretrained &gt; Fresh", "Pretrained &lt; Fresh")</f>
        <v>Pretrained &gt; Fresh</v>
      </c>
      <c r="AA185" s="171" t="str">
        <f>IF(AA181 &lt; 0.05, "Significant", "Not Significant")</f>
        <v>Not Significant</v>
      </c>
      <c r="AB185" s="171"/>
    </row>
    <row r="186" spans="16:28" x14ac:dyDescent="0.25">
      <c r="P186" s="105"/>
      <c r="R186">
        <f>S181</f>
        <v>0.26313110648802812</v>
      </c>
      <c r="V186">
        <f>W181</f>
        <v>0.30507581232102376</v>
      </c>
      <c r="Z186">
        <f>AA181</f>
        <v>0.24247180846538316</v>
      </c>
    </row>
    <row r="187" spans="16:28" x14ac:dyDescent="0.25">
      <c r="P187" s="105"/>
    </row>
    <row r="188" spans="16:28" x14ac:dyDescent="0.25">
      <c r="P188" s="2"/>
    </row>
    <row r="189" spans="16:28" x14ac:dyDescent="0.25">
      <c r="P189" s="2"/>
    </row>
    <row r="190" spans="16:28" x14ac:dyDescent="0.25">
      <c r="P190" s="2"/>
    </row>
    <row r="191" spans="16:28" x14ac:dyDescent="0.25">
      <c r="P191" s="2"/>
    </row>
    <row r="192" spans="16:28" x14ac:dyDescent="0.25">
      <c r="P192" s="2"/>
    </row>
    <row r="193" spans="16:16" x14ac:dyDescent="0.25">
      <c r="P193" s="2"/>
    </row>
    <row r="194" spans="16:16" x14ac:dyDescent="0.25">
      <c r="P194" s="2"/>
    </row>
    <row r="195" spans="16:16" x14ac:dyDescent="0.25">
      <c r="P195" s="2"/>
    </row>
    <row r="196" spans="16:16" x14ac:dyDescent="0.25">
      <c r="P196" s="2"/>
    </row>
    <row r="197" spans="16:16" x14ac:dyDescent="0.25">
      <c r="P197" s="2"/>
    </row>
    <row r="198" spans="16:16" x14ac:dyDescent="0.25">
      <c r="P198" s="2"/>
    </row>
    <row r="199" spans="16:16" x14ac:dyDescent="0.25">
      <c r="P199" s="2"/>
    </row>
    <row r="200" spans="16:16" x14ac:dyDescent="0.25">
      <c r="P200" s="2"/>
    </row>
    <row r="201" spans="16:16" x14ac:dyDescent="0.25">
      <c r="P201" s="2"/>
    </row>
    <row r="202" spans="16:16" x14ac:dyDescent="0.25">
      <c r="P202" s="2"/>
    </row>
    <row r="203" spans="16:16" x14ac:dyDescent="0.25">
      <c r="P203" s="2"/>
    </row>
    <row r="204" spans="16:16" x14ac:dyDescent="0.25">
      <c r="P204" s="2"/>
    </row>
  </sheetData>
  <mergeCells count="101">
    <mergeCell ref="AA83:AB83"/>
    <mergeCell ref="S100:T100"/>
    <mergeCell ref="W100:X100"/>
    <mergeCell ref="AA100:AB100"/>
    <mergeCell ref="Z86:AB86"/>
    <mergeCell ref="V86:X86"/>
    <mergeCell ref="S83:T83"/>
    <mergeCell ref="W83:X83"/>
    <mergeCell ref="R86:T86"/>
    <mergeCell ref="Z103:AB103"/>
    <mergeCell ref="S117:T117"/>
    <mergeCell ref="W117:X117"/>
    <mergeCell ref="AA117:AB117"/>
    <mergeCell ref="S134:T134"/>
    <mergeCell ref="W134:X134"/>
    <mergeCell ref="AA134:AB134"/>
    <mergeCell ref="R120:T120"/>
    <mergeCell ref="V120:X120"/>
    <mergeCell ref="Z120:AB120"/>
    <mergeCell ref="R103:T103"/>
    <mergeCell ref="V103:X103"/>
    <mergeCell ref="V18:X18"/>
    <mergeCell ref="Z18:AB18"/>
    <mergeCell ref="S32:T32"/>
    <mergeCell ref="W32:X32"/>
    <mergeCell ref="AA32:AB32"/>
    <mergeCell ref="R52:T52"/>
    <mergeCell ref="V52:X52"/>
    <mergeCell ref="Z52:AB52"/>
    <mergeCell ref="R69:T69"/>
    <mergeCell ref="V69:X69"/>
    <mergeCell ref="Z69:AB69"/>
    <mergeCell ref="P1:P51"/>
    <mergeCell ref="P52:P102"/>
    <mergeCell ref="Q52:Q67"/>
    <mergeCell ref="Q69:Q84"/>
    <mergeCell ref="Q86:Q101"/>
    <mergeCell ref="Q35:Q50"/>
    <mergeCell ref="R35:T35"/>
    <mergeCell ref="V35:X35"/>
    <mergeCell ref="Z35:AB35"/>
    <mergeCell ref="S49:T49"/>
    <mergeCell ref="S15:T15"/>
    <mergeCell ref="W15:X15"/>
    <mergeCell ref="AA15:AB15"/>
    <mergeCell ref="W49:X49"/>
    <mergeCell ref="AA49:AB49"/>
    <mergeCell ref="Q1:Q16"/>
    <mergeCell ref="Q18:Q33"/>
    <mergeCell ref="R1:T1"/>
    <mergeCell ref="V1:X1"/>
    <mergeCell ref="Z1:AB1"/>
    <mergeCell ref="R18:T18"/>
    <mergeCell ref="S66:T66"/>
    <mergeCell ref="W66:X66"/>
    <mergeCell ref="AA66:AB66"/>
    <mergeCell ref="A40:B43"/>
    <mergeCell ref="A44:B47"/>
    <mergeCell ref="D1:I1"/>
    <mergeCell ref="D2:F2"/>
    <mergeCell ref="G2:I2"/>
    <mergeCell ref="A16:A27"/>
    <mergeCell ref="B16:B19"/>
    <mergeCell ref="B20:B23"/>
    <mergeCell ref="B24:B27"/>
    <mergeCell ref="A28:A39"/>
    <mergeCell ref="B28:B31"/>
    <mergeCell ref="B32:B35"/>
    <mergeCell ref="B36:B39"/>
    <mergeCell ref="A1:B1"/>
    <mergeCell ref="C1:C3"/>
    <mergeCell ref="A2:A3"/>
    <mergeCell ref="B2:B3"/>
    <mergeCell ref="A4:A15"/>
    <mergeCell ref="B4:B7"/>
    <mergeCell ref="B8:B11"/>
    <mergeCell ref="B12:B15"/>
    <mergeCell ref="P171:P187"/>
    <mergeCell ref="R171:T171"/>
    <mergeCell ref="V171:X171"/>
    <mergeCell ref="Z171:AB171"/>
    <mergeCell ref="S185:T185"/>
    <mergeCell ref="W185:X185"/>
    <mergeCell ref="AA185:AB185"/>
    <mergeCell ref="W151:X151"/>
    <mergeCell ref="AA151:AB151"/>
    <mergeCell ref="P154:P170"/>
    <mergeCell ref="R154:T154"/>
    <mergeCell ref="V154:X154"/>
    <mergeCell ref="Z154:AB154"/>
    <mergeCell ref="S168:T168"/>
    <mergeCell ref="W168:X168"/>
    <mergeCell ref="AA168:AB168"/>
    <mergeCell ref="P103:P153"/>
    <mergeCell ref="Q103:Q118"/>
    <mergeCell ref="Q120:Q135"/>
    <mergeCell ref="Q137:Q152"/>
    <mergeCell ref="S151:T151"/>
    <mergeCell ref="R137:T137"/>
    <mergeCell ref="V137:X137"/>
    <mergeCell ref="Z137:AB137"/>
  </mergeCells>
  <conditionalFormatting sqref="R15">
    <cfRule type="containsText" dxfId="379" priority="129" operator="containsText" text="&gt;">
      <formula>NOT(ISERROR(SEARCH("&gt;",R15)))</formula>
    </cfRule>
    <cfRule type="containsText" dxfId="378" priority="130" operator="containsText" text="&lt;">
      <formula>NOT(ISERROR(SEARCH("&lt;",R15)))</formula>
    </cfRule>
  </conditionalFormatting>
  <conditionalFormatting sqref="R32">
    <cfRule type="containsText" dxfId="377" priority="117" operator="containsText" text="&gt;">
      <formula>NOT(ISERROR(SEARCH("&gt;",R32)))</formula>
    </cfRule>
    <cfRule type="containsText" dxfId="376" priority="118" operator="containsText" text="&lt;">
      <formula>NOT(ISERROR(SEARCH("&lt;",R32)))</formula>
    </cfRule>
  </conditionalFormatting>
  <conditionalFormatting sqref="R49">
    <cfRule type="containsText" dxfId="375" priority="105" operator="containsText" text="&gt;">
      <formula>NOT(ISERROR(SEARCH("&gt;",R49)))</formula>
    </cfRule>
    <cfRule type="containsText" dxfId="374" priority="106" operator="containsText" text="&lt;">
      <formula>NOT(ISERROR(SEARCH("&lt;",R49)))</formula>
    </cfRule>
  </conditionalFormatting>
  <conditionalFormatting sqref="R66">
    <cfRule type="containsText" dxfId="373" priority="93" operator="containsText" text="&gt;">
      <formula>NOT(ISERROR(SEARCH("&gt;",R66)))</formula>
    </cfRule>
    <cfRule type="containsText" dxfId="372" priority="94" operator="containsText" text="&lt;">
      <formula>NOT(ISERROR(SEARCH("&lt;",R66)))</formula>
    </cfRule>
  </conditionalFormatting>
  <conditionalFormatting sqref="R83">
    <cfRule type="containsText" dxfId="371" priority="81" operator="containsText" text="&gt;">
      <formula>NOT(ISERROR(SEARCH("&gt;",R83)))</formula>
    </cfRule>
    <cfRule type="containsText" dxfId="370" priority="82" operator="containsText" text="&lt;">
      <formula>NOT(ISERROR(SEARCH("&lt;",R83)))</formula>
    </cfRule>
  </conditionalFormatting>
  <conditionalFormatting sqref="R100">
    <cfRule type="containsText" dxfId="369" priority="69" operator="containsText" text="&gt;">
      <formula>NOT(ISERROR(SEARCH("&gt;",R100)))</formula>
    </cfRule>
    <cfRule type="containsText" dxfId="368" priority="70" operator="containsText" text="&lt;">
      <formula>NOT(ISERROR(SEARCH("&lt;",R100)))</formula>
    </cfRule>
  </conditionalFormatting>
  <conditionalFormatting sqref="R117">
    <cfRule type="containsText" dxfId="367" priority="57" operator="containsText" text="&gt;">
      <formula>NOT(ISERROR(SEARCH("&gt;",R117)))</formula>
    </cfRule>
    <cfRule type="containsText" dxfId="366" priority="58" operator="containsText" text="&lt;">
      <formula>NOT(ISERROR(SEARCH("&lt;",R117)))</formula>
    </cfRule>
  </conditionalFormatting>
  <conditionalFormatting sqref="R134">
    <cfRule type="containsText" dxfId="365" priority="45" operator="containsText" text="&gt;">
      <formula>NOT(ISERROR(SEARCH("&gt;",R134)))</formula>
    </cfRule>
    <cfRule type="containsText" dxfId="364" priority="46" operator="containsText" text="&lt;">
      <formula>NOT(ISERROR(SEARCH("&lt;",R134)))</formula>
    </cfRule>
  </conditionalFormatting>
  <conditionalFormatting sqref="R151">
    <cfRule type="containsText" dxfId="363" priority="9" operator="containsText" text="&gt;">
      <formula>NOT(ISERROR(SEARCH("&gt;",R151)))</formula>
    </cfRule>
    <cfRule type="containsText" dxfId="362" priority="10" operator="containsText" text="&lt;">
      <formula>NOT(ISERROR(SEARCH("&lt;",R151)))</formula>
    </cfRule>
  </conditionalFormatting>
  <conditionalFormatting sqref="R168">
    <cfRule type="containsText" dxfId="361" priority="33" operator="containsText" text="&gt;">
      <formula>NOT(ISERROR(SEARCH("&gt;",R168)))</formula>
    </cfRule>
    <cfRule type="containsText" dxfId="360" priority="34" operator="containsText" text="&lt;">
      <formula>NOT(ISERROR(SEARCH("&lt;",R168)))</formula>
    </cfRule>
  </conditionalFormatting>
  <conditionalFormatting sqref="R185">
    <cfRule type="containsText" dxfId="359" priority="21" operator="containsText" text="&gt;">
      <formula>NOT(ISERROR(SEARCH("&gt;",R185)))</formula>
    </cfRule>
    <cfRule type="containsText" dxfId="358" priority="22" operator="containsText" text="&lt;">
      <formula>NOT(ISERROR(SEARCH("&lt;",R185)))</formula>
    </cfRule>
  </conditionalFormatting>
  <conditionalFormatting sqref="S15:T15">
    <cfRule type="cellIs" dxfId="357" priority="131" operator="equal">
      <formula>"Significant"</formula>
    </cfRule>
    <cfRule type="containsText" dxfId="356" priority="132" operator="containsText" text="Not">
      <formula>NOT(ISERROR(SEARCH("Not",S15)))</formula>
    </cfRule>
  </conditionalFormatting>
  <conditionalFormatting sqref="S32:T32">
    <cfRule type="cellIs" dxfId="355" priority="119" operator="equal">
      <formula>"Significant"</formula>
    </cfRule>
    <cfRule type="containsText" dxfId="354" priority="120" operator="containsText" text="Not">
      <formula>NOT(ISERROR(SEARCH("Not",S32)))</formula>
    </cfRule>
  </conditionalFormatting>
  <conditionalFormatting sqref="S49:T49">
    <cfRule type="cellIs" dxfId="353" priority="107" operator="equal">
      <formula>"Significant"</formula>
    </cfRule>
    <cfRule type="containsText" dxfId="352" priority="108" operator="containsText" text="Not">
      <formula>NOT(ISERROR(SEARCH("Not",S49)))</formula>
    </cfRule>
  </conditionalFormatting>
  <conditionalFormatting sqref="S66:T66">
    <cfRule type="cellIs" dxfId="351" priority="95" operator="equal">
      <formula>"Significant"</formula>
    </cfRule>
    <cfRule type="containsText" dxfId="350" priority="96" operator="containsText" text="Not">
      <formula>NOT(ISERROR(SEARCH("Not",S66)))</formula>
    </cfRule>
  </conditionalFormatting>
  <conditionalFormatting sqref="S83:T83">
    <cfRule type="cellIs" dxfId="349" priority="83" operator="equal">
      <formula>"Significant"</formula>
    </cfRule>
    <cfRule type="containsText" dxfId="348" priority="84" operator="containsText" text="Not">
      <formula>NOT(ISERROR(SEARCH("Not",S83)))</formula>
    </cfRule>
  </conditionalFormatting>
  <conditionalFormatting sqref="S100:T100">
    <cfRule type="cellIs" dxfId="347" priority="71" operator="equal">
      <formula>"Significant"</formula>
    </cfRule>
    <cfRule type="containsText" dxfId="346" priority="72" operator="containsText" text="Not">
      <formula>NOT(ISERROR(SEARCH("Not",S100)))</formula>
    </cfRule>
  </conditionalFormatting>
  <conditionalFormatting sqref="S117:T117">
    <cfRule type="cellIs" dxfId="345" priority="59" operator="equal">
      <formula>"Significant"</formula>
    </cfRule>
    <cfRule type="containsText" dxfId="344" priority="60" operator="containsText" text="Not">
      <formula>NOT(ISERROR(SEARCH("Not",S117)))</formula>
    </cfRule>
  </conditionalFormatting>
  <conditionalFormatting sqref="S134:T134">
    <cfRule type="cellIs" dxfId="343" priority="47" operator="equal">
      <formula>"Significant"</formula>
    </cfRule>
    <cfRule type="containsText" dxfId="342" priority="48" operator="containsText" text="Not">
      <formula>NOT(ISERROR(SEARCH("Not",S134)))</formula>
    </cfRule>
  </conditionalFormatting>
  <conditionalFormatting sqref="S151:T151">
    <cfRule type="cellIs" dxfId="341" priority="11" operator="equal">
      <formula>"Significant"</formula>
    </cfRule>
    <cfRule type="containsText" dxfId="340" priority="12" operator="containsText" text="Not">
      <formula>NOT(ISERROR(SEARCH("Not",S151)))</formula>
    </cfRule>
  </conditionalFormatting>
  <conditionalFormatting sqref="S168:T168">
    <cfRule type="cellIs" dxfId="339" priority="35" operator="equal">
      <formula>"Significant"</formula>
    </cfRule>
    <cfRule type="containsText" dxfId="338" priority="36" operator="containsText" text="Not">
      <formula>NOT(ISERROR(SEARCH("Not",S168)))</formula>
    </cfRule>
  </conditionalFormatting>
  <conditionalFormatting sqref="S185:T185">
    <cfRule type="cellIs" dxfId="337" priority="23" operator="equal">
      <formula>"Significant"</formula>
    </cfRule>
    <cfRule type="containsText" dxfId="336" priority="24" operator="containsText" text="Not">
      <formula>NOT(ISERROR(SEARCH("Not",S185)))</formula>
    </cfRule>
  </conditionalFormatting>
  <conditionalFormatting sqref="V15">
    <cfRule type="containsText" dxfId="335" priority="125" operator="containsText" text="&gt;">
      <formula>NOT(ISERROR(SEARCH("&gt;",V15)))</formula>
    </cfRule>
    <cfRule type="containsText" dxfId="334" priority="126" operator="containsText" text="&lt;">
      <formula>NOT(ISERROR(SEARCH("&lt;",V15)))</formula>
    </cfRule>
  </conditionalFormatting>
  <conditionalFormatting sqref="V32">
    <cfRule type="containsText" dxfId="333" priority="113" operator="containsText" text="&gt;">
      <formula>NOT(ISERROR(SEARCH("&gt;",V32)))</formula>
    </cfRule>
    <cfRule type="containsText" dxfId="332" priority="114" operator="containsText" text="&lt;">
      <formula>NOT(ISERROR(SEARCH("&lt;",V32)))</formula>
    </cfRule>
  </conditionalFormatting>
  <conditionalFormatting sqref="V49">
    <cfRule type="containsText" dxfId="331" priority="101" operator="containsText" text="&gt;">
      <formula>NOT(ISERROR(SEARCH("&gt;",V49)))</formula>
    </cfRule>
    <cfRule type="containsText" dxfId="330" priority="102" operator="containsText" text="&lt;">
      <formula>NOT(ISERROR(SEARCH("&lt;",V49)))</formula>
    </cfRule>
  </conditionalFormatting>
  <conditionalFormatting sqref="V66">
    <cfRule type="containsText" dxfId="329" priority="89" operator="containsText" text="&gt;">
      <formula>NOT(ISERROR(SEARCH("&gt;",V66)))</formula>
    </cfRule>
    <cfRule type="containsText" dxfId="328" priority="90" operator="containsText" text="&lt;">
      <formula>NOT(ISERROR(SEARCH("&lt;",V66)))</formula>
    </cfRule>
  </conditionalFormatting>
  <conditionalFormatting sqref="V83">
    <cfRule type="containsText" dxfId="327" priority="77" operator="containsText" text="&gt;">
      <formula>NOT(ISERROR(SEARCH("&gt;",V83)))</formula>
    </cfRule>
    <cfRule type="containsText" dxfId="326" priority="78" operator="containsText" text="&lt;">
      <formula>NOT(ISERROR(SEARCH("&lt;",V83)))</formula>
    </cfRule>
  </conditionalFormatting>
  <conditionalFormatting sqref="V100">
    <cfRule type="containsText" dxfId="325" priority="65" operator="containsText" text="&gt;">
      <formula>NOT(ISERROR(SEARCH("&gt;",V100)))</formula>
    </cfRule>
    <cfRule type="containsText" dxfId="324" priority="66" operator="containsText" text="&lt;">
      <formula>NOT(ISERROR(SEARCH("&lt;",V100)))</formula>
    </cfRule>
  </conditionalFormatting>
  <conditionalFormatting sqref="V117">
    <cfRule type="containsText" dxfId="323" priority="53" operator="containsText" text="&gt;">
      <formula>NOT(ISERROR(SEARCH("&gt;",V117)))</formula>
    </cfRule>
    <cfRule type="containsText" dxfId="322" priority="54" operator="containsText" text="&lt;">
      <formula>NOT(ISERROR(SEARCH("&lt;",V117)))</formula>
    </cfRule>
  </conditionalFormatting>
  <conditionalFormatting sqref="V134">
    <cfRule type="containsText" dxfId="321" priority="41" operator="containsText" text="&gt;">
      <formula>NOT(ISERROR(SEARCH("&gt;",V134)))</formula>
    </cfRule>
    <cfRule type="containsText" dxfId="320" priority="42" operator="containsText" text="&lt;">
      <formula>NOT(ISERROR(SEARCH("&lt;",V134)))</formula>
    </cfRule>
  </conditionalFormatting>
  <conditionalFormatting sqref="V151">
    <cfRule type="containsText" dxfId="319" priority="5" operator="containsText" text="&gt;">
      <formula>NOT(ISERROR(SEARCH("&gt;",V151)))</formula>
    </cfRule>
    <cfRule type="containsText" dxfId="318" priority="6" operator="containsText" text="&lt;">
      <formula>NOT(ISERROR(SEARCH("&lt;",V151)))</formula>
    </cfRule>
  </conditionalFormatting>
  <conditionalFormatting sqref="V168">
    <cfRule type="containsText" dxfId="317" priority="29" operator="containsText" text="&gt;">
      <formula>NOT(ISERROR(SEARCH("&gt;",V168)))</formula>
    </cfRule>
    <cfRule type="containsText" dxfId="316" priority="30" operator="containsText" text="&lt;">
      <formula>NOT(ISERROR(SEARCH("&lt;",V168)))</formula>
    </cfRule>
  </conditionalFormatting>
  <conditionalFormatting sqref="V185">
    <cfRule type="containsText" dxfId="315" priority="17" operator="containsText" text="&gt;">
      <formula>NOT(ISERROR(SEARCH("&gt;",V185)))</formula>
    </cfRule>
    <cfRule type="containsText" dxfId="314" priority="18" operator="containsText" text="&lt;">
      <formula>NOT(ISERROR(SEARCH("&lt;",V185)))</formula>
    </cfRule>
  </conditionalFormatting>
  <conditionalFormatting sqref="W15:X15">
    <cfRule type="cellIs" dxfId="313" priority="127" operator="equal">
      <formula>"Significant"</formula>
    </cfRule>
    <cfRule type="containsText" dxfId="312" priority="128" operator="containsText" text="Not">
      <formula>NOT(ISERROR(SEARCH("Not",W15)))</formula>
    </cfRule>
  </conditionalFormatting>
  <conditionalFormatting sqref="W32:X32">
    <cfRule type="cellIs" dxfId="311" priority="115" operator="equal">
      <formula>"Significant"</formula>
    </cfRule>
    <cfRule type="containsText" dxfId="310" priority="116" operator="containsText" text="Not">
      <formula>NOT(ISERROR(SEARCH("Not",W32)))</formula>
    </cfRule>
  </conditionalFormatting>
  <conditionalFormatting sqref="W49:X49">
    <cfRule type="cellIs" dxfId="309" priority="103" operator="equal">
      <formula>"Significant"</formula>
    </cfRule>
    <cfRule type="containsText" dxfId="308" priority="104" operator="containsText" text="Not">
      <formula>NOT(ISERROR(SEARCH("Not",W49)))</formula>
    </cfRule>
  </conditionalFormatting>
  <conditionalFormatting sqref="W66:X66">
    <cfRule type="cellIs" dxfId="307" priority="91" operator="equal">
      <formula>"Significant"</formula>
    </cfRule>
    <cfRule type="containsText" dxfId="306" priority="92" operator="containsText" text="Not">
      <formula>NOT(ISERROR(SEARCH("Not",W66)))</formula>
    </cfRule>
  </conditionalFormatting>
  <conditionalFormatting sqref="W83:X83">
    <cfRule type="cellIs" dxfId="305" priority="79" operator="equal">
      <formula>"Significant"</formula>
    </cfRule>
    <cfRule type="containsText" dxfId="304" priority="80" operator="containsText" text="Not">
      <formula>NOT(ISERROR(SEARCH("Not",W83)))</formula>
    </cfRule>
  </conditionalFormatting>
  <conditionalFormatting sqref="W100:X100">
    <cfRule type="cellIs" dxfId="303" priority="67" operator="equal">
      <formula>"Significant"</formula>
    </cfRule>
    <cfRule type="containsText" dxfId="302" priority="68" operator="containsText" text="Not">
      <formula>NOT(ISERROR(SEARCH("Not",W100)))</formula>
    </cfRule>
  </conditionalFormatting>
  <conditionalFormatting sqref="W117:X117">
    <cfRule type="cellIs" dxfId="301" priority="55" operator="equal">
      <formula>"Significant"</formula>
    </cfRule>
    <cfRule type="containsText" dxfId="300" priority="56" operator="containsText" text="Not">
      <formula>NOT(ISERROR(SEARCH("Not",W117)))</formula>
    </cfRule>
  </conditionalFormatting>
  <conditionalFormatting sqref="W134:X134">
    <cfRule type="cellIs" dxfId="299" priority="43" operator="equal">
      <formula>"Significant"</formula>
    </cfRule>
    <cfRule type="containsText" dxfId="298" priority="44" operator="containsText" text="Not">
      <formula>NOT(ISERROR(SEARCH("Not",W134)))</formula>
    </cfRule>
  </conditionalFormatting>
  <conditionalFormatting sqref="W151:X151">
    <cfRule type="cellIs" dxfId="297" priority="7" operator="equal">
      <formula>"Significant"</formula>
    </cfRule>
    <cfRule type="containsText" dxfId="296" priority="8" operator="containsText" text="Not">
      <formula>NOT(ISERROR(SEARCH("Not",W151)))</formula>
    </cfRule>
  </conditionalFormatting>
  <conditionalFormatting sqref="W168:X168">
    <cfRule type="cellIs" dxfId="295" priority="31" operator="equal">
      <formula>"Significant"</formula>
    </cfRule>
    <cfRule type="containsText" dxfId="294" priority="32" operator="containsText" text="Not">
      <formula>NOT(ISERROR(SEARCH("Not",W168)))</formula>
    </cfRule>
  </conditionalFormatting>
  <conditionalFormatting sqref="W185:X185">
    <cfRule type="cellIs" dxfId="293" priority="19" operator="equal">
      <formula>"Significant"</formula>
    </cfRule>
    <cfRule type="containsText" dxfId="292" priority="20" operator="containsText" text="Not">
      <formula>NOT(ISERROR(SEARCH("Not",W185)))</formula>
    </cfRule>
  </conditionalFormatting>
  <conditionalFormatting sqref="Z15">
    <cfRule type="containsText" dxfId="291" priority="121" operator="containsText" text="&gt;">
      <formula>NOT(ISERROR(SEARCH("&gt;",Z15)))</formula>
    </cfRule>
    <cfRule type="containsText" dxfId="290" priority="122" operator="containsText" text="&lt;">
      <formula>NOT(ISERROR(SEARCH("&lt;",Z15)))</formula>
    </cfRule>
  </conditionalFormatting>
  <conditionalFormatting sqref="Z32">
    <cfRule type="containsText" dxfId="289" priority="109" operator="containsText" text="&gt;">
      <formula>NOT(ISERROR(SEARCH("&gt;",Z32)))</formula>
    </cfRule>
    <cfRule type="containsText" dxfId="288" priority="110" operator="containsText" text="&lt;">
      <formula>NOT(ISERROR(SEARCH("&lt;",Z32)))</formula>
    </cfRule>
  </conditionalFormatting>
  <conditionalFormatting sqref="Z49">
    <cfRule type="containsText" dxfId="287" priority="97" operator="containsText" text="&gt;">
      <formula>NOT(ISERROR(SEARCH("&gt;",Z49)))</formula>
    </cfRule>
    <cfRule type="containsText" dxfId="286" priority="98" operator="containsText" text="&lt;">
      <formula>NOT(ISERROR(SEARCH("&lt;",Z49)))</formula>
    </cfRule>
  </conditionalFormatting>
  <conditionalFormatting sqref="Z66">
    <cfRule type="containsText" dxfId="285" priority="85" operator="containsText" text="&gt;">
      <formula>NOT(ISERROR(SEARCH("&gt;",Z66)))</formula>
    </cfRule>
    <cfRule type="containsText" dxfId="284" priority="86" operator="containsText" text="&lt;">
      <formula>NOT(ISERROR(SEARCH("&lt;",Z66)))</formula>
    </cfRule>
  </conditionalFormatting>
  <conditionalFormatting sqref="Z83">
    <cfRule type="containsText" dxfId="283" priority="73" operator="containsText" text="&gt;">
      <formula>NOT(ISERROR(SEARCH("&gt;",Z83)))</formula>
    </cfRule>
    <cfRule type="containsText" dxfId="282" priority="74" operator="containsText" text="&lt;">
      <formula>NOT(ISERROR(SEARCH("&lt;",Z83)))</formula>
    </cfRule>
  </conditionalFormatting>
  <conditionalFormatting sqref="Z100">
    <cfRule type="containsText" dxfId="281" priority="61" operator="containsText" text="&gt;">
      <formula>NOT(ISERROR(SEARCH("&gt;",Z100)))</formula>
    </cfRule>
    <cfRule type="containsText" dxfId="280" priority="62" operator="containsText" text="&lt;">
      <formula>NOT(ISERROR(SEARCH("&lt;",Z100)))</formula>
    </cfRule>
  </conditionalFormatting>
  <conditionalFormatting sqref="Z117">
    <cfRule type="containsText" dxfId="279" priority="49" operator="containsText" text="&gt;">
      <formula>NOT(ISERROR(SEARCH("&gt;",Z117)))</formula>
    </cfRule>
    <cfRule type="containsText" dxfId="278" priority="50" operator="containsText" text="&lt;">
      <formula>NOT(ISERROR(SEARCH("&lt;",Z117)))</formula>
    </cfRule>
  </conditionalFormatting>
  <conditionalFormatting sqref="Z134">
    <cfRule type="containsText" dxfId="277" priority="37" operator="containsText" text="&gt;">
      <formula>NOT(ISERROR(SEARCH("&gt;",Z134)))</formula>
    </cfRule>
    <cfRule type="containsText" dxfId="276" priority="38" operator="containsText" text="&lt;">
      <formula>NOT(ISERROR(SEARCH("&lt;",Z134)))</formula>
    </cfRule>
  </conditionalFormatting>
  <conditionalFormatting sqref="Z151">
    <cfRule type="containsText" dxfId="275" priority="1" operator="containsText" text="&gt;">
      <formula>NOT(ISERROR(SEARCH("&gt;",Z151)))</formula>
    </cfRule>
    <cfRule type="containsText" dxfId="274" priority="2" operator="containsText" text="&lt;">
      <formula>NOT(ISERROR(SEARCH("&lt;",Z151)))</formula>
    </cfRule>
  </conditionalFormatting>
  <conditionalFormatting sqref="Z168">
    <cfRule type="containsText" dxfId="273" priority="25" operator="containsText" text="&gt;">
      <formula>NOT(ISERROR(SEARCH("&gt;",Z168)))</formula>
    </cfRule>
    <cfRule type="containsText" dxfId="272" priority="26" operator="containsText" text="&lt;">
      <formula>NOT(ISERROR(SEARCH("&lt;",Z168)))</formula>
    </cfRule>
  </conditionalFormatting>
  <conditionalFormatting sqref="Z185">
    <cfRule type="containsText" dxfId="271" priority="13" operator="containsText" text="&gt;">
      <formula>NOT(ISERROR(SEARCH("&gt;",Z185)))</formula>
    </cfRule>
    <cfRule type="containsText" dxfId="270" priority="14" operator="containsText" text="&lt;">
      <formula>NOT(ISERROR(SEARCH("&lt;",Z185)))</formula>
    </cfRule>
  </conditionalFormatting>
  <conditionalFormatting sqref="AA15:AB15">
    <cfRule type="cellIs" dxfId="269" priority="123" operator="equal">
      <formula>"Significant"</formula>
    </cfRule>
    <cfRule type="containsText" dxfId="268" priority="124" operator="containsText" text="Not">
      <formula>NOT(ISERROR(SEARCH("Not",AA15)))</formula>
    </cfRule>
  </conditionalFormatting>
  <conditionalFormatting sqref="AA32:AB32">
    <cfRule type="cellIs" dxfId="267" priority="111" operator="equal">
      <formula>"Significant"</formula>
    </cfRule>
    <cfRule type="containsText" dxfId="266" priority="112" operator="containsText" text="Not">
      <formula>NOT(ISERROR(SEARCH("Not",AA32)))</formula>
    </cfRule>
  </conditionalFormatting>
  <conditionalFormatting sqref="AA49:AB49">
    <cfRule type="cellIs" dxfId="265" priority="99" operator="equal">
      <formula>"Significant"</formula>
    </cfRule>
    <cfRule type="containsText" dxfId="264" priority="100" operator="containsText" text="Not">
      <formula>NOT(ISERROR(SEARCH("Not",AA49)))</formula>
    </cfRule>
  </conditionalFormatting>
  <conditionalFormatting sqref="AA66:AB66">
    <cfRule type="cellIs" dxfId="263" priority="87" operator="equal">
      <formula>"Significant"</formula>
    </cfRule>
    <cfRule type="containsText" dxfId="262" priority="88" operator="containsText" text="Not">
      <formula>NOT(ISERROR(SEARCH("Not",AA66)))</formula>
    </cfRule>
  </conditionalFormatting>
  <conditionalFormatting sqref="AA83:AB83">
    <cfRule type="cellIs" dxfId="261" priority="75" operator="equal">
      <formula>"Significant"</formula>
    </cfRule>
    <cfRule type="containsText" dxfId="260" priority="76" operator="containsText" text="Not">
      <formula>NOT(ISERROR(SEARCH("Not",AA83)))</formula>
    </cfRule>
  </conditionalFormatting>
  <conditionalFormatting sqref="AA100:AB100">
    <cfRule type="cellIs" dxfId="259" priority="63" operator="equal">
      <formula>"Significant"</formula>
    </cfRule>
    <cfRule type="containsText" dxfId="258" priority="64" operator="containsText" text="Not">
      <formula>NOT(ISERROR(SEARCH("Not",AA100)))</formula>
    </cfRule>
  </conditionalFormatting>
  <conditionalFormatting sqref="AA117:AB117">
    <cfRule type="cellIs" dxfId="257" priority="51" operator="equal">
      <formula>"Significant"</formula>
    </cfRule>
    <cfRule type="containsText" dxfId="256" priority="52" operator="containsText" text="Not">
      <formula>NOT(ISERROR(SEARCH("Not",AA117)))</formula>
    </cfRule>
  </conditionalFormatting>
  <conditionalFormatting sqref="AA134:AB134">
    <cfRule type="cellIs" dxfId="255" priority="39" operator="equal">
      <formula>"Significant"</formula>
    </cfRule>
    <cfRule type="containsText" dxfId="254" priority="40" operator="containsText" text="Not">
      <formula>NOT(ISERROR(SEARCH("Not",AA134)))</formula>
    </cfRule>
  </conditionalFormatting>
  <conditionalFormatting sqref="AA151:AB151">
    <cfRule type="cellIs" dxfId="253" priority="3" operator="equal">
      <formula>"Significant"</formula>
    </cfRule>
    <cfRule type="containsText" dxfId="252" priority="4" operator="containsText" text="Not">
      <formula>NOT(ISERROR(SEARCH("Not",AA151)))</formula>
    </cfRule>
  </conditionalFormatting>
  <conditionalFormatting sqref="AA168:AB168">
    <cfRule type="cellIs" dxfId="251" priority="27" operator="equal">
      <formula>"Significant"</formula>
    </cfRule>
    <cfRule type="containsText" dxfId="250" priority="28" operator="containsText" text="Not">
      <formula>NOT(ISERROR(SEARCH("Not",AA168)))</formula>
    </cfRule>
  </conditionalFormatting>
  <conditionalFormatting sqref="AA185:AB185">
    <cfRule type="cellIs" dxfId="249" priority="15" operator="equal">
      <formula>"Significant"</formula>
    </cfRule>
    <cfRule type="containsText" dxfId="248" priority="16" operator="containsText" text="Not">
      <formula>NOT(ISERROR(SEARCH("Not",AA185)))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4401-6949-4096-8456-231C343F3715}">
  <sheetPr>
    <tabColor theme="8" tint="0.39997558519241921"/>
  </sheetPr>
  <dimension ref="A1:AG238"/>
  <sheetViews>
    <sheetView workbookViewId="0">
      <selection activeCell="R86" sqref="R86"/>
    </sheetView>
  </sheetViews>
  <sheetFormatPr defaultRowHeight="15" x14ac:dyDescent="0.25"/>
  <cols>
    <col min="1" max="1" width="18.5703125" customWidth="1"/>
    <col min="2" max="2" width="11.28515625" customWidth="1"/>
    <col min="4" max="4" width="9.140625" style="3"/>
    <col min="10" max="10" width="9.140625" style="3"/>
    <col min="16" max="16" width="9.140625" style="3"/>
    <col min="20" max="20" width="8.7109375" customWidth="1"/>
    <col min="21" max="21" width="14.5703125" customWidth="1"/>
    <col min="22" max="22" width="14.28515625" customWidth="1"/>
    <col min="23" max="23" width="19" customWidth="1"/>
    <col min="24" max="24" width="9.42578125" customWidth="1"/>
    <col min="27" max="27" width="15.42578125" customWidth="1"/>
    <col min="31" max="31" width="16.5703125" customWidth="1"/>
  </cols>
  <sheetData>
    <row r="1" spans="1:33" x14ac:dyDescent="0.25">
      <c r="A1" s="126" t="s">
        <v>15</v>
      </c>
      <c r="B1" s="126" t="s">
        <v>0</v>
      </c>
      <c r="C1" s="128"/>
      <c r="D1" s="112" t="s">
        <v>12</v>
      </c>
      <c r="E1" s="115" t="s">
        <v>13</v>
      </c>
      <c r="F1" s="115"/>
      <c r="G1" s="115"/>
      <c r="H1" s="115"/>
      <c r="I1" s="115"/>
      <c r="J1" s="116"/>
      <c r="K1" s="117" t="s">
        <v>14</v>
      </c>
      <c r="L1" s="118"/>
      <c r="M1" s="118"/>
      <c r="N1" s="118"/>
      <c r="O1" s="118"/>
      <c r="P1" s="119"/>
      <c r="U1" s="105" t="s">
        <v>118</v>
      </c>
      <c r="V1" s="105">
        <v>18</v>
      </c>
      <c r="W1" s="195" t="s">
        <v>13</v>
      </c>
      <c r="X1" s="195"/>
      <c r="Y1" s="195"/>
      <c r="Z1" s="195"/>
      <c r="AA1" s="195"/>
      <c r="AB1" s="195"/>
      <c r="AC1" s="195"/>
      <c r="AD1" s="195"/>
      <c r="AE1" s="195"/>
      <c r="AF1" s="195"/>
      <c r="AG1" s="195"/>
    </row>
    <row r="2" spans="1:33" x14ac:dyDescent="0.25">
      <c r="A2" s="126"/>
      <c r="B2" s="126" t="s">
        <v>16</v>
      </c>
      <c r="C2" s="128" t="s">
        <v>17</v>
      </c>
      <c r="D2" s="113"/>
      <c r="E2" s="120" t="s">
        <v>1</v>
      </c>
      <c r="F2" s="122" t="s">
        <v>2</v>
      </c>
      <c r="G2" s="122" t="s">
        <v>3</v>
      </c>
      <c r="H2" s="122" t="s">
        <v>4</v>
      </c>
      <c r="I2" s="122" t="s">
        <v>5</v>
      </c>
      <c r="J2" s="122" t="s">
        <v>70</v>
      </c>
      <c r="K2" s="124" t="s">
        <v>1</v>
      </c>
      <c r="L2" s="109" t="s">
        <v>2</v>
      </c>
      <c r="M2" s="109" t="s">
        <v>3</v>
      </c>
      <c r="N2" s="109" t="s">
        <v>4</v>
      </c>
      <c r="O2" s="109" t="s">
        <v>5</v>
      </c>
      <c r="P2" s="109" t="s">
        <v>70</v>
      </c>
      <c r="U2" s="105"/>
      <c r="V2" s="105"/>
      <c r="W2" s="194" t="s">
        <v>4</v>
      </c>
      <c r="X2" s="194"/>
      <c r="Y2" s="194"/>
      <c r="Z2" s="15"/>
      <c r="AA2" s="194" t="s">
        <v>5</v>
      </c>
      <c r="AB2" s="194"/>
      <c r="AC2" s="194"/>
      <c r="AD2" s="15"/>
      <c r="AE2" s="194" t="s">
        <v>70</v>
      </c>
      <c r="AF2" s="194"/>
      <c r="AG2" s="194"/>
    </row>
    <row r="3" spans="1:33" ht="15.75" thickBot="1" x14ac:dyDescent="0.3">
      <c r="A3" s="127"/>
      <c r="B3" s="127"/>
      <c r="C3" s="129"/>
      <c r="D3" s="114"/>
      <c r="E3" s="121"/>
      <c r="F3" s="123"/>
      <c r="G3" s="123"/>
      <c r="H3" s="123"/>
      <c r="I3" s="123"/>
      <c r="J3" s="123"/>
      <c r="K3" s="125"/>
      <c r="L3" s="110"/>
      <c r="M3" s="110"/>
      <c r="N3" s="110"/>
      <c r="O3" s="110"/>
      <c r="P3" s="110"/>
      <c r="U3" s="105"/>
      <c r="V3" s="105"/>
    </row>
    <row r="4" spans="1:33" x14ac:dyDescent="0.25">
      <c r="A4" s="207" t="s">
        <v>114</v>
      </c>
      <c r="B4" s="111" t="s">
        <v>18</v>
      </c>
      <c r="C4" s="111">
        <v>18</v>
      </c>
      <c r="D4" s="11">
        <v>1</v>
      </c>
      <c r="E4" s="6">
        <f>'2stage Sheet'!E4</f>
        <v>0.86956518888473511</v>
      </c>
      <c r="F4" s="6">
        <f>'2stage Sheet'!F4</f>
        <v>0.37956205010414124</v>
      </c>
      <c r="G4" s="6">
        <f>'2stage Sheet'!G4</f>
        <v>0.43333333730697632</v>
      </c>
      <c r="H4" s="6">
        <f>'2stage Sheet'!H4</f>
        <v>0.40466925501823425</v>
      </c>
      <c r="I4" s="6">
        <f>'2stage Sheet'!I4</f>
        <v>0.83078503608703613</v>
      </c>
      <c r="J4" s="11">
        <f>'2stage Sheet'!J4</f>
        <v>0.37758862972259521</v>
      </c>
      <c r="K4" s="6">
        <f>'2stage Sheet'!K4</f>
        <v>0.88508373498916626</v>
      </c>
      <c r="L4" s="6">
        <f>'2stage Sheet'!L4</f>
        <v>0.34351146221160889</v>
      </c>
      <c r="M4" s="6">
        <f>'2stage Sheet'!M4</f>
        <v>0.40909090638160706</v>
      </c>
      <c r="N4" s="6">
        <f>'2stage Sheet'!N4</f>
        <v>0.37344399094581604</v>
      </c>
      <c r="O4" s="6">
        <f>'2stage Sheet'!O4</f>
        <v>0.84165656566619873</v>
      </c>
      <c r="P4" s="11">
        <f>'2stage Sheet'!P4</f>
        <v>0.32382386922836304</v>
      </c>
      <c r="U4" s="105"/>
      <c r="V4" s="105"/>
      <c r="W4" s="17"/>
      <c r="X4" s="17" t="s">
        <v>116</v>
      </c>
      <c r="Y4" s="17" t="s">
        <v>117</v>
      </c>
      <c r="AA4" s="17"/>
      <c r="AB4" s="17" t="s">
        <v>116</v>
      </c>
      <c r="AC4" s="17" t="s">
        <v>117</v>
      </c>
      <c r="AE4" s="17"/>
      <c r="AF4" s="17" t="s">
        <v>116</v>
      </c>
      <c r="AG4" s="17" t="s">
        <v>117</v>
      </c>
    </row>
    <row r="5" spans="1:33" x14ac:dyDescent="0.25">
      <c r="A5" s="205"/>
      <c r="B5" s="105"/>
      <c r="C5" s="105"/>
      <c r="D5" s="3">
        <v>2</v>
      </c>
      <c r="E5">
        <f>'2stage Sheet'!E5</f>
        <v>0.90487802028656006</v>
      </c>
      <c r="F5">
        <f>'2stage Sheet'!F5</f>
        <v>0.48739495873451233</v>
      </c>
      <c r="G5">
        <f>'2stage Sheet'!G5</f>
        <v>0.50877195596694946</v>
      </c>
      <c r="H5">
        <f>'2stage Sheet'!H5</f>
        <v>0.497854083776474</v>
      </c>
      <c r="I5">
        <f>'2stage Sheet'!I5</f>
        <v>0.89392721652984619</v>
      </c>
      <c r="J5" s="3">
        <f>'2stage Sheet'!J5</f>
        <v>0.53801500797271729</v>
      </c>
      <c r="K5">
        <f>'2stage Sheet'!K5</f>
        <v>0.88660579919815063</v>
      </c>
      <c r="L5">
        <f>'2stage Sheet'!L5</f>
        <v>0.34400001168251038</v>
      </c>
      <c r="M5">
        <f>'2stage Sheet'!M5</f>
        <v>0.3909091055393219</v>
      </c>
      <c r="N5">
        <f>'2stage Sheet'!N5</f>
        <v>0.36595743894577026</v>
      </c>
      <c r="O5">
        <f>'2stage Sheet'!O5</f>
        <v>0.83157658576965332</v>
      </c>
      <c r="P5" s="3">
        <f>'2stage Sheet'!P5</f>
        <v>0.30148157477378845</v>
      </c>
      <c r="U5" s="105"/>
      <c r="V5" s="105"/>
      <c r="W5" t="s">
        <v>75</v>
      </c>
      <c r="X5">
        <v>0.46951682865619626</v>
      </c>
      <c r="Y5">
        <v>0.4347461462020874</v>
      </c>
      <c r="AA5" t="s">
        <v>75</v>
      </c>
      <c r="AB5">
        <v>0.86355166137218453</v>
      </c>
      <c r="AC5">
        <v>0.86030294001102448</v>
      </c>
      <c r="AE5" t="s">
        <v>75</v>
      </c>
      <c r="AF5">
        <v>0.47297102212905873</v>
      </c>
      <c r="AG5">
        <v>0.43325299024581909</v>
      </c>
    </row>
    <row r="6" spans="1:33" x14ac:dyDescent="0.25">
      <c r="A6" s="205"/>
      <c r="B6" s="105"/>
      <c r="C6" s="105"/>
      <c r="D6" s="3">
        <v>3</v>
      </c>
      <c r="E6">
        <f>'2stage Sheet'!E6</f>
        <v>0.87060701847076416</v>
      </c>
      <c r="F6">
        <f>'2stage Sheet'!F6</f>
        <v>0.32413792610168457</v>
      </c>
      <c r="G6">
        <f>'2stage Sheet'!G6</f>
        <v>0.4234234094619751</v>
      </c>
      <c r="H6">
        <f>'2stage Sheet'!H6</f>
        <v>0.3671875</v>
      </c>
      <c r="I6">
        <f>'2stage Sheet'!I6</f>
        <v>0.84429651498794556</v>
      </c>
      <c r="J6" s="3">
        <f>'2stage Sheet'!J6</f>
        <v>0.34148260951042175</v>
      </c>
      <c r="K6">
        <f>'2stage Sheet'!K6</f>
        <v>0.87138509750366211</v>
      </c>
      <c r="L6">
        <f>'2stage Sheet'!L6</f>
        <v>0.30201342701911926</v>
      </c>
      <c r="M6">
        <f>'2stage Sheet'!M6</f>
        <v>0.40909090638160706</v>
      </c>
      <c r="N6">
        <f>'2stage Sheet'!N6</f>
        <v>0.3474903404712677</v>
      </c>
      <c r="O6">
        <f>'2stage Sheet'!O6</f>
        <v>0.83736783266067505</v>
      </c>
      <c r="P6" s="3">
        <f>'2stage Sheet'!P6</f>
        <v>0.33937108516693115</v>
      </c>
      <c r="U6" s="105"/>
      <c r="V6" s="105"/>
      <c r="W6" t="s">
        <v>76</v>
      </c>
      <c r="X6">
        <v>4.1639121215581554E-4</v>
      </c>
      <c r="Y6">
        <v>3.5478523311945529E-3</v>
      </c>
      <c r="AA6" t="s">
        <v>76</v>
      </c>
      <c r="AB6">
        <v>6.3240843929760805E-4</v>
      </c>
      <c r="AC6">
        <v>7.9990517109814385E-4</v>
      </c>
      <c r="AE6" t="s">
        <v>76</v>
      </c>
      <c r="AF6">
        <v>6.3855758298198744E-3</v>
      </c>
      <c r="AG6">
        <v>8.1054551682016775E-3</v>
      </c>
    </row>
    <row r="7" spans="1:33" x14ac:dyDescent="0.25">
      <c r="A7" s="205"/>
      <c r="B7" s="105"/>
      <c r="C7" s="105"/>
      <c r="D7" s="3">
        <v>4</v>
      </c>
      <c r="E7">
        <f>'2stage Sheet'!E7</f>
        <v>0.92043548822402954</v>
      </c>
      <c r="F7">
        <f>'2stage Sheet'!F7</f>
        <v>0.53164559602737427</v>
      </c>
      <c r="G7">
        <f>'2stage Sheet'!G7</f>
        <v>0.41999998688697815</v>
      </c>
      <c r="H7">
        <f>'2stage Sheet'!H7</f>
        <v>0.46927374601364136</v>
      </c>
      <c r="I7">
        <f>'2stage Sheet'!I7</f>
        <v>0.87220299243927002</v>
      </c>
      <c r="J7" s="3">
        <f>'2stage Sheet'!J7</f>
        <v>0.47592571377754211</v>
      </c>
      <c r="K7">
        <f>'2stage Sheet'!K7</f>
        <v>0.89041095972061157</v>
      </c>
      <c r="L7">
        <f>'2stage Sheet'!L7</f>
        <v>0.2976190447807312</v>
      </c>
      <c r="M7">
        <f>'2stage Sheet'!M7</f>
        <v>0.22727273404598236</v>
      </c>
      <c r="N7">
        <f>'2stage Sheet'!N7</f>
        <v>0.25773194432258606</v>
      </c>
      <c r="O7">
        <f>'2stage Sheet'!O7</f>
        <v>0.83717155456542969</v>
      </c>
      <c r="P7" s="3">
        <f>'2stage Sheet'!P7</f>
        <v>0.27202838659286499</v>
      </c>
      <c r="U7" s="105"/>
      <c r="V7" s="105"/>
      <c r="W7" t="s">
        <v>77</v>
      </c>
      <c r="X7">
        <v>4</v>
      </c>
      <c r="Y7">
        <v>4</v>
      </c>
      <c r="AA7" t="s">
        <v>77</v>
      </c>
      <c r="AB7">
        <v>4</v>
      </c>
      <c r="AC7">
        <v>4</v>
      </c>
      <c r="AE7" t="s">
        <v>77</v>
      </c>
      <c r="AF7">
        <v>4</v>
      </c>
      <c r="AG7">
        <v>4</v>
      </c>
    </row>
    <row r="8" spans="1:33" x14ac:dyDescent="0.25">
      <c r="A8" s="205"/>
      <c r="B8" s="105"/>
      <c r="C8" s="105">
        <v>34</v>
      </c>
      <c r="D8" s="3">
        <v>1</v>
      </c>
      <c r="E8">
        <f>'2stage Sheet'!E8</f>
        <v>0.87297528982162476</v>
      </c>
      <c r="F8">
        <f>'2stage Sheet'!F8</f>
        <v>0.37168142199516296</v>
      </c>
      <c r="G8">
        <f>'2stage Sheet'!G8</f>
        <v>0.34999999403953552</v>
      </c>
      <c r="H8">
        <f>'2stage Sheet'!H8</f>
        <v>0.36051502823829651</v>
      </c>
      <c r="I8">
        <f>'2stage Sheet'!I8</f>
        <v>0.84006810188293457</v>
      </c>
      <c r="J8" s="3">
        <f>'2stage Sheet'!J8</f>
        <v>0.34158232808113098</v>
      </c>
      <c r="K8">
        <f>'2stage Sheet'!K8</f>
        <v>0.89269405603408813</v>
      </c>
      <c r="L8">
        <f>'2stage Sheet'!L8</f>
        <v>0.37984496355056763</v>
      </c>
      <c r="M8">
        <f>'2stage Sheet'!M8</f>
        <v>0.44545453786849976</v>
      </c>
      <c r="N8">
        <f>'2stage Sheet'!N8</f>
        <v>0.41004183888435364</v>
      </c>
      <c r="O8">
        <f>'2stage Sheet'!O8</f>
        <v>0.81941264867782593</v>
      </c>
      <c r="P8" s="3">
        <f>'2stage Sheet'!P8</f>
        <v>0.37349772453308105</v>
      </c>
      <c r="U8" s="105"/>
      <c r="V8" s="105"/>
      <c r="W8" t="s">
        <v>78</v>
      </c>
      <c r="X8">
        <v>0.15415471529448829</v>
      </c>
      <c r="AA8" t="s">
        <v>78</v>
      </c>
      <c r="AB8">
        <v>0.82406399043222534</v>
      </c>
      <c r="AE8" t="s">
        <v>78</v>
      </c>
      <c r="AF8">
        <v>0.80948589158297857</v>
      </c>
    </row>
    <row r="9" spans="1:33" x14ac:dyDescent="0.25">
      <c r="A9" s="205"/>
      <c r="B9" s="105"/>
      <c r="C9" s="105"/>
      <c r="D9" s="3">
        <v>2</v>
      </c>
      <c r="E9">
        <f>'2stage Sheet'!E9</f>
        <v>0.91300815343856812</v>
      </c>
      <c r="F9">
        <f>'2stage Sheet'!F9</f>
        <v>0.53684210777282715</v>
      </c>
      <c r="G9">
        <f>'2stage Sheet'!G9</f>
        <v>0.44736841320991516</v>
      </c>
      <c r="H9">
        <f>'2stage Sheet'!H9</f>
        <v>0.48803827166557312</v>
      </c>
      <c r="I9">
        <f>'2stage Sheet'!I9</f>
        <v>0.87250053882598877</v>
      </c>
      <c r="J9" s="3">
        <f>'2stage Sheet'!J9</f>
        <v>0.47781157493591309</v>
      </c>
      <c r="K9">
        <f>'2stage Sheet'!K9</f>
        <v>0.90715372562408447</v>
      </c>
      <c r="L9">
        <f>'2stage Sheet'!L9</f>
        <v>0.43181818723678589</v>
      </c>
      <c r="M9">
        <f>'2stage Sheet'!M9</f>
        <v>0.34545454382896423</v>
      </c>
      <c r="N9">
        <f>'2stage Sheet'!N9</f>
        <v>0.38383838534355164</v>
      </c>
      <c r="O9">
        <f>'2stage Sheet'!O9</f>
        <v>0.84232860803604126</v>
      </c>
      <c r="P9" s="3">
        <f>'2stage Sheet'!P9</f>
        <v>0.35381767153739929</v>
      </c>
      <c r="U9" s="105"/>
      <c r="V9" s="105"/>
      <c r="W9" t="s">
        <v>79</v>
      </c>
      <c r="X9">
        <v>0</v>
      </c>
      <c r="AA9" t="s">
        <v>79</v>
      </c>
      <c r="AB9">
        <v>0</v>
      </c>
      <c r="AE9" t="s">
        <v>79</v>
      </c>
      <c r="AF9">
        <v>0</v>
      </c>
    </row>
    <row r="10" spans="1:33" x14ac:dyDescent="0.25">
      <c r="A10" s="205"/>
      <c r="B10" s="105"/>
      <c r="C10" s="105"/>
      <c r="D10" s="3">
        <v>3</v>
      </c>
      <c r="E10">
        <f>'2stage Sheet'!E10</f>
        <v>0.88897764682769775</v>
      </c>
      <c r="F10">
        <f>'2stage Sheet'!F10</f>
        <v>0.390625</v>
      </c>
      <c r="G10">
        <f>'2stage Sheet'!G10</f>
        <v>0.45045045018196106</v>
      </c>
      <c r="H10">
        <f>'2stage Sheet'!H10</f>
        <v>0.4184100329875946</v>
      </c>
      <c r="I10">
        <f>'2stage Sheet'!I10</f>
        <v>0.85670065879821777</v>
      </c>
      <c r="J10" s="3">
        <f>'2stage Sheet'!J10</f>
        <v>0.42364054918289185</v>
      </c>
      <c r="K10">
        <f>'2stage Sheet'!K10</f>
        <v>0.87747335433959961</v>
      </c>
      <c r="L10">
        <f>'2stage Sheet'!L10</f>
        <v>0.32413792610168457</v>
      </c>
      <c r="M10">
        <f>'2stage Sheet'!M10</f>
        <v>0.4272727370262146</v>
      </c>
      <c r="N10">
        <f>'2stage Sheet'!N10</f>
        <v>0.36862745881080627</v>
      </c>
      <c r="O10">
        <f>'2stage Sheet'!O10</f>
        <v>0.85246145725250244</v>
      </c>
      <c r="P10" s="3">
        <f>'2stage Sheet'!P10</f>
        <v>0.35216167569160461</v>
      </c>
      <c r="U10" s="105"/>
      <c r="V10" s="105"/>
      <c r="W10" t="s">
        <v>80</v>
      </c>
      <c r="X10">
        <v>3</v>
      </c>
      <c r="AA10" t="s">
        <v>80</v>
      </c>
      <c r="AB10">
        <v>3</v>
      </c>
      <c r="AE10" t="s">
        <v>80</v>
      </c>
      <c r="AF10">
        <v>3</v>
      </c>
    </row>
    <row r="11" spans="1:33" x14ac:dyDescent="0.25">
      <c r="A11" s="205"/>
      <c r="B11" s="105"/>
      <c r="C11" s="105"/>
      <c r="D11" s="3">
        <v>4</v>
      </c>
      <c r="E11">
        <f>'2stage Sheet'!E11</f>
        <v>0.91959798336029053</v>
      </c>
      <c r="F11">
        <f>'2stage Sheet'!F11</f>
        <v>0.52702701091766357</v>
      </c>
      <c r="G11">
        <f>'2stage Sheet'!G11</f>
        <v>0.38999998569488525</v>
      </c>
      <c r="H11">
        <f>'2stage Sheet'!H11</f>
        <v>0.4482758641242981</v>
      </c>
      <c r="I11">
        <f>'2stage Sheet'!I11</f>
        <v>0.86631619930267334</v>
      </c>
      <c r="J11" s="3">
        <f>'2stage Sheet'!J11</f>
        <v>0.51733571290969849</v>
      </c>
      <c r="K11">
        <f>'2stage Sheet'!K11</f>
        <v>0.90334856510162354</v>
      </c>
      <c r="L11">
        <f>'2stage Sheet'!L11</f>
        <v>0.33962264657020569</v>
      </c>
      <c r="M11">
        <f>'2stage Sheet'!M11</f>
        <v>0.16363635659217834</v>
      </c>
      <c r="N11">
        <f>'2stage Sheet'!N11</f>
        <v>0.22085890173912048</v>
      </c>
      <c r="O11">
        <f>'2stage Sheet'!O11</f>
        <v>0.79332524538040161</v>
      </c>
      <c r="P11" s="3">
        <f>'2stage Sheet'!P11</f>
        <v>0.29745027422904968</v>
      </c>
      <c r="U11" s="105"/>
      <c r="V11" s="105"/>
      <c r="W11" t="s">
        <v>81</v>
      </c>
      <c r="X11">
        <v>1.1607147705364895</v>
      </c>
      <c r="AA11" t="s">
        <v>81</v>
      </c>
      <c r="AB11">
        <v>0.40288153390189357</v>
      </c>
      <c r="AE11" t="s">
        <v>81</v>
      </c>
      <c r="AF11">
        <v>1.4896323732672114</v>
      </c>
    </row>
    <row r="12" spans="1:33" x14ac:dyDescent="0.25">
      <c r="A12" s="205"/>
      <c r="B12" s="105"/>
      <c r="C12" s="105">
        <v>50</v>
      </c>
      <c r="D12" s="3">
        <v>1</v>
      </c>
      <c r="E12">
        <f>'2stage Sheet'!E12</f>
        <v>0.88064789772033691</v>
      </c>
      <c r="F12">
        <f>'2stage Sheet'!F12</f>
        <v>0.41379311680793762</v>
      </c>
      <c r="G12">
        <f>'2stage Sheet'!G12</f>
        <v>0.40000000596046448</v>
      </c>
      <c r="H12">
        <f>'2stage Sheet'!H12</f>
        <v>0.40677964687347412</v>
      </c>
      <c r="I12">
        <f>'2stage Sheet'!I12</f>
        <v>0.82097190618515015</v>
      </c>
      <c r="J12" s="3">
        <f>'2stage Sheet'!J12</f>
        <v>0.38065579533576965</v>
      </c>
      <c r="K12">
        <f>'2stage Sheet'!K12</f>
        <v>0.86910200119018555</v>
      </c>
      <c r="L12">
        <f>'2stage Sheet'!L12</f>
        <v>0.2651515007019043</v>
      </c>
      <c r="M12">
        <f>'2stage Sheet'!M12</f>
        <v>0.31818181276321411</v>
      </c>
      <c r="N12">
        <f>'2stage Sheet'!N12</f>
        <v>0.28925618529319763</v>
      </c>
      <c r="O12">
        <f>'2stage Sheet'!O12</f>
        <v>0.81720030307769775</v>
      </c>
      <c r="P12" s="3">
        <f>'2stage Sheet'!P12</f>
        <v>0.28062385320663452</v>
      </c>
      <c r="U12" s="105"/>
      <c r="V12" s="105"/>
      <c r="W12" t="s">
        <v>82</v>
      </c>
      <c r="X12">
        <v>0.16486460116314403</v>
      </c>
      <c r="AA12" t="s">
        <v>82</v>
      </c>
      <c r="AB12">
        <v>0.35701369618127332</v>
      </c>
      <c r="AE12" t="s">
        <v>82</v>
      </c>
      <c r="AF12">
        <v>0.11654362424885092</v>
      </c>
    </row>
    <row r="13" spans="1:33" x14ac:dyDescent="0.25">
      <c r="A13" s="205"/>
      <c r="B13" s="105"/>
      <c r="C13" s="105"/>
      <c r="D13" s="3">
        <v>2</v>
      </c>
      <c r="E13">
        <f>'2stage Sheet'!E13</f>
        <v>0.9032520055770874</v>
      </c>
      <c r="F13">
        <f>'2stage Sheet'!F13</f>
        <v>0.46913579106330872</v>
      </c>
      <c r="G13">
        <f>'2stage Sheet'!G13</f>
        <v>0.3333333432674408</v>
      </c>
      <c r="H13">
        <f>'2stage Sheet'!H13</f>
        <v>0.38974359631538391</v>
      </c>
      <c r="I13">
        <f>'2stage Sheet'!I13</f>
        <v>0.87345147132873535</v>
      </c>
      <c r="J13" s="3">
        <f>'2stage Sheet'!J13</f>
        <v>0.45601785182952881</v>
      </c>
      <c r="K13">
        <f>'2stage Sheet'!K13</f>
        <v>0.88508373498916626</v>
      </c>
      <c r="L13">
        <f>'2stage Sheet'!L13</f>
        <v>0.26966291666030884</v>
      </c>
      <c r="M13">
        <f>'2stage Sheet'!M13</f>
        <v>0.21818181872367859</v>
      </c>
      <c r="N13">
        <f>'2stage Sheet'!N13</f>
        <v>0.24120603501796722</v>
      </c>
      <c r="O13">
        <f>'2stage Sheet'!O13</f>
        <v>0.83612203598022461</v>
      </c>
      <c r="P13" s="3">
        <f>'2stage Sheet'!P13</f>
        <v>0.25460392236709595</v>
      </c>
      <c r="U13" s="105"/>
      <c r="V13" s="105"/>
      <c r="W13" t="s">
        <v>83</v>
      </c>
      <c r="X13">
        <v>2.3533634348018233</v>
      </c>
      <c r="AA13" t="s">
        <v>83</v>
      </c>
      <c r="AB13">
        <v>2.3533634348018233</v>
      </c>
      <c r="AE13" t="s">
        <v>83</v>
      </c>
      <c r="AF13">
        <v>2.3533634348018233</v>
      </c>
    </row>
    <row r="14" spans="1:33" x14ac:dyDescent="0.25">
      <c r="A14" s="205"/>
      <c r="B14" s="105"/>
      <c r="C14" s="105"/>
      <c r="D14" s="3">
        <v>3</v>
      </c>
      <c r="E14">
        <f>'2stage Sheet'!E14</f>
        <v>0.89536738395690918</v>
      </c>
      <c r="F14">
        <f>'2stage Sheet'!F14</f>
        <v>0.375</v>
      </c>
      <c r="G14">
        <f>'2stage Sheet'!G14</f>
        <v>0.27027025818824768</v>
      </c>
      <c r="H14">
        <f>'2stage Sheet'!H14</f>
        <v>0.31413611769676208</v>
      </c>
      <c r="I14">
        <f>'2stage Sheet'!I14</f>
        <v>0.8325951099395752</v>
      </c>
      <c r="J14" s="3">
        <f>'2stage Sheet'!J14</f>
        <v>0.31329494714736938</v>
      </c>
      <c r="K14">
        <f>'2stage Sheet'!K14</f>
        <v>0.90258753299713135</v>
      </c>
      <c r="L14">
        <f>'2stage Sheet'!L14</f>
        <v>0.32692307233810425</v>
      </c>
      <c r="M14">
        <f>'2stage Sheet'!M14</f>
        <v>0.15454545617103577</v>
      </c>
      <c r="N14">
        <f>'2stage Sheet'!N14</f>
        <v>0.20987653732299805</v>
      </c>
      <c r="O14">
        <f>'2stage Sheet'!O14</f>
        <v>0.82312744855880737</v>
      </c>
      <c r="P14" s="3">
        <f>'2stage Sheet'!P14</f>
        <v>0.26349484920501709</v>
      </c>
      <c r="U14" s="105"/>
      <c r="V14" s="105"/>
      <c r="W14" t="s">
        <v>84</v>
      </c>
      <c r="X14">
        <v>0.32972920232628805</v>
      </c>
      <c r="AA14" t="s">
        <v>84</v>
      </c>
      <c r="AB14">
        <v>0.71402739236254664</v>
      </c>
      <c r="AE14" t="s">
        <v>84</v>
      </c>
      <c r="AF14">
        <v>0.23308724849770185</v>
      </c>
    </row>
    <row r="15" spans="1:33" ht="15.75" thickBot="1" x14ac:dyDescent="0.3">
      <c r="A15" s="206"/>
      <c r="B15" s="107"/>
      <c r="C15" s="107"/>
      <c r="D15" s="8">
        <v>4</v>
      </c>
      <c r="E15" s="7">
        <f>'2stage Sheet'!E15</f>
        <v>0.90787267684936523</v>
      </c>
      <c r="F15" s="7">
        <f>'2stage Sheet'!F15</f>
        <v>0.45901638269424438</v>
      </c>
      <c r="G15" s="7">
        <f>'2stage Sheet'!G15</f>
        <v>0.56000000238418579</v>
      </c>
      <c r="H15" s="7">
        <f>'2stage Sheet'!H15</f>
        <v>0.5045045018196106</v>
      </c>
      <c r="I15" s="7">
        <f>'2stage Sheet'!I15</f>
        <v>0.88010972738265991</v>
      </c>
      <c r="J15" s="8">
        <f>'2stage Sheet'!J15</f>
        <v>0.55900520086288452</v>
      </c>
      <c r="K15" s="7">
        <f>'2stage Sheet'!K15</f>
        <v>0.88203954696655273</v>
      </c>
      <c r="L15" s="7">
        <f>'2stage Sheet'!L15</f>
        <v>0.35099336504936218</v>
      </c>
      <c r="M15" s="7">
        <f>'2stage Sheet'!M15</f>
        <v>0.48181816935539246</v>
      </c>
      <c r="N15" s="7">
        <f>'2stage Sheet'!N15</f>
        <v>0.40613025426864624</v>
      </c>
      <c r="O15" s="7">
        <f>'2stage Sheet'!O15</f>
        <v>0.83453643321990967</v>
      </c>
      <c r="P15" s="8">
        <f>'2stage Sheet'!P15</f>
        <v>0.35391548275947571</v>
      </c>
      <c r="U15" s="105"/>
      <c r="V15" s="105"/>
      <c r="W15" s="16" t="s">
        <v>85</v>
      </c>
      <c r="X15" s="16">
        <v>3.1824463052837091</v>
      </c>
      <c r="Y15" s="16"/>
      <c r="AA15" s="16" t="s">
        <v>85</v>
      </c>
      <c r="AB15" s="16">
        <v>3.1824463052837091</v>
      </c>
      <c r="AC15" s="16"/>
      <c r="AE15" s="16" t="s">
        <v>85</v>
      </c>
      <c r="AF15" s="16">
        <v>3.1824463052837091</v>
      </c>
      <c r="AG15" s="16"/>
    </row>
    <row r="16" spans="1:33" x14ac:dyDescent="0.25">
      <c r="A16" s="204" t="s">
        <v>115</v>
      </c>
      <c r="B16" s="103" t="s">
        <v>21</v>
      </c>
      <c r="C16" s="103">
        <v>18</v>
      </c>
      <c r="D16" s="10">
        <v>1</v>
      </c>
      <c r="E16" s="9">
        <f>'2stage Sheet'!E16</f>
        <v>0.87382781505584717</v>
      </c>
      <c r="F16" s="9">
        <f>'2stage Sheet'!F16</f>
        <v>0.41860464215278625</v>
      </c>
      <c r="G16" s="9">
        <f>'2stage Sheet'!G16</f>
        <v>0.60000002384185791</v>
      </c>
      <c r="H16" s="9">
        <f>'2stage Sheet'!H16</f>
        <v>0.49315068125724792</v>
      </c>
      <c r="I16" s="9">
        <f>'2stage Sheet'!I16</f>
        <v>0.85674268007278442</v>
      </c>
      <c r="J16" s="10">
        <f>'2stage Sheet'!J16</f>
        <v>0.43261745572090149</v>
      </c>
      <c r="K16" s="9">
        <f>'2stage Sheet'!K16</f>
        <v>0.86605781316757202</v>
      </c>
      <c r="L16" s="9">
        <f>'2stage Sheet'!L16</f>
        <v>0.33980581164360046</v>
      </c>
      <c r="M16" s="9">
        <f>'2stage Sheet'!M16</f>
        <v>0.63636362552642822</v>
      </c>
      <c r="N16" s="9">
        <f>'2stage Sheet'!N16</f>
        <v>0.44303798675537109</v>
      </c>
      <c r="O16" s="9">
        <f>'2stage Sheet'!O16</f>
        <v>0.86457276344299316</v>
      </c>
      <c r="P16" s="10">
        <f>'2stage Sheet'!P16</f>
        <v>0.46481406688690186</v>
      </c>
      <c r="U16" s="105"/>
      <c r="V16" s="105"/>
      <c r="W16" t="str">
        <f>IF(Y5 &gt; X5, "LPFT &gt; FT", "LPFT &lt; FT")</f>
        <v>LPFT &lt; FT</v>
      </c>
      <c r="X16" s="171" t="str">
        <f>IF(X12 &lt; 0.05, "Significant", "Not Significant")</f>
        <v>Not Significant</v>
      </c>
      <c r="Y16" s="171"/>
      <c r="AA16" t="str">
        <f>IF(AC5 &gt; AB5, "LPFT &gt; FT", "LPFT &lt; FT")</f>
        <v>LPFT &lt; FT</v>
      </c>
      <c r="AB16" s="171" t="str">
        <f>IF(AB12 &lt; 0.05, "Significant", "Not Significant")</f>
        <v>Not Significant</v>
      </c>
      <c r="AC16" s="171"/>
      <c r="AE16" t="str">
        <f>IF(AG5 &gt; AF5, "LPFT &gt; FT", "LPFT &lt; FT")</f>
        <v>LPFT &lt; FT</v>
      </c>
      <c r="AF16" s="171" t="str">
        <f>IF(AF12 &lt; 0.05, "Significant", "Not Significant")</f>
        <v>Not Significant</v>
      </c>
      <c r="AG16" s="171"/>
    </row>
    <row r="17" spans="1:33" x14ac:dyDescent="0.25">
      <c r="A17" s="205"/>
      <c r="B17" s="105"/>
      <c r="C17" s="105"/>
      <c r="D17" s="3">
        <v>2</v>
      </c>
      <c r="E17">
        <f>'2stage Sheet'!E17</f>
        <v>0.90243899822235107</v>
      </c>
      <c r="F17">
        <f>'2stage Sheet'!F17</f>
        <v>0.48124998807907104</v>
      </c>
      <c r="G17">
        <f>'2stage Sheet'!G17</f>
        <v>0.67543858289718628</v>
      </c>
      <c r="H17">
        <f>'2stage Sheet'!H17</f>
        <v>0.56204378604888916</v>
      </c>
      <c r="I17">
        <f>'2stage Sheet'!I17</f>
        <v>0.90431052446365356</v>
      </c>
      <c r="J17" s="3">
        <f>'2stage Sheet'!J17</f>
        <v>0.61696267127990723</v>
      </c>
      <c r="K17">
        <f>'2stage Sheet'!K17</f>
        <v>0.87138509750366211</v>
      </c>
      <c r="L17">
        <f>'2stage Sheet'!L17</f>
        <v>0.35025382041931152</v>
      </c>
      <c r="M17">
        <f>'2stage Sheet'!M17</f>
        <v>0.62727272510528564</v>
      </c>
      <c r="N17">
        <f>'2stage Sheet'!N17</f>
        <v>0.44951140880584717</v>
      </c>
      <c r="O17">
        <f>'2stage Sheet'!O17</f>
        <v>0.86371177434921265</v>
      </c>
      <c r="P17" s="3">
        <f>'2stage Sheet'!P17</f>
        <v>0.44874662160873413</v>
      </c>
      <c r="U17" s="105"/>
      <c r="V17" s="105"/>
      <c r="W17">
        <f>X12</f>
        <v>0.16486460116314403</v>
      </c>
      <c r="X17" s="194"/>
      <c r="Y17" s="194"/>
      <c r="AA17">
        <f>AB12</f>
        <v>0.35701369618127332</v>
      </c>
      <c r="AB17" s="194"/>
      <c r="AC17" s="194"/>
      <c r="AE17">
        <f>AF12</f>
        <v>0.11654362424885092</v>
      </c>
      <c r="AF17" s="194"/>
      <c r="AG17" s="194"/>
    </row>
    <row r="18" spans="1:33" x14ac:dyDescent="0.25">
      <c r="A18" s="205"/>
      <c r="B18" s="105"/>
      <c r="C18" s="105"/>
      <c r="D18" s="3">
        <v>3</v>
      </c>
      <c r="E18">
        <f>'2stage Sheet'!E18</f>
        <v>0.89217251539230347</v>
      </c>
      <c r="F18">
        <f>'2stage Sheet'!F18</f>
        <v>0.41304346919059753</v>
      </c>
      <c r="G18">
        <f>'2stage Sheet'!G18</f>
        <v>0.51351350545883179</v>
      </c>
      <c r="H18">
        <f>'2stage Sheet'!H18</f>
        <v>0.45783132314682007</v>
      </c>
      <c r="I18">
        <f>'2stage Sheet'!I18</f>
        <v>0.85211324691772461</v>
      </c>
      <c r="J18" s="3">
        <f>'2stage Sheet'!J18</f>
        <v>0.45201206207275391</v>
      </c>
      <c r="K18">
        <f>'2stage Sheet'!K18</f>
        <v>0.87899541854858398</v>
      </c>
      <c r="L18">
        <f>'2stage Sheet'!L18</f>
        <v>0.35329341888427734</v>
      </c>
      <c r="M18">
        <f>'2stage Sheet'!M18</f>
        <v>0.53636366128921509</v>
      </c>
      <c r="N18">
        <f>'2stage Sheet'!N18</f>
        <v>0.42599278688430786</v>
      </c>
      <c r="O18">
        <f>'2stage Sheet'!O18</f>
        <v>0.83691489696502686</v>
      </c>
      <c r="P18" s="3">
        <f>'2stage Sheet'!P18</f>
        <v>0.41122215986251831</v>
      </c>
      <c r="U18" s="105"/>
      <c r="V18" s="105"/>
      <c r="W18" s="196" t="s">
        <v>14</v>
      </c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</row>
    <row r="19" spans="1:33" x14ac:dyDescent="0.25">
      <c r="A19" s="205"/>
      <c r="B19" s="105"/>
      <c r="C19" s="105"/>
      <c r="D19" s="3">
        <v>4</v>
      </c>
      <c r="E19">
        <f>'2stage Sheet'!E19</f>
        <v>0.91373533010482788</v>
      </c>
      <c r="F19">
        <f>'2stage Sheet'!F19</f>
        <v>0.48514851927757263</v>
      </c>
      <c r="G19">
        <f>'2stage Sheet'!G19</f>
        <v>0.49000000953674316</v>
      </c>
      <c r="H19">
        <f>'2stage Sheet'!H19</f>
        <v>0.48756217956542969</v>
      </c>
      <c r="I19">
        <f>'2stage Sheet'!I19</f>
        <v>0.90862900018692017</v>
      </c>
      <c r="J19" s="3">
        <f>'2stage Sheet'!J19</f>
        <v>0.5034375786781311</v>
      </c>
      <c r="K19">
        <f>'2stage Sheet'!K19</f>
        <v>0.90943682193756104</v>
      </c>
      <c r="L19">
        <f>'2stage Sheet'!L19</f>
        <v>0.46399998664855957</v>
      </c>
      <c r="M19">
        <f>'2stage Sheet'!M19</f>
        <v>0.52727270126342773</v>
      </c>
      <c r="N19">
        <f>'2stage Sheet'!N19</f>
        <v>0.49361702799797058</v>
      </c>
      <c r="O19">
        <f>'2stage Sheet'!O19</f>
        <v>0.87390512228012085</v>
      </c>
      <c r="P19" s="3">
        <f>'2stage Sheet'!P19</f>
        <v>0.4645867645740509</v>
      </c>
      <c r="U19" s="105"/>
      <c r="V19" s="105"/>
      <c r="W19" s="194" t="s">
        <v>4</v>
      </c>
      <c r="X19" s="194"/>
      <c r="Y19" s="194"/>
      <c r="Z19" s="15"/>
      <c r="AA19" s="194" t="s">
        <v>5</v>
      </c>
      <c r="AB19" s="194"/>
      <c r="AC19" s="194"/>
      <c r="AD19" s="15"/>
      <c r="AE19" s="194" t="s">
        <v>70</v>
      </c>
      <c r="AF19" s="194"/>
      <c r="AG19" s="194"/>
    </row>
    <row r="20" spans="1:33" ht="15.75" thickBot="1" x14ac:dyDescent="0.3">
      <c r="A20" s="205"/>
      <c r="B20" s="105"/>
      <c r="C20" s="105">
        <v>34</v>
      </c>
      <c r="D20" s="3">
        <v>1</v>
      </c>
      <c r="E20">
        <f>'2stage Sheet'!E20</f>
        <v>0.90451830625534058</v>
      </c>
      <c r="F20">
        <f>'2stage Sheet'!F20</f>
        <v>0.53773581981658936</v>
      </c>
      <c r="G20">
        <f>'2stage Sheet'!G20</f>
        <v>0.47499999403953552</v>
      </c>
      <c r="H20">
        <f>'2stage Sheet'!H20</f>
        <v>0.50442475080490112</v>
      </c>
      <c r="I20">
        <f>'2stage Sheet'!I20</f>
        <v>0.86302626132965088</v>
      </c>
      <c r="J20" s="3">
        <f>'2stage Sheet'!J20</f>
        <v>0.44907012581825256</v>
      </c>
      <c r="K20">
        <f>'2stage Sheet'!K20</f>
        <v>0.88432270288467407</v>
      </c>
      <c r="L20">
        <f>'2stage Sheet'!L20</f>
        <v>0.37037035822868347</v>
      </c>
      <c r="M20">
        <f>'2stage Sheet'!M20</f>
        <v>0.54545456171035767</v>
      </c>
      <c r="N20">
        <f>'2stage Sheet'!N20</f>
        <v>0.44117647409439087</v>
      </c>
      <c r="O20">
        <f>'2stage Sheet'!O20</f>
        <v>0.86991852521896362</v>
      </c>
      <c r="P20" s="3">
        <f>'2stage Sheet'!P20</f>
        <v>0.43479031324386597</v>
      </c>
      <c r="U20" s="105"/>
      <c r="V20" s="105"/>
    </row>
    <row r="21" spans="1:33" x14ac:dyDescent="0.25">
      <c r="A21" s="205"/>
      <c r="B21" s="105"/>
      <c r="C21" s="105"/>
      <c r="D21" s="3">
        <v>2</v>
      </c>
      <c r="E21">
        <f>'2stage Sheet'!E21</f>
        <v>0.88780486583709717</v>
      </c>
      <c r="F21">
        <f>'2stage Sheet'!F21</f>
        <v>0.42771083116531372</v>
      </c>
      <c r="G21">
        <f>'2stage Sheet'!G21</f>
        <v>0.62280702590942383</v>
      </c>
      <c r="H21">
        <f>'2stage Sheet'!H21</f>
        <v>0.50714284181594849</v>
      </c>
      <c r="I21">
        <f>'2stage Sheet'!I21</f>
        <v>0.8960731029510498</v>
      </c>
      <c r="J21" s="3">
        <f>'2stage Sheet'!J21</f>
        <v>0.53396803140640259</v>
      </c>
      <c r="K21">
        <f>'2stage Sheet'!K21</f>
        <v>0.88356167078018188</v>
      </c>
      <c r="L21">
        <f>'2stage Sheet'!L21</f>
        <v>0.371257483959198</v>
      </c>
      <c r="M21">
        <f>'2stage Sheet'!M21</f>
        <v>0.56363636255264282</v>
      </c>
      <c r="N21">
        <f>'2stage Sheet'!N21</f>
        <v>0.44765344262123108</v>
      </c>
      <c r="O21">
        <f>'2stage Sheet'!O21</f>
        <v>0.83617484569549561</v>
      </c>
      <c r="P21" s="3">
        <f>'2stage Sheet'!P21</f>
        <v>0.38414624333381653</v>
      </c>
      <c r="U21" s="105"/>
      <c r="V21" s="105"/>
      <c r="W21" s="17"/>
      <c r="X21" s="17" t="s">
        <v>116</v>
      </c>
      <c r="Y21" s="17" t="s">
        <v>117</v>
      </c>
      <c r="AA21" s="17"/>
      <c r="AB21" s="17" t="s">
        <v>116</v>
      </c>
      <c r="AC21" s="17" t="s">
        <v>117</v>
      </c>
      <c r="AE21" s="17"/>
      <c r="AF21" s="17" t="s">
        <v>116</v>
      </c>
      <c r="AG21" s="17" t="s">
        <v>117</v>
      </c>
    </row>
    <row r="22" spans="1:33" x14ac:dyDescent="0.25">
      <c r="A22" s="205"/>
      <c r="B22" s="105"/>
      <c r="C22" s="105"/>
      <c r="D22" s="3">
        <v>3</v>
      </c>
      <c r="E22">
        <f>'2stage Sheet'!E22</f>
        <v>0.91453671455383301</v>
      </c>
      <c r="F22">
        <f>'2stage Sheet'!F22</f>
        <v>0.52127659320831299</v>
      </c>
      <c r="G22">
        <f>'2stage Sheet'!G22</f>
        <v>0.44144144654273987</v>
      </c>
      <c r="H22">
        <f>'2stage Sheet'!H22</f>
        <v>0.47804877161979675</v>
      </c>
      <c r="I22">
        <f>'2stage Sheet'!I22</f>
        <v>0.8660886287689209</v>
      </c>
      <c r="J22" s="3">
        <f>'2stage Sheet'!J22</f>
        <v>0.4867158830165863</v>
      </c>
      <c r="K22">
        <f>'2stage Sheet'!K22</f>
        <v>0.89573818445205688</v>
      </c>
      <c r="L22">
        <f>'2stage Sheet'!L22</f>
        <v>0.3919999897480011</v>
      </c>
      <c r="M22">
        <f>'2stage Sheet'!M22</f>
        <v>0.44545453786849976</v>
      </c>
      <c r="N22">
        <f>'2stage Sheet'!N22</f>
        <v>0.41702127456665039</v>
      </c>
      <c r="O22">
        <f>'2stage Sheet'!O22</f>
        <v>0.83402305841445923</v>
      </c>
      <c r="P22" s="3">
        <f>'2stage Sheet'!P22</f>
        <v>0.39942216873168945</v>
      </c>
      <c r="U22" s="105"/>
      <c r="V22" s="105"/>
      <c r="W22" t="s">
        <v>75</v>
      </c>
      <c r="X22">
        <v>0.35535456240177127</v>
      </c>
      <c r="Y22">
        <v>0.33615592867136002</v>
      </c>
      <c r="AA22" t="s">
        <v>75</v>
      </c>
      <c r="AB22">
        <v>0.83020238578319505</v>
      </c>
      <c r="AC22">
        <v>0.8369431346654892</v>
      </c>
      <c r="AE22" t="s">
        <v>75</v>
      </c>
      <c r="AF22">
        <v>0.34199669212102851</v>
      </c>
      <c r="AG22">
        <v>0.30917622894048691</v>
      </c>
    </row>
    <row r="23" spans="1:33" x14ac:dyDescent="0.25">
      <c r="A23" s="205"/>
      <c r="B23" s="105"/>
      <c r="C23" s="105"/>
      <c r="D23" s="3">
        <v>4</v>
      </c>
      <c r="E23">
        <f>'2stage Sheet'!E23</f>
        <v>0.90703517198562622</v>
      </c>
      <c r="F23">
        <f>'2stage Sheet'!F23</f>
        <v>0.45217391848564148</v>
      </c>
      <c r="G23">
        <f>'2stage Sheet'!G23</f>
        <v>0.51999998092651367</v>
      </c>
      <c r="H23">
        <f>'2stage Sheet'!H23</f>
        <v>0.48372092843055725</v>
      </c>
      <c r="I23">
        <f>'2stage Sheet'!I23</f>
        <v>0.88782447576522827</v>
      </c>
      <c r="J23" s="3">
        <f>'2stage Sheet'!J23</f>
        <v>0.5037422776222229</v>
      </c>
      <c r="K23">
        <f>'2stage Sheet'!K23</f>
        <v>0.88203954696655273</v>
      </c>
      <c r="L23">
        <f>'2stage Sheet'!L23</f>
        <v>0.35668790340423584</v>
      </c>
      <c r="M23">
        <f>'2stage Sheet'!M23</f>
        <v>0.50909090042114258</v>
      </c>
      <c r="N23">
        <f>'2stage Sheet'!N23</f>
        <v>0.41947564482688904</v>
      </c>
      <c r="O23">
        <f>'2stage Sheet'!O23</f>
        <v>0.85207641124725342</v>
      </c>
      <c r="P23" s="3">
        <f>'2stage Sheet'!P23</f>
        <v>0.42061442136764526</v>
      </c>
      <c r="U23" s="105"/>
      <c r="V23" s="105"/>
      <c r="W23" t="s">
        <v>76</v>
      </c>
      <c r="X23">
        <v>3.166244909800183E-3</v>
      </c>
      <c r="Y23">
        <v>2.8524399382687062E-3</v>
      </c>
      <c r="AA23" t="s">
        <v>76</v>
      </c>
      <c r="AB23">
        <v>2.6354589902499677E-4</v>
      </c>
      <c r="AC23">
        <v>1.7082940962550214E-5</v>
      </c>
      <c r="AE23" t="s">
        <v>76</v>
      </c>
      <c r="AF23">
        <v>6.4515353423962951E-4</v>
      </c>
      <c r="AG23">
        <v>8.5515086745583757E-4</v>
      </c>
    </row>
    <row r="24" spans="1:33" x14ac:dyDescent="0.25">
      <c r="A24" s="205"/>
      <c r="B24" s="105"/>
      <c r="C24" s="105">
        <v>50</v>
      </c>
      <c r="D24" s="3">
        <v>1</v>
      </c>
      <c r="E24">
        <f>'2stage Sheet'!E24</f>
        <v>0.85933506488800049</v>
      </c>
      <c r="F24">
        <f>'2stage Sheet'!F24</f>
        <v>0.38693466782569885</v>
      </c>
      <c r="G24">
        <f>'2stage Sheet'!G24</f>
        <v>0.64166665077209473</v>
      </c>
      <c r="H24">
        <f>'2stage Sheet'!H24</f>
        <v>0.48275861144065857</v>
      </c>
      <c r="I24">
        <f>'2stage Sheet'!I24</f>
        <v>0.85998737812042236</v>
      </c>
      <c r="J24" s="3">
        <f>'2stage Sheet'!J24</f>
        <v>0.45638599991798401</v>
      </c>
      <c r="K24">
        <f>'2stage Sheet'!K24</f>
        <v>0.8614916205406189</v>
      </c>
      <c r="L24">
        <f>'2stage Sheet'!L24</f>
        <v>0.32857143878936768</v>
      </c>
      <c r="M24">
        <f>'2stage Sheet'!M24</f>
        <v>0.62727272510528564</v>
      </c>
      <c r="N24">
        <f>'2stage Sheet'!N24</f>
        <v>0.43125000596046448</v>
      </c>
      <c r="O24">
        <f>'2stage Sheet'!O24</f>
        <v>0.84783291816711426</v>
      </c>
      <c r="P24" s="3">
        <f>'2stage Sheet'!P24</f>
        <v>0.40785783529281616</v>
      </c>
      <c r="U24" s="105"/>
      <c r="V24" s="105"/>
      <c r="W24" t="s">
        <v>77</v>
      </c>
      <c r="X24">
        <v>4</v>
      </c>
      <c r="Y24">
        <v>4</v>
      </c>
      <c r="AA24" t="s">
        <v>77</v>
      </c>
      <c r="AB24">
        <v>4</v>
      </c>
      <c r="AC24">
        <v>4</v>
      </c>
      <c r="AE24" t="s">
        <v>77</v>
      </c>
      <c r="AF24">
        <v>4</v>
      </c>
      <c r="AG24">
        <v>4</v>
      </c>
    </row>
    <row r="25" spans="1:33" x14ac:dyDescent="0.25">
      <c r="A25" s="205"/>
      <c r="B25" s="105"/>
      <c r="C25" s="105"/>
      <c r="D25" s="3">
        <v>2</v>
      </c>
      <c r="E25">
        <f>'2stage Sheet'!E25</f>
        <v>0.89024388790130615</v>
      </c>
      <c r="F25">
        <f>'2stage Sheet'!F25</f>
        <v>0.44134077429771423</v>
      </c>
      <c r="G25">
        <f>'2stage Sheet'!G25</f>
        <v>0.69298243522644043</v>
      </c>
      <c r="H25">
        <f>'2stage Sheet'!H25</f>
        <v>0.53924912214279175</v>
      </c>
      <c r="I25">
        <f>'2stage Sheet'!I25</f>
        <v>0.90959250926971436</v>
      </c>
      <c r="J25" s="3">
        <f>'2stage Sheet'!J25</f>
        <v>0.59181779623031616</v>
      </c>
      <c r="K25">
        <f>'2stage Sheet'!K25</f>
        <v>0.86986303329467773</v>
      </c>
      <c r="L25">
        <f>'2stage Sheet'!L25</f>
        <v>0.34825870394706726</v>
      </c>
      <c r="M25">
        <f>'2stage Sheet'!M25</f>
        <v>0.63636362552642822</v>
      </c>
      <c r="N25">
        <f>'2stage Sheet'!N25</f>
        <v>0.45016077160835266</v>
      </c>
      <c r="O25">
        <f>'2stage Sheet'!O25</f>
        <v>0.87742376327514648</v>
      </c>
      <c r="P25" s="3">
        <f>'2stage Sheet'!P25</f>
        <v>0.46001112461090088</v>
      </c>
      <c r="U25" s="105"/>
      <c r="V25" s="105"/>
      <c r="W25" t="s">
        <v>78</v>
      </c>
      <c r="X25">
        <v>-0.39098468193129926</v>
      </c>
      <c r="AA25" t="s">
        <v>78</v>
      </c>
      <c r="AB25">
        <v>-8.1097792300086333E-2</v>
      </c>
      <c r="AE25" t="s">
        <v>78</v>
      </c>
      <c r="AF25">
        <v>-0.68465772668621894</v>
      </c>
    </row>
    <row r="26" spans="1:33" x14ac:dyDescent="0.25">
      <c r="A26" s="205"/>
      <c r="B26" s="105"/>
      <c r="C26" s="105"/>
      <c r="D26" s="3">
        <v>3</v>
      </c>
      <c r="E26">
        <f>'2stage Sheet'!E26</f>
        <v>0.91693288087844849</v>
      </c>
      <c r="F26">
        <f>'2stage Sheet'!F26</f>
        <v>0.54117649793624878</v>
      </c>
      <c r="G26">
        <f>'2stage Sheet'!G26</f>
        <v>0.41441440582275391</v>
      </c>
      <c r="H26">
        <f>'2stage Sheet'!H26</f>
        <v>0.46938776969909668</v>
      </c>
      <c r="I26">
        <f>'2stage Sheet'!I26</f>
        <v>0.8744819164276123</v>
      </c>
      <c r="J26" s="3">
        <f>'2stage Sheet'!J26</f>
        <v>0.43241029977798462</v>
      </c>
      <c r="K26">
        <f>'2stage Sheet'!K26</f>
        <v>0.90334856510162354</v>
      </c>
      <c r="L26">
        <f>'2stage Sheet'!L26</f>
        <v>0.41584157943725586</v>
      </c>
      <c r="M26">
        <f>'2stage Sheet'!M26</f>
        <v>0.38181817531585693</v>
      </c>
      <c r="N26">
        <f>'2stage Sheet'!N26</f>
        <v>0.39810428023338318</v>
      </c>
      <c r="O26">
        <f>'2stage Sheet'!O26</f>
        <v>0.86158257722854614</v>
      </c>
      <c r="P26" s="3">
        <f>'2stage Sheet'!P26</f>
        <v>0.40750414133071899</v>
      </c>
      <c r="U26" s="105"/>
      <c r="V26" s="105"/>
      <c r="W26" t="s">
        <v>79</v>
      </c>
      <c r="X26">
        <v>0</v>
      </c>
      <c r="AA26" t="s">
        <v>79</v>
      </c>
      <c r="AB26">
        <v>0</v>
      </c>
      <c r="AE26" t="s">
        <v>79</v>
      </c>
      <c r="AF26">
        <v>0</v>
      </c>
    </row>
    <row r="27" spans="1:33" x14ac:dyDescent="0.25">
      <c r="A27" s="206"/>
      <c r="B27" s="107"/>
      <c r="C27" s="107"/>
      <c r="D27" s="8">
        <v>4</v>
      </c>
      <c r="E27" s="7">
        <f>'2stage Sheet'!E27</f>
        <v>0.87855947017669678</v>
      </c>
      <c r="F27" s="7">
        <f>'2stage Sheet'!F27</f>
        <v>0.3668639063835144</v>
      </c>
      <c r="G27" s="7">
        <f>'2stage Sheet'!G27</f>
        <v>0.62000000476837158</v>
      </c>
      <c r="H27" s="7">
        <f>'2stage Sheet'!H27</f>
        <v>0.460966557264328</v>
      </c>
      <c r="I27" s="7">
        <f>'2stage Sheet'!I27</f>
        <v>0.8863985538482666</v>
      </c>
      <c r="J27" s="8">
        <f>'2stage Sheet'!J27</f>
        <v>0.50386369228363037</v>
      </c>
      <c r="K27" s="7">
        <f>'2stage Sheet'!K27</f>
        <v>0.86225265264511108</v>
      </c>
      <c r="L27" s="7">
        <f>'2stage Sheet'!L27</f>
        <v>0.34222221374511719</v>
      </c>
      <c r="M27" s="7">
        <f>'2stage Sheet'!M27</f>
        <v>0.69999998807907104</v>
      </c>
      <c r="N27" s="7">
        <f>'2stage Sheet'!N27</f>
        <v>0.45970147848129272</v>
      </c>
      <c r="O27" s="7">
        <f>'2stage Sheet'!O27</f>
        <v>0.87160223722457886</v>
      </c>
      <c r="P27" s="8">
        <f>'2stage Sheet'!P27</f>
        <v>0.47835493087768555</v>
      </c>
      <c r="U27" s="105"/>
      <c r="V27" s="105"/>
      <c r="W27" t="s">
        <v>80</v>
      </c>
      <c r="X27">
        <v>3</v>
      </c>
      <c r="AA27" t="s">
        <v>80</v>
      </c>
      <c r="AB27">
        <v>3</v>
      </c>
      <c r="AE27" t="s">
        <v>80</v>
      </c>
      <c r="AF27">
        <v>3</v>
      </c>
    </row>
    <row r="28" spans="1:33" x14ac:dyDescent="0.25">
      <c r="A28" s="204" t="s">
        <v>115</v>
      </c>
      <c r="B28" s="103" t="s">
        <v>27</v>
      </c>
      <c r="C28" s="103"/>
      <c r="D28" s="10">
        <v>1</v>
      </c>
      <c r="E28" s="9">
        <f>'2stage Sheet'!E28</f>
        <v>0.89343565702438354</v>
      </c>
      <c r="F28" s="9">
        <f>'2stage Sheet'!F28</f>
        <v>0.47474747896194458</v>
      </c>
      <c r="G28" s="9">
        <f>'2stage Sheet'!G28</f>
        <v>0.39166668057441711</v>
      </c>
      <c r="H28" s="9">
        <f>'2stage Sheet'!H28</f>
        <v>0.42922374606132507</v>
      </c>
      <c r="I28" s="9">
        <f>'2stage Sheet'!I28</f>
        <v>0.83475786447525024</v>
      </c>
      <c r="J28" s="10">
        <f>'2stage Sheet'!J28</f>
        <v>0.40157926082611084</v>
      </c>
      <c r="K28" s="9">
        <f>'2stage Sheet'!K28</f>
        <v>0.89193302392959595</v>
      </c>
      <c r="L28" s="9">
        <f>'2stage Sheet'!L28</f>
        <v>0.36885246634483337</v>
      </c>
      <c r="M28" s="9">
        <f>'2stage Sheet'!M28</f>
        <v>0.40909090638160706</v>
      </c>
      <c r="N28" s="9">
        <f>'2stage Sheet'!N28</f>
        <v>0.38793104887008667</v>
      </c>
      <c r="O28" s="9">
        <f>'2stage Sheet'!O28</f>
        <v>0.82057535648345947</v>
      </c>
      <c r="P28" s="10">
        <f>'2stage Sheet'!P28</f>
        <v>0.38543951511383057</v>
      </c>
      <c r="U28" s="105"/>
      <c r="V28" s="105"/>
      <c r="W28" t="s">
        <v>81</v>
      </c>
      <c r="X28">
        <v>0.41973132058457785</v>
      </c>
      <c r="AA28" t="s">
        <v>81</v>
      </c>
      <c r="AB28">
        <v>-0.78960528683636266</v>
      </c>
      <c r="AE28" t="s">
        <v>81</v>
      </c>
      <c r="AF28">
        <v>1.3082768880019964</v>
      </c>
    </row>
    <row r="29" spans="1:33" x14ac:dyDescent="0.25">
      <c r="A29" s="205"/>
      <c r="B29" s="105"/>
      <c r="C29" s="105"/>
      <c r="D29" s="3">
        <v>2</v>
      </c>
      <c r="E29">
        <f>'2stage Sheet'!E29</f>
        <v>0.90406501293182373</v>
      </c>
      <c r="F29">
        <f>'2stage Sheet'!F29</f>
        <v>0.48245614767074585</v>
      </c>
      <c r="G29">
        <f>'2stage Sheet'!G29</f>
        <v>0.48245614767074585</v>
      </c>
      <c r="H29">
        <f>'2stage Sheet'!H29</f>
        <v>0.48245614767074585</v>
      </c>
      <c r="I29">
        <f>'2stage Sheet'!I29</f>
        <v>0.8917577862739563</v>
      </c>
      <c r="J29" s="3">
        <f>'2stage Sheet'!J29</f>
        <v>0.48384791612625122</v>
      </c>
      <c r="K29">
        <f>'2stage Sheet'!K29</f>
        <v>0.88356167078018188</v>
      </c>
      <c r="L29">
        <f>'2stage Sheet'!L29</f>
        <v>0.33587786555290222</v>
      </c>
      <c r="M29">
        <f>'2stage Sheet'!M29</f>
        <v>0.40000000596046448</v>
      </c>
      <c r="N29">
        <f>'2stage Sheet'!N29</f>
        <v>0.3651452362537384</v>
      </c>
      <c r="O29">
        <f>'2stage Sheet'!O29</f>
        <v>0.82056021690368652</v>
      </c>
      <c r="P29" s="3">
        <f>'2stage Sheet'!P29</f>
        <v>0.34231603145599365</v>
      </c>
      <c r="U29" s="105"/>
      <c r="V29" s="105"/>
      <c r="W29" t="s">
        <v>82</v>
      </c>
      <c r="X29">
        <v>0.35146411618201584</v>
      </c>
      <c r="AA29" t="s">
        <v>82</v>
      </c>
      <c r="AB29">
        <v>0.24370654164843017</v>
      </c>
      <c r="AE29" t="s">
        <v>82</v>
      </c>
      <c r="AF29">
        <v>0.14099469816336105</v>
      </c>
    </row>
    <row r="30" spans="1:33" x14ac:dyDescent="0.25">
      <c r="A30" s="205"/>
      <c r="B30" s="105"/>
      <c r="C30" s="105"/>
      <c r="D30" s="3">
        <v>3</v>
      </c>
      <c r="E30">
        <f>'2stage Sheet'!E30</f>
        <v>0.88817888498306274</v>
      </c>
      <c r="F30">
        <f>'2stage Sheet'!F30</f>
        <v>0.38582676649093628</v>
      </c>
      <c r="G30">
        <f>'2stage Sheet'!G30</f>
        <v>0.44144144654273987</v>
      </c>
      <c r="H30">
        <f>'2stage Sheet'!H30</f>
        <v>0.4117647111415863</v>
      </c>
      <c r="I30">
        <f>'2stage Sheet'!I30</f>
        <v>0.83987492322921753</v>
      </c>
      <c r="J30" s="3">
        <f>'2stage Sheet'!J30</f>
        <v>0.41325199604034424</v>
      </c>
      <c r="K30">
        <f>'2stage Sheet'!K30</f>
        <v>0.87747335433959961</v>
      </c>
      <c r="L30">
        <f>'2stage Sheet'!L30</f>
        <v>0.33962264657020569</v>
      </c>
      <c r="M30">
        <f>'2stage Sheet'!M30</f>
        <v>0.49090909957885742</v>
      </c>
      <c r="N30">
        <f>'2stage Sheet'!N30</f>
        <v>0.40148699283599854</v>
      </c>
      <c r="O30">
        <f>'2stage Sheet'!O30</f>
        <v>0.81970709562301636</v>
      </c>
      <c r="P30" s="3">
        <f>'2stage Sheet'!P30</f>
        <v>0.36401847004890442</v>
      </c>
      <c r="U30" s="105"/>
      <c r="V30" s="105"/>
      <c r="W30" t="s">
        <v>83</v>
      </c>
      <c r="X30">
        <v>2.3533634348018233</v>
      </c>
      <c r="AA30" t="s">
        <v>83</v>
      </c>
      <c r="AB30">
        <v>2.3533634348018233</v>
      </c>
      <c r="AE30" t="s">
        <v>83</v>
      </c>
      <c r="AF30">
        <v>2.3533634348018233</v>
      </c>
    </row>
    <row r="31" spans="1:33" x14ac:dyDescent="0.25">
      <c r="A31" s="206"/>
      <c r="B31" s="107"/>
      <c r="C31" s="107"/>
      <c r="D31" s="8">
        <v>4</v>
      </c>
      <c r="E31" s="7">
        <f>'2stage Sheet'!E31</f>
        <v>0.87018424272537231</v>
      </c>
      <c r="F31" s="7">
        <f>'2stage Sheet'!F31</f>
        <v>0.35602095723152161</v>
      </c>
      <c r="G31" s="7">
        <f>'2stage Sheet'!G31</f>
        <v>0.68000000715255737</v>
      </c>
      <c r="H31" s="7">
        <f>'2stage Sheet'!H31</f>
        <v>0.4673539400100708</v>
      </c>
      <c r="I31" s="7">
        <f>'2stage Sheet'!I31</f>
        <v>0.86933279037475586</v>
      </c>
      <c r="J31" s="8">
        <f>'2stage Sheet'!J31</f>
        <v>0.41838085651397705</v>
      </c>
      <c r="K31" s="7">
        <f>'2stage Sheet'!K31</f>
        <v>0.83713853359222412</v>
      </c>
      <c r="L31" s="7">
        <f>'2stage Sheet'!L31</f>
        <v>0.2699114978313446</v>
      </c>
      <c r="M31" s="7">
        <f>'2stage Sheet'!M31</f>
        <v>0.55454546213150024</v>
      </c>
      <c r="N31" s="7">
        <f>'2stage Sheet'!N31</f>
        <v>0.36309522390365601</v>
      </c>
      <c r="O31" s="7">
        <f>'2stage Sheet'!O31</f>
        <v>0.82864689826965332</v>
      </c>
      <c r="P31" s="8">
        <f>'2stage Sheet'!P31</f>
        <v>0.34560629725456238</v>
      </c>
      <c r="U31" s="105"/>
      <c r="V31" s="105"/>
      <c r="W31" t="s">
        <v>84</v>
      </c>
      <c r="X31">
        <v>0.70292823236403168</v>
      </c>
      <c r="AA31" t="s">
        <v>84</v>
      </c>
      <c r="AB31">
        <v>0.48741308329686034</v>
      </c>
      <c r="AE31" t="s">
        <v>84</v>
      </c>
      <c r="AF31">
        <v>0.2819893963267221</v>
      </c>
    </row>
    <row r="32" spans="1:33" ht="15.75" thickBot="1" x14ac:dyDescent="0.3">
      <c r="A32" s="103" t="s">
        <v>20</v>
      </c>
      <c r="B32" s="103" t="s">
        <v>18</v>
      </c>
      <c r="C32" s="103">
        <v>18</v>
      </c>
      <c r="D32" s="10">
        <v>1</v>
      </c>
      <c r="E32" s="9">
        <f>Subsheet!F16</f>
        <v>0.863597631454467</v>
      </c>
      <c r="F32" s="9">
        <f>Subsheet!G16</f>
        <v>0.379518061876297</v>
      </c>
      <c r="G32" s="9">
        <f>Subsheet!H16</f>
        <v>0.52499997615814198</v>
      </c>
      <c r="H32" s="9">
        <f>Subsheet!I16</f>
        <v>0.44055944681167603</v>
      </c>
      <c r="I32" s="9">
        <f>Subsheet!J16</f>
        <v>0.82682806253433205</v>
      </c>
      <c r="J32" s="10">
        <f>Subsheet!K16</f>
        <v>0.373557448387146</v>
      </c>
      <c r="K32" s="9">
        <f>Subsheet!L16</f>
        <v>0.86225265264511097</v>
      </c>
      <c r="L32" s="9">
        <f>Subsheet!M16</f>
        <v>0.31216931343078602</v>
      </c>
      <c r="M32" s="9">
        <f>Subsheet!N16</f>
        <v>0.53636366128921498</v>
      </c>
      <c r="N32" s="9">
        <f>Subsheet!O16</f>
        <v>0.39464882016181901</v>
      </c>
      <c r="O32" s="9">
        <f>Subsheet!P16</f>
        <v>0.81551653146743697</v>
      </c>
      <c r="P32" s="10">
        <f>Subsheet!Q16</f>
        <v>0.35379672050476002</v>
      </c>
      <c r="U32" s="105"/>
      <c r="V32" s="105"/>
      <c r="W32" s="16" t="s">
        <v>85</v>
      </c>
      <c r="X32" s="16">
        <v>3.1824463052837091</v>
      </c>
      <c r="Y32" s="16"/>
      <c r="AA32" s="16" t="s">
        <v>85</v>
      </c>
      <c r="AB32" s="16">
        <v>3.1824463052837091</v>
      </c>
      <c r="AC32" s="16"/>
      <c r="AE32" s="16" t="s">
        <v>85</v>
      </c>
      <c r="AF32" s="16">
        <v>3.1824463052837091</v>
      </c>
      <c r="AG32" s="16"/>
    </row>
    <row r="33" spans="1:33" x14ac:dyDescent="0.25">
      <c r="A33" s="105"/>
      <c r="B33" s="105"/>
      <c r="C33" s="105"/>
      <c r="D33" s="3">
        <v>2</v>
      </c>
      <c r="E33">
        <f>Subsheet!F17</f>
        <v>0.92113822698593095</v>
      </c>
      <c r="F33">
        <f>Subsheet!G17</f>
        <v>0.623188376426696</v>
      </c>
      <c r="G33">
        <f>Subsheet!H17</f>
        <v>0.37719297409057601</v>
      </c>
      <c r="H33">
        <f>Subsheet!I17</f>
        <v>0.46994534134864802</v>
      </c>
      <c r="I33">
        <f>Subsheet!J17</f>
        <v>0.88385057449340798</v>
      </c>
      <c r="J33" s="3">
        <f>Subsheet!K17</f>
        <v>0.532526135444641</v>
      </c>
      <c r="K33">
        <f>Subsheet!L17</f>
        <v>0.91095888614654497</v>
      </c>
      <c r="L33">
        <f>Subsheet!M17</f>
        <v>0.43137255311012201</v>
      </c>
      <c r="M33">
        <f>Subsheet!N17</f>
        <v>0.20000000298023199</v>
      </c>
      <c r="N33">
        <f>Subsheet!O17</f>
        <v>0.273291915655136</v>
      </c>
      <c r="O33">
        <f>Subsheet!P17</f>
        <v>0.82139086723327603</v>
      </c>
      <c r="P33" s="3">
        <f>Subsheet!Q17</f>
        <v>0.32400599122047402</v>
      </c>
      <c r="U33" s="105"/>
      <c r="V33" s="105"/>
      <c r="W33" t="str">
        <f>IF(Y22 &gt; X22, "LPFT &gt; FT", "LPFT &lt; FT")</f>
        <v>LPFT &lt; FT</v>
      </c>
      <c r="X33" s="171" t="str">
        <f>IF(X29 &lt; 0.05, "Significant", "Not Significant")</f>
        <v>Not Significant</v>
      </c>
      <c r="Y33" s="171"/>
      <c r="AA33" t="str">
        <f>IF(AC22 &gt; AB22, "LPFT &gt; FT", "LPFT &lt; FT")</f>
        <v>LPFT &gt; FT</v>
      </c>
      <c r="AB33" s="171" t="str">
        <f>IF(AB29 &lt; 0.05, "Significant", "Not Significant")</f>
        <v>Not Significant</v>
      </c>
      <c r="AC33" s="171"/>
      <c r="AE33" t="str">
        <f>IF(AG22 &gt; AF22, "LPFT &gt; FT", "LPFT &lt; FT")</f>
        <v>LPFT &lt; FT</v>
      </c>
      <c r="AF33" s="171" t="str">
        <f>IF(AF29 &lt; 0.05, "Significant", "Not Significant")</f>
        <v>Not Significant</v>
      </c>
      <c r="AG33" s="171"/>
    </row>
    <row r="34" spans="1:33" x14ac:dyDescent="0.25">
      <c r="A34" s="105"/>
      <c r="B34" s="105"/>
      <c r="C34" s="105"/>
      <c r="D34" s="3">
        <v>3</v>
      </c>
      <c r="E34">
        <f>Subsheet!F18</f>
        <v>0.90575081110000599</v>
      </c>
      <c r="F34">
        <f>Subsheet!G18</f>
        <v>0.47008547186851501</v>
      </c>
      <c r="G34">
        <f>Subsheet!H18</f>
        <v>0.49549549818038902</v>
      </c>
      <c r="H34">
        <f>Subsheet!I18</f>
        <v>0.48245614767074502</v>
      </c>
      <c r="I34">
        <f>Subsheet!J18</f>
        <v>0.87084978818893399</v>
      </c>
      <c r="J34" s="3">
        <f>Subsheet!K18</f>
        <v>0.44323885440826399</v>
      </c>
      <c r="K34">
        <f>Subsheet!L18</f>
        <v>0.88051748275756803</v>
      </c>
      <c r="L34">
        <f>Subsheet!M18</f>
        <v>0.32846716046333302</v>
      </c>
      <c r="M34">
        <f>Subsheet!N18</f>
        <v>0.409090906381607</v>
      </c>
      <c r="N34">
        <f>Subsheet!O18</f>
        <v>0.36437246203422502</v>
      </c>
      <c r="O34">
        <f>Subsheet!P18</f>
        <v>0.83143305778503396</v>
      </c>
      <c r="P34" s="3">
        <f>Subsheet!Q18</f>
        <v>0.318134725093841</v>
      </c>
      <c r="U34" s="105"/>
      <c r="V34" s="105"/>
      <c r="W34">
        <f>X29</f>
        <v>0.35146411618201584</v>
      </c>
      <c r="X34" s="194"/>
      <c r="Y34" s="194"/>
      <c r="AA34">
        <f>AB29</f>
        <v>0.24370654164843017</v>
      </c>
      <c r="AB34" s="194"/>
      <c r="AC34" s="194"/>
      <c r="AE34">
        <f>AF29</f>
        <v>0.14099469816336105</v>
      </c>
      <c r="AF34" s="194"/>
      <c r="AG34" s="194"/>
    </row>
    <row r="35" spans="1:33" x14ac:dyDescent="0.25">
      <c r="A35" s="105"/>
      <c r="B35" s="105"/>
      <c r="C35" s="105"/>
      <c r="D35" s="3">
        <v>4</v>
      </c>
      <c r="E35">
        <f>Subsheet!F19</f>
        <v>0.89865994453430098</v>
      </c>
      <c r="F35">
        <f>Subsheet!G19</f>
        <v>0.42222222685813898</v>
      </c>
      <c r="G35">
        <f>Subsheet!H19</f>
        <v>0.56999999284744196</v>
      </c>
      <c r="H35">
        <f>Subsheet!I19</f>
        <v>0.48510637879371599</v>
      </c>
      <c r="I35">
        <f>Subsheet!J19</f>
        <v>0.87267822027206399</v>
      </c>
      <c r="J35" s="3">
        <f>Subsheet!K19</f>
        <v>0.54256165027618397</v>
      </c>
      <c r="K35">
        <f>Subsheet!L19</f>
        <v>0.88051748275756803</v>
      </c>
      <c r="L35">
        <f>Subsheet!M19</f>
        <v>0.34013605117797802</v>
      </c>
      <c r="M35">
        <f>Subsheet!N19</f>
        <v>0.454545468091964</v>
      </c>
      <c r="N35">
        <f>Subsheet!O19</f>
        <v>0.38910505175590498</v>
      </c>
      <c r="O35">
        <f>Subsheet!P19</f>
        <v>0.85246908664703303</v>
      </c>
      <c r="P35" s="3">
        <f>Subsheet!Q19</f>
        <v>0.37204933166503901</v>
      </c>
      <c r="U35" s="105"/>
      <c r="V35" s="105">
        <v>34</v>
      </c>
      <c r="W35" s="195" t="s">
        <v>13</v>
      </c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</row>
    <row r="36" spans="1:33" x14ac:dyDescent="0.25">
      <c r="A36" s="105"/>
      <c r="B36" s="105"/>
      <c r="C36" s="105">
        <v>34</v>
      </c>
      <c r="D36" s="3">
        <v>1</v>
      </c>
      <c r="E36">
        <f>Subsheet!F20</f>
        <v>0.89855074882507302</v>
      </c>
      <c r="F36">
        <f>Subsheet!G20</f>
        <v>0.50847458839416504</v>
      </c>
      <c r="G36">
        <f>Subsheet!H20</f>
        <v>0.25</v>
      </c>
      <c r="H36">
        <f>Subsheet!I20</f>
        <v>0.33519554138183499</v>
      </c>
      <c r="I36">
        <f>Subsheet!J20</f>
        <v>0.84637540578842096</v>
      </c>
      <c r="J36" s="3">
        <f>Subsheet!K20</f>
        <v>0.42002362012863098</v>
      </c>
      <c r="K36">
        <f>Subsheet!L20</f>
        <v>0.91400301456451405</v>
      </c>
      <c r="L36">
        <f>Subsheet!M20</f>
        <v>0.47761192917823703</v>
      </c>
      <c r="M36">
        <f>Subsheet!N20</f>
        <v>0.29090908169746399</v>
      </c>
      <c r="N36">
        <f>Subsheet!O20</f>
        <v>0.361581921577453</v>
      </c>
      <c r="O36">
        <f>Subsheet!P20</f>
        <v>0.83520078659057595</v>
      </c>
      <c r="P36" s="3">
        <f>Subsheet!Q20</f>
        <v>0.38183352351188599</v>
      </c>
      <c r="U36" s="105"/>
      <c r="V36" s="105"/>
      <c r="W36" s="194" t="s">
        <v>4</v>
      </c>
      <c r="X36" s="194"/>
      <c r="Y36" s="194"/>
      <c r="Z36" s="15"/>
      <c r="AA36" s="194" t="s">
        <v>5</v>
      </c>
      <c r="AB36" s="194"/>
      <c r="AC36" s="194"/>
      <c r="AD36" s="15"/>
      <c r="AE36" s="194" t="s">
        <v>70</v>
      </c>
      <c r="AF36" s="194"/>
      <c r="AG36" s="194"/>
    </row>
    <row r="37" spans="1:33" ht="15.75" thickBot="1" x14ac:dyDescent="0.3">
      <c r="A37" s="105"/>
      <c r="B37" s="105"/>
      <c r="C37" s="105"/>
      <c r="D37" s="3">
        <v>2</v>
      </c>
      <c r="E37">
        <f>Subsheet!F21</f>
        <v>0.90569102764129605</v>
      </c>
      <c r="F37">
        <f>Subsheet!G21</f>
        <v>0.483333319425582</v>
      </c>
      <c r="G37">
        <f>Subsheet!H21</f>
        <v>0.25438597798347401</v>
      </c>
      <c r="H37">
        <f>Subsheet!I21</f>
        <v>0.33333334326744002</v>
      </c>
      <c r="I37">
        <f>Subsheet!J21</f>
        <v>0.89451676607131902</v>
      </c>
      <c r="J37" s="3">
        <f>Subsheet!K21</f>
        <v>0.48057109117507901</v>
      </c>
      <c r="K37">
        <f>Subsheet!L21</f>
        <v>0.90639269351959195</v>
      </c>
      <c r="L37">
        <f>Subsheet!M21</f>
        <v>0.36170211434364302</v>
      </c>
      <c r="M37">
        <f>Subsheet!N21</f>
        <v>0.15454545617103499</v>
      </c>
      <c r="N37">
        <f>Subsheet!O21</f>
        <v>0.21656051278114299</v>
      </c>
      <c r="O37">
        <f>Subsheet!P21</f>
        <v>0.82518118619918801</v>
      </c>
      <c r="P37" s="3">
        <f>Subsheet!Q21</f>
        <v>0.26359781622886602</v>
      </c>
      <c r="U37" s="105"/>
      <c r="V37" s="105"/>
    </row>
    <row r="38" spans="1:33" x14ac:dyDescent="0.25">
      <c r="A38" s="105"/>
      <c r="B38" s="105"/>
      <c r="C38" s="105"/>
      <c r="D38" s="3">
        <v>3</v>
      </c>
      <c r="E38">
        <f>Subsheet!F22</f>
        <v>0.87300318479537897</v>
      </c>
      <c r="F38">
        <f>Subsheet!G22</f>
        <v>0.34210526943206698</v>
      </c>
      <c r="G38">
        <f>Subsheet!H22</f>
        <v>0.468468457460403</v>
      </c>
      <c r="H38">
        <f>Subsheet!I22</f>
        <v>0.39543727040290799</v>
      </c>
      <c r="I38">
        <f>Subsheet!J22</f>
        <v>0.84839439392089799</v>
      </c>
      <c r="J38" s="3">
        <f>Subsheet!K22</f>
        <v>0.35826829075813199</v>
      </c>
      <c r="K38">
        <f>Subsheet!L22</f>
        <v>0.88051748275756803</v>
      </c>
      <c r="L38">
        <f>Subsheet!M22</f>
        <v>0.360946744680404</v>
      </c>
      <c r="M38">
        <f>Subsheet!N22</f>
        <v>0.55454546213150002</v>
      </c>
      <c r="N38">
        <f>Subsheet!O22</f>
        <v>0.43727597594261097</v>
      </c>
      <c r="O38">
        <f>Subsheet!P22</f>
        <v>0.86955595016479403</v>
      </c>
      <c r="P38" s="3">
        <f>Subsheet!Q22</f>
        <v>0.38694450259208601</v>
      </c>
      <c r="U38" s="105"/>
      <c r="V38" s="105"/>
      <c r="W38" s="17"/>
      <c r="X38" s="17" t="s">
        <v>116</v>
      </c>
      <c r="Y38" s="17" t="s">
        <v>117</v>
      </c>
      <c r="AA38" s="17"/>
      <c r="AB38" s="17" t="s">
        <v>116</v>
      </c>
      <c r="AC38" s="17" t="s">
        <v>117</v>
      </c>
      <c r="AE38" s="17"/>
      <c r="AF38" s="17" t="s">
        <v>116</v>
      </c>
      <c r="AG38" s="17" t="s">
        <v>117</v>
      </c>
    </row>
    <row r="39" spans="1:33" x14ac:dyDescent="0.25">
      <c r="A39" s="105"/>
      <c r="B39" s="105"/>
      <c r="C39" s="105"/>
      <c r="D39" s="3">
        <v>4</v>
      </c>
      <c r="E39">
        <f>Subsheet!F23</f>
        <v>0.92797321081161499</v>
      </c>
      <c r="F39">
        <f>Subsheet!G23</f>
        <v>0.66666668653488104</v>
      </c>
      <c r="G39">
        <f>Subsheet!H23</f>
        <v>0.28000000119209201</v>
      </c>
      <c r="H39">
        <f>Subsheet!I23</f>
        <v>0.394366204738616</v>
      </c>
      <c r="I39">
        <f>Subsheet!J23</f>
        <v>0.86474406719207697</v>
      </c>
      <c r="J39" s="3">
        <f>Subsheet!K23</f>
        <v>0.52845835685729903</v>
      </c>
      <c r="K39">
        <f>Subsheet!L23</f>
        <v>0.91780823469161898</v>
      </c>
      <c r="L39">
        <f>Subsheet!M23</f>
        <v>0.54166668653488104</v>
      </c>
      <c r="M39">
        <f>Subsheet!N23</f>
        <v>0.118181817233562</v>
      </c>
      <c r="N39">
        <f>Subsheet!O23</f>
        <v>0.19402985274791701</v>
      </c>
      <c r="O39">
        <f>Subsheet!P23</f>
        <v>0.85674268007278398</v>
      </c>
      <c r="P39" s="3">
        <f>Subsheet!Q23</f>
        <v>0.37238350510597201</v>
      </c>
      <c r="U39" s="105"/>
      <c r="V39" s="105"/>
      <c r="W39" t="s">
        <v>75</v>
      </c>
      <c r="X39">
        <v>0.36458308994769972</v>
      </c>
      <c r="Y39">
        <v>0.42880979925394058</v>
      </c>
      <c r="AA39" t="s">
        <v>75</v>
      </c>
      <c r="AB39">
        <v>0.86350765824317866</v>
      </c>
      <c r="AC39">
        <v>0.85889637470245361</v>
      </c>
      <c r="AE39" t="s">
        <v>75</v>
      </c>
      <c r="AF39">
        <v>0.44683033972978525</v>
      </c>
      <c r="AG39">
        <v>0.4400925412774086</v>
      </c>
    </row>
    <row r="40" spans="1:33" x14ac:dyDescent="0.25">
      <c r="A40" s="105"/>
      <c r="B40" s="105"/>
      <c r="C40" s="105">
        <v>50</v>
      </c>
      <c r="D40" s="3">
        <v>1</v>
      </c>
      <c r="E40">
        <f>Subsheet!F24</f>
        <v>0.84825235605239802</v>
      </c>
      <c r="F40">
        <f>Subsheet!G24</f>
        <v>0.345744669437408</v>
      </c>
      <c r="G40">
        <f>Subsheet!H24</f>
        <v>0.54166668653488104</v>
      </c>
      <c r="H40">
        <f>Subsheet!I24</f>
        <v>0.42207792401313698</v>
      </c>
      <c r="I40">
        <f>Subsheet!J24</f>
        <v>0.82881456613540605</v>
      </c>
      <c r="J40" s="3">
        <f>Subsheet!K24</f>
        <v>0.37043792009353599</v>
      </c>
      <c r="K40">
        <f>Subsheet!L24</f>
        <v>0.83789956569671598</v>
      </c>
      <c r="L40">
        <f>Subsheet!M24</f>
        <v>0.27111110091209401</v>
      </c>
      <c r="M40">
        <f>Subsheet!N24</f>
        <v>0.55454546213150002</v>
      </c>
      <c r="N40">
        <f>Subsheet!O24</f>
        <v>0.36417910456657399</v>
      </c>
      <c r="O40">
        <f>Subsheet!P24</f>
        <v>0.83456659317016602</v>
      </c>
      <c r="P40" s="3">
        <f>Subsheet!Q24</f>
        <v>0.35174927115440302</v>
      </c>
      <c r="U40" s="105"/>
      <c r="V40" s="105"/>
      <c r="W40" t="s">
        <v>76</v>
      </c>
      <c r="X40">
        <v>1.2263963521676375E-3</v>
      </c>
      <c r="Y40">
        <v>2.8864235040754562E-3</v>
      </c>
      <c r="AA40" t="s">
        <v>76</v>
      </c>
      <c r="AB40">
        <v>4.9500610267827494E-4</v>
      </c>
      <c r="AC40">
        <v>1.9981736809882022E-4</v>
      </c>
      <c r="AE40" t="s">
        <v>76</v>
      </c>
      <c r="AF40">
        <v>5.4544694073650106E-3</v>
      </c>
      <c r="AG40">
        <v>5.788054403933633E-3</v>
      </c>
    </row>
    <row r="41" spans="1:33" x14ac:dyDescent="0.25">
      <c r="A41" s="105"/>
      <c r="B41" s="105"/>
      <c r="C41" s="105"/>
      <c r="D41" s="3">
        <v>2</v>
      </c>
      <c r="E41">
        <f>Subsheet!F25</f>
        <v>0.913008153438568</v>
      </c>
      <c r="F41">
        <f>Subsheet!G25</f>
        <v>0.55737704038619995</v>
      </c>
      <c r="G41">
        <f>Subsheet!H25</f>
        <v>0.29824560880661</v>
      </c>
      <c r="H41">
        <f>Subsheet!I25</f>
        <v>0.38857144117355302</v>
      </c>
      <c r="I41">
        <f>Subsheet!J25</f>
        <v>0.83639883995056097</v>
      </c>
      <c r="J41" s="3">
        <f>Subsheet!K25</f>
        <v>0.43921542167663502</v>
      </c>
      <c r="K41">
        <f>Subsheet!L25</f>
        <v>0.90182650089263905</v>
      </c>
      <c r="L41">
        <f>Subsheet!M25</f>
        <v>0.34426230192184398</v>
      </c>
      <c r="M41">
        <f>Subsheet!N25</f>
        <v>0.19090908765792799</v>
      </c>
      <c r="N41">
        <f>Subsheet!O25</f>
        <v>0.24561403691768599</v>
      </c>
      <c r="O41">
        <f>Subsheet!P25</f>
        <v>0.79870134592056197</v>
      </c>
      <c r="P41" s="3">
        <f>Subsheet!Q25</f>
        <v>0.25840446352958601</v>
      </c>
      <c r="U41" s="105"/>
      <c r="V41" s="105"/>
      <c r="W41" t="s">
        <v>77</v>
      </c>
      <c r="X41">
        <v>4</v>
      </c>
      <c r="Y41">
        <v>4</v>
      </c>
      <c r="AA41" t="s">
        <v>77</v>
      </c>
      <c r="AB41">
        <v>4</v>
      </c>
      <c r="AC41">
        <v>4</v>
      </c>
      <c r="AE41" t="s">
        <v>77</v>
      </c>
      <c r="AF41">
        <v>4</v>
      </c>
      <c r="AG41">
        <v>4</v>
      </c>
    </row>
    <row r="42" spans="1:33" x14ac:dyDescent="0.25">
      <c r="A42" s="105"/>
      <c r="B42" s="105"/>
      <c r="C42" s="105"/>
      <c r="D42" s="3">
        <v>3</v>
      </c>
      <c r="E42">
        <f>Subsheet!F26</f>
        <v>0.86661344766616799</v>
      </c>
      <c r="F42">
        <f>Subsheet!G26</f>
        <v>0.33529412746429399</v>
      </c>
      <c r="G42">
        <f>Subsheet!H26</f>
        <v>0.51351350545883101</v>
      </c>
      <c r="H42">
        <f>Subsheet!I26</f>
        <v>0.40569394826888999</v>
      </c>
      <c r="I42">
        <f>Subsheet!J26</f>
        <v>0.84645992517471302</v>
      </c>
      <c r="J42" s="3">
        <f>Subsheet!K26</f>
        <v>0.36728855967521601</v>
      </c>
      <c r="K42">
        <f>Subsheet!L26</f>
        <v>0.85007607936859098</v>
      </c>
      <c r="L42">
        <f>Subsheet!M26</f>
        <v>0.23952095210552199</v>
      </c>
      <c r="M42">
        <f>Subsheet!N26</f>
        <v>0.363636374473571</v>
      </c>
      <c r="N42">
        <f>Subsheet!O26</f>
        <v>0.288808673620224</v>
      </c>
      <c r="O42">
        <f>Subsheet!P26</f>
        <v>0.79241162538528398</v>
      </c>
      <c r="P42" s="3">
        <f>Subsheet!Q26</f>
        <v>0.248978301882743</v>
      </c>
      <c r="U42" s="105"/>
      <c r="V42" s="105"/>
      <c r="W42" t="s">
        <v>78</v>
      </c>
      <c r="X42">
        <v>7.3528798429878944E-2</v>
      </c>
      <c r="AA42" t="s">
        <v>78</v>
      </c>
      <c r="AB42">
        <v>0.83389489581426068</v>
      </c>
      <c r="AE42" t="s">
        <v>78</v>
      </c>
      <c r="AF42">
        <v>0.69265445721403018</v>
      </c>
    </row>
    <row r="43" spans="1:33" x14ac:dyDescent="0.25">
      <c r="A43" s="107"/>
      <c r="B43" s="107"/>
      <c r="C43" s="107"/>
      <c r="D43" s="8">
        <v>4</v>
      </c>
      <c r="E43" s="7">
        <f>Subsheet!F27</f>
        <v>0.91457283496856601</v>
      </c>
      <c r="F43" s="7">
        <f>Subsheet!G27</f>
        <v>0.49137932062148998</v>
      </c>
      <c r="G43" s="7">
        <f>Subsheet!H27</f>
        <v>0.56999999284744196</v>
      </c>
      <c r="H43" s="7">
        <f>Subsheet!I27</f>
        <v>0.52777779102325395</v>
      </c>
      <c r="I43" s="7">
        <f>Subsheet!J27</f>
        <v>0.89623397588729803</v>
      </c>
      <c r="J43" s="8">
        <f>Subsheet!K27</f>
        <v>0.50428050756454401</v>
      </c>
      <c r="K43" s="7">
        <f>Subsheet!L27</f>
        <v>0.86605781316757202</v>
      </c>
      <c r="L43" s="7">
        <f>Subsheet!M27</f>
        <v>0.28000000119209201</v>
      </c>
      <c r="M43" s="7">
        <f>Subsheet!N27</f>
        <v>0.38181817531585599</v>
      </c>
      <c r="N43" s="7">
        <f>Subsheet!O27</f>
        <v>0.32307693362236001</v>
      </c>
      <c r="O43" s="7">
        <f>Subsheet!P27</f>
        <v>0.82004678249359098</v>
      </c>
      <c r="P43" s="8">
        <f>Subsheet!Q27</f>
        <v>0.25700038671493503</v>
      </c>
      <c r="U43" s="105"/>
      <c r="V43" s="105"/>
      <c r="W43" t="s">
        <v>79</v>
      </c>
      <c r="X43">
        <v>0</v>
      </c>
      <c r="AA43" t="s">
        <v>79</v>
      </c>
      <c r="AB43">
        <v>0</v>
      </c>
      <c r="AE43" t="s">
        <v>79</v>
      </c>
      <c r="AF43">
        <v>0</v>
      </c>
    </row>
    <row r="44" spans="1:33" x14ac:dyDescent="0.25">
      <c r="A44" s="103" t="s">
        <v>24</v>
      </c>
      <c r="B44" s="103" t="s">
        <v>21</v>
      </c>
      <c r="C44" s="103">
        <v>18</v>
      </c>
      <c r="D44" s="10">
        <v>1</v>
      </c>
      <c r="E44" s="9">
        <f>Subsheet!F52</f>
        <v>0.88746803998947099</v>
      </c>
      <c r="F44" s="9">
        <f>Subsheet!G52</f>
        <v>0.46153846383094699</v>
      </c>
      <c r="G44" s="9">
        <f>Subsheet!H52</f>
        <v>0.60000002384185702</v>
      </c>
      <c r="H44" s="9">
        <f>Subsheet!I52</f>
        <v>0.52173912525177002</v>
      </c>
      <c r="I44" s="9">
        <f>Subsheet!J52</f>
        <v>0.84867036342620805</v>
      </c>
      <c r="J44" s="9">
        <f>Subsheet!K52</f>
        <v>0.49701082706451399</v>
      </c>
      <c r="K44" s="9">
        <f>Subsheet!L52</f>
        <v>0.87214612960815396</v>
      </c>
      <c r="L44" s="9">
        <f>Subsheet!M52</f>
        <v>0.34895834326744002</v>
      </c>
      <c r="M44" s="9">
        <f>Subsheet!N52</f>
        <v>0.60909092426300004</v>
      </c>
      <c r="N44" s="9">
        <f>Subsheet!O52</f>
        <v>0.44370859861373901</v>
      </c>
      <c r="O44" s="9">
        <f>Subsheet!P52</f>
        <v>0.85996675491332997</v>
      </c>
      <c r="P44" s="10">
        <f>Subsheet!Q52</f>
        <v>0.39321514964103699</v>
      </c>
      <c r="U44" s="105"/>
      <c r="V44" s="105"/>
      <c r="W44" t="s">
        <v>80</v>
      </c>
      <c r="X44">
        <v>3</v>
      </c>
      <c r="AA44" t="s">
        <v>80</v>
      </c>
      <c r="AB44">
        <v>3</v>
      </c>
      <c r="AE44" t="s">
        <v>80</v>
      </c>
      <c r="AF44">
        <v>3</v>
      </c>
    </row>
    <row r="45" spans="1:33" x14ac:dyDescent="0.25">
      <c r="A45" s="105"/>
      <c r="B45" s="105"/>
      <c r="C45" s="105"/>
      <c r="D45" s="3">
        <v>2</v>
      </c>
      <c r="E45">
        <f>Subsheet!F53</f>
        <v>0.91707319021224898</v>
      </c>
      <c r="F45">
        <f>Subsheet!G53</f>
        <v>0.60000002384185702</v>
      </c>
      <c r="G45">
        <f>Subsheet!H53</f>
        <v>0.31578946113586398</v>
      </c>
      <c r="H45">
        <f>Subsheet!I53</f>
        <v>0.41379311680793701</v>
      </c>
      <c r="I45">
        <f>Subsheet!J53</f>
        <v>0.88900679349899203</v>
      </c>
      <c r="J45">
        <f>Subsheet!K53</f>
        <v>0.54354256391525202</v>
      </c>
      <c r="K45">
        <f>Subsheet!L53</f>
        <v>0.91704720258712702</v>
      </c>
      <c r="L45">
        <f>Subsheet!M53</f>
        <v>0.50704222917556696</v>
      </c>
      <c r="M45">
        <f>Subsheet!N53</f>
        <v>0.32727271318435602</v>
      </c>
      <c r="N45">
        <f>Subsheet!O53</f>
        <v>0.39779004454612699</v>
      </c>
      <c r="O45">
        <f>Subsheet!P53</f>
        <v>0.86401391029357899</v>
      </c>
      <c r="P45" s="3">
        <f>Subsheet!Q53</f>
        <v>0.44246089458465498</v>
      </c>
      <c r="U45" s="105"/>
      <c r="V45" s="105"/>
      <c r="W45" t="s">
        <v>81</v>
      </c>
      <c r="X45">
        <v>-2.0739516933240671</v>
      </c>
      <c r="AA45" t="s">
        <v>81</v>
      </c>
      <c r="AB45">
        <v>0.70671099492060541</v>
      </c>
      <c r="AE45" t="s">
        <v>81</v>
      </c>
      <c r="AF45">
        <v>0.22913280757242671</v>
      </c>
    </row>
    <row r="46" spans="1:33" x14ac:dyDescent="0.25">
      <c r="A46" s="105"/>
      <c r="B46" s="105"/>
      <c r="C46" s="105"/>
      <c r="D46" s="3">
        <v>3</v>
      </c>
      <c r="E46">
        <f>Subsheet!F54</f>
        <v>0.86421728134155196</v>
      </c>
      <c r="F46">
        <f>Subsheet!G54</f>
        <v>0.35748791694641102</v>
      </c>
      <c r="G46">
        <f>Subsheet!H54</f>
        <v>0.66666668653488104</v>
      </c>
      <c r="H46">
        <f>Subsheet!I54</f>
        <v>0.46540880203246998</v>
      </c>
      <c r="I46">
        <f>Subsheet!J54</f>
        <v>0.84707576036453203</v>
      </c>
      <c r="J46">
        <f>Subsheet!K54</f>
        <v>0.42528277635574302</v>
      </c>
      <c r="K46">
        <f>Subsheet!L54</f>
        <v>0.83866059780120805</v>
      </c>
      <c r="L46">
        <f>Subsheet!M54</f>
        <v>0.290983617305755</v>
      </c>
      <c r="M46">
        <f>Subsheet!N54</f>
        <v>0.64545452594757002</v>
      </c>
      <c r="N46">
        <f>Subsheet!O54</f>
        <v>0.401129931211471</v>
      </c>
      <c r="O46">
        <f>Subsheet!P54</f>
        <v>0.86666423082351596</v>
      </c>
      <c r="P46" s="3">
        <f>Subsheet!Q54</f>
        <v>0.392840266227722</v>
      </c>
      <c r="U46" s="105"/>
      <c r="V46" s="105"/>
      <c r="W46" t="s">
        <v>82</v>
      </c>
      <c r="X46">
        <v>6.4875315664815927E-2</v>
      </c>
      <c r="AA46" t="s">
        <v>82</v>
      </c>
      <c r="AB46">
        <v>0.26534578014411503</v>
      </c>
      <c r="AE46" t="s">
        <v>82</v>
      </c>
      <c r="AF46">
        <v>0.41674900096886047</v>
      </c>
    </row>
    <row r="47" spans="1:33" x14ac:dyDescent="0.25">
      <c r="A47" s="105"/>
      <c r="B47" s="105"/>
      <c r="C47" s="105"/>
      <c r="D47" s="3">
        <v>4</v>
      </c>
      <c r="E47">
        <f>Subsheet!F55</f>
        <v>0.85175877809524503</v>
      </c>
      <c r="F47">
        <f>Subsheet!G55</f>
        <v>0.33617022633552501</v>
      </c>
      <c r="G47">
        <f>Subsheet!H55</f>
        <v>0.79000002145767201</v>
      </c>
      <c r="H47">
        <f>Subsheet!I55</f>
        <v>0.47164177894592202</v>
      </c>
      <c r="I47">
        <f>Subsheet!J55</f>
        <v>0.88942408561706499</v>
      </c>
      <c r="J47">
        <f>Subsheet!K55</f>
        <v>0.50199639797210605</v>
      </c>
      <c r="K47">
        <f>Subsheet!L55</f>
        <v>0.81735157966613703</v>
      </c>
      <c r="L47">
        <f>Subsheet!M55</f>
        <v>0.27586206793785001</v>
      </c>
      <c r="M47">
        <f>Subsheet!N55</f>
        <v>0.727272748947143</v>
      </c>
      <c r="N47">
        <f>Subsheet!O55</f>
        <v>0.40000000596046398</v>
      </c>
      <c r="O47">
        <f>Subsheet!P55</f>
        <v>0.87003928422927801</v>
      </c>
      <c r="P47" s="3">
        <f>Subsheet!Q55</f>
        <v>0.42728608846664401</v>
      </c>
      <c r="U47" s="105"/>
      <c r="V47" s="105"/>
      <c r="W47" t="s">
        <v>83</v>
      </c>
      <c r="X47">
        <v>2.3533634348018233</v>
      </c>
      <c r="AA47" t="s">
        <v>83</v>
      </c>
      <c r="AB47">
        <v>2.3533634348018233</v>
      </c>
      <c r="AE47" t="s">
        <v>83</v>
      </c>
      <c r="AF47">
        <v>2.3533634348018233</v>
      </c>
    </row>
    <row r="48" spans="1:33" x14ac:dyDescent="0.25">
      <c r="A48" s="105"/>
      <c r="B48" s="105"/>
      <c r="C48" s="105">
        <v>34</v>
      </c>
      <c r="D48" s="3">
        <v>1</v>
      </c>
      <c r="E48">
        <f>Subsheet!F56</f>
        <v>0.869565188884735</v>
      </c>
      <c r="F48">
        <f>Subsheet!G56</f>
        <v>0.40571427345275801</v>
      </c>
      <c r="G48">
        <f>Subsheet!H56</f>
        <v>0.59166663885116499</v>
      </c>
      <c r="H48">
        <f>Subsheet!I56</f>
        <v>0.48135593533515902</v>
      </c>
      <c r="I48">
        <f>Subsheet!J56</f>
        <v>0.85361671447753895</v>
      </c>
      <c r="J48">
        <f>Subsheet!K56</f>
        <v>0.38477489352226202</v>
      </c>
      <c r="K48">
        <f>Subsheet!L56</f>
        <v>0.87823438644409102</v>
      </c>
      <c r="L48">
        <f>Subsheet!M56</f>
        <v>0.35955056548118502</v>
      </c>
      <c r="M48">
        <f>Subsheet!N56</f>
        <v>0.58181816339492798</v>
      </c>
      <c r="N48">
        <f>Subsheet!O56</f>
        <v>0.44444444775581299</v>
      </c>
      <c r="O48">
        <f>Subsheet!P56</f>
        <v>0.84364998340606601</v>
      </c>
      <c r="P48" s="3">
        <f>Subsheet!Q56</f>
        <v>0.351035356521606</v>
      </c>
      <c r="U48" s="105"/>
      <c r="V48" s="105"/>
      <c r="W48" t="s">
        <v>84</v>
      </c>
      <c r="X48">
        <v>0.12975063132963185</v>
      </c>
      <c r="AA48" t="s">
        <v>84</v>
      </c>
      <c r="AB48">
        <v>0.53069156028823006</v>
      </c>
      <c r="AE48" t="s">
        <v>84</v>
      </c>
      <c r="AF48">
        <v>0.83349800193772094</v>
      </c>
    </row>
    <row r="49" spans="1:33" ht="15.75" thickBot="1" x14ac:dyDescent="0.3">
      <c r="A49" s="105"/>
      <c r="B49" s="105"/>
      <c r="C49" s="105"/>
      <c r="D49" s="3">
        <v>2</v>
      </c>
      <c r="E49">
        <f>Subsheet!F57</f>
        <v>0.90813010931015004</v>
      </c>
      <c r="F49">
        <f>Subsheet!G57</f>
        <v>0.50467288494110096</v>
      </c>
      <c r="G49">
        <f>Subsheet!H57</f>
        <v>0.473684221506118</v>
      </c>
      <c r="H49">
        <f>Subsheet!I57</f>
        <v>0.48868778347969</v>
      </c>
      <c r="I49">
        <f>Subsheet!J57</f>
        <v>0.89228439331054599</v>
      </c>
      <c r="J49">
        <f>Subsheet!K57</f>
        <v>0.52881020307540805</v>
      </c>
      <c r="K49">
        <f>Subsheet!L57</f>
        <v>0.89649921655654896</v>
      </c>
      <c r="L49">
        <f>Subsheet!M57</f>
        <v>0.40845069289207397</v>
      </c>
      <c r="M49">
        <f>Subsheet!N57</f>
        <v>0.52727270126342696</v>
      </c>
      <c r="N49">
        <f>Subsheet!O57</f>
        <v>0.460317462682724</v>
      </c>
      <c r="O49">
        <f>Subsheet!P57</f>
        <v>0.86284357309341397</v>
      </c>
      <c r="P49" s="3">
        <f>Subsheet!Q57</f>
        <v>0.40798449516296298</v>
      </c>
      <c r="U49" s="105"/>
      <c r="V49" s="105"/>
      <c r="W49" s="16" t="s">
        <v>85</v>
      </c>
      <c r="X49" s="16">
        <v>3.1824463052837091</v>
      </c>
      <c r="Y49" s="16"/>
      <c r="AA49" s="16" t="s">
        <v>85</v>
      </c>
      <c r="AB49" s="16">
        <v>3.1824463052837091</v>
      </c>
      <c r="AC49" s="16"/>
      <c r="AE49" s="16" t="s">
        <v>85</v>
      </c>
      <c r="AF49" s="16">
        <v>3.1824463052837091</v>
      </c>
      <c r="AG49" s="16"/>
    </row>
    <row r="50" spans="1:33" x14ac:dyDescent="0.25">
      <c r="A50" s="105"/>
      <c r="B50" s="105"/>
      <c r="C50" s="105"/>
      <c r="D50" s="3">
        <v>3</v>
      </c>
      <c r="E50">
        <f>Subsheet!F58</f>
        <v>0.91853034496307295</v>
      </c>
      <c r="F50">
        <f>Subsheet!G58</f>
        <v>0.58823531866073597</v>
      </c>
      <c r="G50">
        <f>Subsheet!H58</f>
        <v>0.27027025818824701</v>
      </c>
      <c r="H50">
        <f>Subsheet!I58</f>
        <v>0.37037035822868303</v>
      </c>
      <c r="I50">
        <f>Subsheet!J58</f>
        <v>0.86327779293060303</v>
      </c>
      <c r="J50">
        <f>Subsheet!K58</f>
        <v>0.42630520462989802</v>
      </c>
      <c r="K50">
        <f>Subsheet!L58</f>
        <v>0.91476410627365101</v>
      </c>
      <c r="L50">
        <f>Subsheet!M58</f>
        <v>0.481481492519378</v>
      </c>
      <c r="M50">
        <f>Subsheet!N58</f>
        <v>0.236363634467124</v>
      </c>
      <c r="N50">
        <f>Subsheet!O58</f>
        <v>0.31707316637039101</v>
      </c>
      <c r="O50">
        <f>Subsheet!P58</f>
        <v>0.85711264610290505</v>
      </c>
      <c r="P50" s="3">
        <f>Subsheet!Q58</f>
        <v>0.405340135097503</v>
      </c>
      <c r="U50" s="105"/>
      <c r="V50" s="105"/>
      <c r="W50" t="str">
        <f>IF(Y39 &gt; X39, "LPFT &gt; FT", "LPFT &lt; FT")</f>
        <v>LPFT &gt; FT</v>
      </c>
      <c r="X50" s="171" t="str">
        <f>IF(X46 &lt; 0.05, "Significant", "Not Significant")</f>
        <v>Not Significant</v>
      </c>
      <c r="Y50" s="171"/>
      <c r="AA50" t="str">
        <f>IF(AC39 &gt; AB39, "LPFT &gt; FT", "LPFT &lt; FT")</f>
        <v>LPFT &lt; FT</v>
      </c>
      <c r="AB50" s="171" t="str">
        <f>IF(AB46 &lt; 0.05, "Significant", "Not Significant")</f>
        <v>Not Significant</v>
      </c>
      <c r="AC50" s="171"/>
      <c r="AE50" t="str">
        <f>IF(AG39 &gt; AF39, "LPFT &gt; FT", "LPFT &lt; FT")</f>
        <v>LPFT &lt; FT</v>
      </c>
      <c r="AF50" s="171" t="str">
        <f>IF(AF46 &lt; 0.05, "Significant", "Not Significant")</f>
        <v>Not Significant</v>
      </c>
      <c r="AG50" s="171"/>
    </row>
    <row r="51" spans="1:33" x14ac:dyDescent="0.25">
      <c r="A51" s="105"/>
      <c r="B51" s="105"/>
      <c r="C51" s="105"/>
      <c r="D51" s="3">
        <v>4</v>
      </c>
      <c r="E51">
        <f>Subsheet!F59</f>
        <v>0.90284758806228604</v>
      </c>
      <c r="F51">
        <f>Subsheet!G59</f>
        <v>0.44117647409438998</v>
      </c>
      <c r="G51">
        <f>Subsheet!H59</f>
        <v>0.60000002384185702</v>
      </c>
      <c r="H51">
        <f>Subsheet!I59</f>
        <v>0.50847458839416504</v>
      </c>
      <c r="I51">
        <f>Subsheet!J59</f>
        <v>0.89585912227630604</v>
      </c>
      <c r="J51">
        <f>Subsheet!K59</f>
        <v>0.49422031641006398</v>
      </c>
      <c r="K51">
        <f>Subsheet!L59</f>
        <v>0.87747335433959905</v>
      </c>
      <c r="L51">
        <f>Subsheet!M59</f>
        <v>0.35260117053985501</v>
      </c>
      <c r="M51">
        <f>Subsheet!N59</f>
        <v>0.55454546213150002</v>
      </c>
      <c r="N51">
        <f>Subsheet!O59</f>
        <v>0.431095391511917</v>
      </c>
      <c r="O51">
        <f>Subsheet!P59</f>
        <v>0.84563577175140303</v>
      </c>
      <c r="P51" s="3">
        <f>Subsheet!Q59</f>
        <v>0.38255935907363797</v>
      </c>
      <c r="U51" s="105"/>
      <c r="V51" s="105"/>
      <c r="W51">
        <f>X46</f>
        <v>6.4875315664815927E-2</v>
      </c>
      <c r="X51" s="194"/>
      <c r="Y51" s="194"/>
      <c r="AA51">
        <f>AB46</f>
        <v>0.26534578014411503</v>
      </c>
      <c r="AB51" s="194"/>
      <c r="AC51" s="194"/>
      <c r="AE51">
        <f>AF46</f>
        <v>0.41674900096886047</v>
      </c>
      <c r="AF51" s="194"/>
      <c r="AG51" s="194"/>
    </row>
    <row r="52" spans="1:33" x14ac:dyDescent="0.25">
      <c r="A52" s="105"/>
      <c r="B52" s="105"/>
      <c r="C52" s="105">
        <v>50</v>
      </c>
      <c r="D52" s="3">
        <v>1</v>
      </c>
      <c r="E52">
        <f>Subsheet!F60</f>
        <v>0.88064789772033603</v>
      </c>
      <c r="F52">
        <f>Subsheet!G60</f>
        <v>0.420634925365448</v>
      </c>
      <c r="G52">
        <f>Subsheet!H60</f>
        <v>0.44166666269302302</v>
      </c>
      <c r="H52">
        <f>Subsheet!I60</f>
        <v>0.430894315242767</v>
      </c>
      <c r="I52">
        <f>Subsheet!J60</f>
        <v>0.85489863157272294</v>
      </c>
      <c r="J52">
        <f>Subsheet!K60</f>
        <v>0.382311850786209</v>
      </c>
      <c r="K52">
        <f>Subsheet!L60</f>
        <v>0.89269405603408802</v>
      </c>
      <c r="L52">
        <f>Subsheet!M60</f>
        <v>0.40127387642860401</v>
      </c>
      <c r="M52">
        <f>Subsheet!N60</f>
        <v>0.57272726297378496</v>
      </c>
      <c r="N52">
        <f>Subsheet!O60</f>
        <v>0.47191011905670099</v>
      </c>
      <c r="O52">
        <f>Subsheet!P60</f>
        <v>0.85637271404266302</v>
      </c>
      <c r="P52" s="3">
        <f>Subsheet!Q60</f>
        <v>0.49981117248535101</v>
      </c>
      <c r="U52" s="105"/>
      <c r="V52" s="105"/>
      <c r="W52" s="196" t="s">
        <v>14</v>
      </c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</row>
    <row r="53" spans="1:33" x14ac:dyDescent="0.25">
      <c r="A53" s="105"/>
      <c r="B53" s="105"/>
      <c r="C53" s="105"/>
      <c r="D53" s="3">
        <v>2</v>
      </c>
      <c r="E53">
        <f>Subsheet!F61</f>
        <v>0.89918696880340498</v>
      </c>
      <c r="F53">
        <f>Subsheet!G61</f>
        <v>0.4609375</v>
      </c>
      <c r="G53">
        <f>Subsheet!H61</f>
        <v>0.51754385232925404</v>
      </c>
      <c r="H53">
        <f>Subsheet!I61</f>
        <v>0.48760330677032399</v>
      </c>
      <c r="I53">
        <f>Subsheet!J61</f>
        <v>0.90357160568237305</v>
      </c>
      <c r="J53">
        <f>Subsheet!K61</f>
        <v>0.49297505617141701</v>
      </c>
      <c r="K53">
        <f>Subsheet!L61</f>
        <v>0.88508373498916604</v>
      </c>
      <c r="L53">
        <f>Subsheet!M61</f>
        <v>0.36054420471191401</v>
      </c>
      <c r="M53">
        <f>Subsheet!N61</f>
        <v>0.48181816935539201</v>
      </c>
      <c r="N53">
        <f>Subsheet!O61</f>
        <v>0.41245135664939803</v>
      </c>
      <c r="O53">
        <f>Subsheet!P61</f>
        <v>0.85785257816314697</v>
      </c>
      <c r="P53" s="3">
        <f>Subsheet!Q61</f>
        <v>0.37971735000610302</v>
      </c>
      <c r="U53" s="105"/>
      <c r="V53" s="105"/>
      <c r="W53" s="194" t="s">
        <v>4</v>
      </c>
      <c r="X53" s="194"/>
      <c r="Y53" s="194"/>
      <c r="Z53" s="15"/>
      <c r="AA53" s="194" t="s">
        <v>5</v>
      </c>
      <c r="AB53" s="194"/>
      <c r="AC53" s="194"/>
      <c r="AD53" s="15"/>
      <c r="AE53" s="194" t="s">
        <v>70</v>
      </c>
      <c r="AF53" s="194"/>
      <c r="AG53" s="194"/>
    </row>
    <row r="54" spans="1:33" ht="15.75" thickBot="1" x14ac:dyDescent="0.3">
      <c r="A54" s="105"/>
      <c r="B54" s="105"/>
      <c r="C54" s="105"/>
      <c r="D54" s="3">
        <v>3</v>
      </c>
      <c r="E54">
        <f>Subsheet!F62</f>
        <v>0.90335464477538996</v>
      </c>
      <c r="F54">
        <f>Subsheet!G62</f>
        <v>0.459016382694244</v>
      </c>
      <c r="G54">
        <f>Subsheet!H62</f>
        <v>0.50450450181961004</v>
      </c>
      <c r="H54">
        <f>Subsheet!I62</f>
        <v>0.48068669438362099</v>
      </c>
      <c r="I54">
        <f>Subsheet!J62</f>
        <v>0.85838246345519997</v>
      </c>
      <c r="J54">
        <f>Subsheet!K62</f>
        <v>0.48779803514480502</v>
      </c>
      <c r="K54">
        <f>Subsheet!L62</f>
        <v>0.88432270288467396</v>
      </c>
      <c r="L54">
        <f>Subsheet!M62</f>
        <v>0.375</v>
      </c>
      <c r="M54">
        <f>Subsheet!N62</f>
        <v>0.57272726297378496</v>
      </c>
      <c r="N54">
        <f>Subsheet!O62</f>
        <v>0.453237414360046</v>
      </c>
      <c r="O54">
        <f>Subsheet!P62</f>
        <v>0.86078971624374301</v>
      </c>
      <c r="P54" s="3">
        <f>Subsheet!Q62</f>
        <v>0.46594262123107899</v>
      </c>
      <c r="U54" s="105"/>
      <c r="V54" s="105"/>
    </row>
    <row r="55" spans="1:33" x14ac:dyDescent="0.25">
      <c r="A55" s="107"/>
      <c r="B55" s="107"/>
      <c r="C55" s="107"/>
      <c r="D55" s="8">
        <v>4</v>
      </c>
      <c r="E55" s="32">
        <f>Subsheet!F63</f>
        <v>0.86097151041030795</v>
      </c>
      <c r="F55" s="7">
        <f>Subsheet!G63</f>
        <v>0.34722220897674499</v>
      </c>
      <c r="G55" s="7">
        <f>Subsheet!H63</f>
        <v>0.75</v>
      </c>
      <c r="H55" s="7">
        <f>Subsheet!I63</f>
        <v>0.47468355298042297</v>
      </c>
      <c r="I55" s="7">
        <f>Subsheet!J63</f>
        <v>0.89904934167861905</v>
      </c>
      <c r="J55" s="7">
        <f>Subsheet!K63</f>
        <v>0.48348343372344899</v>
      </c>
      <c r="K55" s="7">
        <f>Subsheet!L63</f>
        <v>0.83181124925613403</v>
      </c>
      <c r="L55" s="7">
        <f>Subsheet!M63</f>
        <v>0.30249109864234902</v>
      </c>
      <c r="M55" s="7">
        <f>Subsheet!N63</f>
        <v>0.772727251052856</v>
      </c>
      <c r="N55" s="7">
        <f>Subsheet!O63</f>
        <v>0.434782594442367</v>
      </c>
      <c r="O55" s="7">
        <f>Subsheet!P63</f>
        <v>0.87798994779586703</v>
      </c>
      <c r="P55" s="8">
        <f>Subsheet!Q63</f>
        <v>0.39214628934860202</v>
      </c>
      <c r="U55" s="105"/>
      <c r="V55" s="105"/>
      <c r="W55" s="17"/>
      <c r="X55" s="17" t="s">
        <v>116</v>
      </c>
      <c r="Y55" s="17" t="s">
        <v>117</v>
      </c>
      <c r="AA55" s="17"/>
      <c r="AB55" s="17" t="s">
        <v>116</v>
      </c>
      <c r="AC55" s="17" t="s">
        <v>117</v>
      </c>
      <c r="AE55" s="17"/>
      <c r="AF55" s="17" t="s">
        <v>116</v>
      </c>
      <c r="AG55" s="17" t="s">
        <v>117</v>
      </c>
    </row>
    <row r="56" spans="1:33" x14ac:dyDescent="0.25">
      <c r="A56" s="103" t="s">
        <v>24</v>
      </c>
      <c r="B56" s="103" t="s">
        <v>27</v>
      </c>
      <c r="C56" s="103"/>
      <c r="D56" s="10">
        <v>1</v>
      </c>
      <c r="E56">
        <f>Subsheet!F72</f>
        <v>0.88320547342300404</v>
      </c>
      <c r="F56">
        <f>Subsheet!G72</f>
        <v>0.39506173133850098</v>
      </c>
      <c r="G56">
        <f>Subsheet!H72</f>
        <v>0.266666680574417</v>
      </c>
      <c r="H56">
        <f>Subsheet!I72</f>
        <v>0.318407952785491</v>
      </c>
      <c r="I56">
        <f>Subsheet!J72</f>
        <v>0.81348526477813698</v>
      </c>
      <c r="J56">
        <f>Subsheet!K72</f>
        <v>0.33723288774490301</v>
      </c>
      <c r="K56">
        <f>Subsheet!L72</f>
        <v>0.90106546878814697</v>
      </c>
      <c r="L56">
        <f>Subsheet!M72</f>
        <v>0.403846144676208</v>
      </c>
      <c r="M56">
        <f>Subsheet!N72</f>
        <v>0.38181817531585599</v>
      </c>
      <c r="N56">
        <f>Subsheet!O72</f>
        <v>0.39252337813377303</v>
      </c>
      <c r="O56">
        <f>Subsheet!P72</f>
        <v>0.81936728954315097</v>
      </c>
      <c r="P56" s="3">
        <f>Subsheet!Q72</f>
        <v>0.32699429988861001</v>
      </c>
      <c r="U56" s="105"/>
      <c r="V56" s="105"/>
      <c r="W56" t="s">
        <v>75</v>
      </c>
      <c r="X56">
        <v>0.30236206576228097</v>
      </c>
      <c r="Y56">
        <v>0.34584164619445801</v>
      </c>
      <c r="AA56" t="s">
        <v>75</v>
      </c>
      <c r="AB56">
        <v>0.84667015075683549</v>
      </c>
      <c r="AC56">
        <v>0.82688198983669281</v>
      </c>
      <c r="AE56" t="s">
        <v>75</v>
      </c>
      <c r="AF56">
        <v>0.35118983685970256</v>
      </c>
      <c r="AG56">
        <v>0.34423183649778366</v>
      </c>
    </row>
    <row r="57" spans="1:33" x14ac:dyDescent="0.25">
      <c r="A57" s="105"/>
      <c r="B57" s="105"/>
      <c r="C57" s="105"/>
      <c r="D57" s="3">
        <v>2</v>
      </c>
      <c r="E57">
        <f>Subsheet!F73</f>
        <v>0.90731710195541304</v>
      </c>
      <c r="F57">
        <f>Subsheet!G73</f>
        <v>0.5</v>
      </c>
      <c r="G57">
        <f>Subsheet!H73</f>
        <v>0.26315790414810097</v>
      </c>
      <c r="H57">
        <f>Subsheet!I73</f>
        <v>0.34482759237289401</v>
      </c>
      <c r="I57">
        <f>Subsheet!J73</f>
        <v>0.85689806938171298</v>
      </c>
      <c r="J57">
        <f>Subsheet!K73</f>
        <v>0.39140477776527399</v>
      </c>
      <c r="K57">
        <f>Subsheet!L73</f>
        <v>0.89269405603408802</v>
      </c>
      <c r="L57">
        <f>Subsheet!M73</f>
        <v>0.287671238183975</v>
      </c>
      <c r="M57">
        <f>Subsheet!N73</f>
        <v>0.19090908765792799</v>
      </c>
      <c r="N57">
        <f>Subsheet!O73</f>
        <v>0.229508191347122</v>
      </c>
      <c r="O57">
        <f>Subsheet!P73</f>
        <v>0.76944279670715299</v>
      </c>
      <c r="P57" s="3">
        <f>Subsheet!Q73</f>
        <v>0.230017140507698</v>
      </c>
      <c r="U57" s="105"/>
      <c r="V57" s="105"/>
      <c r="W57" t="s">
        <v>76</v>
      </c>
      <c r="X57">
        <v>1.3602176451160167E-2</v>
      </c>
      <c r="Y57">
        <v>7.2350988651865107E-3</v>
      </c>
      <c r="AA57" t="s">
        <v>76</v>
      </c>
      <c r="AB57">
        <v>4.0617919116668844E-4</v>
      </c>
      <c r="AC57">
        <v>6.9158444097509408E-4</v>
      </c>
      <c r="AE57" t="s">
        <v>76</v>
      </c>
      <c r="AF57">
        <v>3.4463217683991152E-3</v>
      </c>
      <c r="AG57">
        <v>1.0665924512815266E-3</v>
      </c>
    </row>
    <row r="58" spans="1:33" x14ac:dyDescent="0.25">
      <c r="A58" s="105"/>
      <c r="B58" s="105"/>
      <c r="C58" s="105"/>
      <c r="D58" s="3">
        <v>3</v>
      </c>
      <c r="E58">
        <f>Subsheet!F74</f>
        <v>0.84744411706924405</v>
      </c>
      <c r="F58">
        <f>Subsheet!G74</f>
        <v>0.30198019742965698</v>
      </c>
      <c r="G58">
        <f>Subsheet!H74</f>
        <v>0.549549520015716</v>
      </c>
      <c r="H58">
        <f>Subsheet!I74</f>
        <v>0.38977634906768799</v>
      </c>
      <c r="I58">
        <f>Subsheet!J74</f>
        <v>0.81745111942291204</v>
      </c>
      <c r="J58">
        <f>Subsheet!K74</f>
        <v>0.33580386638641302</v>
      </c>
      <c r="K58">
        <f>Subsheet!L74</f>
        <v>0.83409434556961004</v>
      </c>
      <c r="L58">
        <f>Subsheet!M74</f>
        <v>0.25892856717109602</v>
      </c>
      <c r="M58">
        <f>Subsheet!N74</f>
        <v>0.52727270126342696</v>
      </c>
      <c r="N58">
        <f>Subsheet!O74</f>
        <v>0.347305387258529</v>
      </c>
      <c r="O58">
        <f>Subsheet!P74</f>
        <v>0.80030208826064997</v>
      </c>
      <c r="P58" s="3">
        <f>Subsheet!Q74</f>
        <v>0.27865141630172702</v>
      </c>
      <c r="U58" s="105"/>
      <c r="V58" s="105"/>
      <c r="W58" t="s">
        <v>77</v>
      </c>
      <c r="X58">
        <v>4</v>
      </c>
      <c r="Y58">
        <v>4</v>
      </c>
      <c r="AA58" t="s">
        <v>77</v>
      </c>
      <c r="AB58">
        <v>4</v>
      </c>
      <c r="AC58">
        <v>4</v>
      </c>
      <c r="AE58" t="s">
        <v>77</v>
      </c>
      <c r="AF58">
        <v>4</v>
      </c>
      <c r="AG58">
        <v>4</v>
      </c>
    </row>
    <row r="59" spans="1:33" x14ac:dyDescent="0.25">
      <c r="A59" s="107"/>
      <c r="B59" s="107"/>
      <c r="C59" s="107"/>
      <c r="D59" s="8">
        <v>4</v>
      </c>
      <c r="E59" s="32">
        <f>Subsheet!F75</f>
        <v>0.842546045780181</v>
      </c>
      <c r="F59" s="7">
        <f>Subsheet!G75</f>
        <v>0.30000001192092801</v>
      </c>
      <c r="G59" s="7">
        <f>Subsheet!H75</f>
        <v>0.66000002622604304</v>
      </c>
      <c r="H59" s="7">
        <f>Subsheet!I75</f>
        <v>0.41249999403953502</v>
      </c>
      <c r="I59" s="7">
        <f>Subsheet!J75</f>
        <v>0.87033820152282704</v>
      </c>
      <c r="J59" s="7">
        <f>Subsheet!K75</f>
        <v>0.38080042600631703</v>
      </c>
      <c r="K59" s="7">
        <f>Subsheet!L75</f>
        <v>0.82952815294265703</v>
      </c>
      <c r="L59" s="7">
        <f>Subsheet!M75</f>
        <v>0.27559053897857599</v>
      </c>
      <c r="M59" s="7">
        <f>Subsheet!N75</f>
        <v>0.636363625526428</v>
      </c>
      <c r="N59" s="7">
        <f>Subsheet!O75</f>
        <v>0.38461539149284302</v>
      </c>
      <c r="O59" s="7">
        <f>Subsheet!P75</f>
        <v>0.84190577268600397</v>
      </c>
      <c r="P59" s="8">
        <f>Subsheet!Q75</f>
        <v>0.31651219725608798</v>
      </c>
      <c r="U59" s="105"/>
      <c r="V59" s="105"/>
      <c r="W59" t="s">
        <v>78</v>
      </c>
      <c r="X59">
        <v>0.57644301280781973</v>
      </c>
      <c r="AA59" t="s">
        <v>78</v>
      </c>
      <c r="AB59">
        <v>7.1824912872700509E-4</v>
      </c>
      <c r="AE59" t="s">
        <v>78</v>
      </c>
      <c r="AF59">
        <v>-0.11314373705883719</v>
      </c>
    </row>
    <row r="60" spans="1:33" x14ac:dyDescent="0.25">
      <c r="U60" s="105"/>
      <c r="V60" s="105"/>
      <c r="W60" t="s">
        <v>79</v>
      </c>
      <c r="X60">
        <v>0</v>
      </c>
      <c r="AA60" t="s">
        <v>79</v>
      </c>
      <c r="AB60">
        <v>0</v>
      </c>
      <c r="AE60" t="s">
        <v>79</v>
      </c>
      <c r="AF60">
        <v>0</v>
      </c>
    </row>
    <row r="61" spans="1:33" x14ac:dyDescent="0.25">
      <c r="U61" s="105"/>
      <c r="V61" s="105"/>
      <c r="W61" t="s">
        <v>80</v>
      </c>
      <c r="X61">
        <v>3</v>
      </c>
      <c r="AA61" t="s">
        <v>80</v>
      </c>
      <c r="AB61">
        <v>3</v>
      </c>
      <c r="AE61" t="s">
        <v>80</v>
      </c>
      <c r="AF61">
        <v>3</v>
      </c>
    </row>
    <row r="62" spans="1:33" x14ac:dyDescent="0.25">
      <c r="U62" s="105"/>
      <c r="V62" s="105"/>
      <c r="W62" t="s">
        <v>81</v>
      </c>
      <c r="X62">
        <v>-0.89690299438124899</v>
      </c>
      <c r="AA62" t="s">
        <v>81</v>
      </c>
      <c r="AB62">
        <v>1.1949002839914504</v>
      </c>
      <c r="AE62" t="s">
        <v>81</v>
      </c>
      <c r="AF62">
        <v>0.19785813975088237</v>
      </c>
    </row>
    <row r="63" spans="1:33" x14ac:dyDescent="0.25">
      <c r="U63" s="105"/>
      <c r="V63" s="105"/>
      <c r="W63" t="s">
        <v>82</v>
      </c>
      <c r="X63">
        <v>0.21793230429640503</v>
      </c>
      <c r="AA63" t="s">
        <v>82</v>
      </c>
      <c r="AB63">
        <v>0.15898915988542606</v>
      </c>
      <c r="AE63" t="s">
        <v>82</v>
      </c>
      <c r="AF63">
        <v>0.42790204556195977</v>
      </c>
    </row>
    <row r="64" spans="1:33" x14ac:dyDescent="0.25">
      <c r="U64" s="105"/>
      <c r="V64" s="105"/>
      <c r="W64" t="s">
        <v>83</v>
      </c>
      <c r="X64">
        <v>2.3533634348018233</v>
      </c>
      <c r="AA64" t="s">
        <v>83</v>
      </c>
      <c r="AB64">
        <v>2.3533634348018233</v>
      </c>
      <c r="AE64" t="s">
        <v>83</v>
      </c>
      <c r="AF64">
        <v>2.3533634348018233</v>
      </c>
    </row>
    <row r="65" spans="21:33" x14ac:dyDescent="0.25">
      <c r="U65" s="105"/>
      <c r="V65" s="105"/>
      <c r="W65" t="s">
        <v>84</v>
      </c>
      <c r="X65">
        <v>0.43586460859281007</v>
      </c>
      <c r="AA65" t="s">
        <v>84</v>
      </c>
      <c r="AB65">
        <v>0.31797831977085211</v>
      </c>
      <c r="AE65" t="s">
        <v>84</v>
      </c>
      <c r="AF65">
        <v>0.85580409112391953</v>
      </c>
    </row>
    <row r="66" spans="21:33" ht="15.75" thickBot="1" x14ac:dyDescent="0.3">
      <c r="U66" s="105"/>
      <c r="V66" s="105"/>
      <c r="W66" s="16" t="s">
        <v>85</v>
      </c>
      <c r="X66" s="16">
        <v>3.1824463052837091</v>
      </c>
      <c r="Y66" s="16"/>
      <c r="AA66" s="16" t="s">
        <v>85</v>
      </c>
      <c r="AB66" s="16">
        <v>3.1824463052837091</v>
      </c>
      <c r="AC66" s="16"/>
      <c r="AE66" s="16" t="s">
        <v>85</v>
      </c>
      <c r="AF66" s="16">
        <v>3.1824463052837091</v>
      </c>
      <c r="AG66" s="16"/>
    </row>
    <row r="67" spans="21:33" x14ac:dyDescent="0.25">
      <c r="U67" s="105"/>
      <c r="V67" s="105"/>
      <c r="W67" t="str">
        <f>IF(Y56 &gt; X56, "LPFT &gt; FT", "LPFT &lt; FT")</f>
        <v>LPFT &gt; FT</v>
      </c>
      <c r="X67" s="171" t="str">
        <f>IF(X63 &lt; 0.05, "Significant", "Not Significant")</f>
        <v>Not Significant</v>
      </c>
      <c r="Y67" s="171"/>
      <c r="AA67" t="str">
        <f>IF(AC56 &gt; AB56, "LPFT &gt; FT", "LPFT &lt; FT")</f>
        <v>LPFT &lt; FT</v>
      </c>
      <c r="AB67" s="171" t="str">
        <f>IF(AB63 &lt; 0.05, "Significant", "Not Significant")</f>
        <v>Not Significant</v>
      </c>
      <c r="AC67" s="171"/>
      <c r="AE67" t="str">
        <f>IF(AG56 &gt; AF56, "LPFT &gt; FT", "LPFT &lt; FT")</f>
        <v>LPFT &lt; FT</v>
      </c>
      <c r="AF67" s="171" t="str">
        <f>IF(AF63 &lt; 0.05, "Significant", "Not Significant")</f>
        <v>Not Significant</v>
      </c>
      <c r="AG67" s="171"/>
    </row>
    <row r="68" spans="21:33" x14ac:dyDescent="0.25">
      <c r="U68" s="105"/>
      <c r="V68" s="105"/>
      <c r="W68">
        <f>X63</f>
        <v>0.21793230429640503</v>
      </c>
      <c r="X68" s="194"/>
      <c r="Y68" s="194"/>
      <c r="AA68">
        <f>AB63</f>
        <v>0.15898915988542606</v>
      </c>
      <c r="AB68" s="194"/>
      <c r="AC68" s="194"/>
      <c r="AE68">
        <f>AF63</f>
        <v>0.42790204556195977</v>
      </c>
      <c r="AF68" s="194"/>
      <c r="AG68" s="194"/>
    </row>
    <row r="69" spans="21:33" x14ac:dyDescent="0.25">
      <c r="U69" s="105"/>
      <c r="V69" s="105">
        <v>50</v>
      </c>
      <c r="W69" s="195" t="s">
        <v>13</v>
      </c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</row>
    <row r="70" spans="21:33" x14ac:dyDescent="0.25">
      <c r="U70" s="105"/>
      <c r="V70" s="105"/>
      <c r="W70" s="194" t="s">
        <v>4</v>
      </c>
      <c r="X70" s="194"/>
      <c r="Y70" s="194"/>
      <c r="Z70" s="15"/>
      <c r="AA70" s="194" t="s">
        <v>5</v>
      </c>
      <c r="AB70" s="194"/>
      <c r="AC70" s="194"/>
      <c r="AD70" s="15"/>
      <c r="AE70" s="194" t="s">
        <v>70</v>
      </c>
      <c r="AF70" s="194"/>
      <c r="AG70" s="194"/>
    </row>
    <row r="71" spans="21:33" ht="15.75" thickBot="1" x14ac:dyDescent="0.3">
      <c r="U71" s="105"/>
      <c r="V71" s="105"/>
    </row>
    <row r="72" spans="21:33" x14ac:dyDescent="0.25">
      <c r="U72" s="105"/>
      <c r="V72" s="105"/>
      <c r="W72" s="17"/>
      <c r="X72" s="17" t="s">
        <v>116</v>
      </c>
      <c r="Y72" s="17" t="s">
        <v>117</v>
      </c>
      <c r="AA72" s="17"/>
      <c r="AB72" s="17" t="s">
        <v>116</v>
      </c>
      <c r="AC72" s="17" t="s">
        <v>117</v>
      </c>
      <c r="AE72" s="17"/>
      <c r="AF72" s="17" t="s">
        <v>116</v>
      </c>
      <c r="AG72" s="17" t="s">
        <v>117</v>
      </c>
    </row>
    <row r="73" spans="21:33" x14ac:dyDescent="0.25">
      <c r="U73" s="105"/>
      <c r="V73" s="105"/>
      <c r="W73" t="s">
        <v>75</v>
      </c>
      <c r="X73">
        <v>0.43603027611970846</v>
      </c>
      <c r="Y73">
        <v>0.40379096567630768</v>
      </c>
      <c r="AA73" t="s">
        <v>75</v>
      </c>
      <c r="AB73">
        <v>0.8519768267869946</v>
      </c>
      <c r="AC73">
        <v>0.85178205370903015</v>
      </c>
      <c r="AE73" t="s">
        <v>75</v>
      </c>
      <c r="AF73">
        <v>0.42030560225248276</v>
      </c>
      <c r="AG73">
        <v>0.42724344879388809</v>
      </c>
    </row>
    <row r="74" spans="21:33" x14ac:dyDescent="0.25">
      <c r="U74" s="105"/>
      <c r="V74" s="105"/>
      <c r="W74" t="s">
        <v>76</v>
      </c>
      <c r="X74">
        <v>3.9283028074003079E-3</v>
      </c>
      <c r="Y74">
        <v>6.1291563099947766E-3</v>
      </c>
      <c r="AA74" t="s">
        <v>76</v>
      </c>
      <c r="AB74">
        <v>9.2276514741810353E-4</v>
      </c>
      <c r="AC74">
        <v>8.6314158579744082E-4</v>
      </c>
      <c r="AE74" t="s">
        <v>76</v>
      </c>
      <c r="AF74">
        <v>4.2356528401230609E-3</v>
      </c>
      <c r="AG74">
        <v>1.1114598686856528E-2</v>
      </c>
    </row>
    <row r="75" spans="21:33" x14ac:dyDescent="0.25">
      <c r="U75" s="105"/>
      <c r="V75" s="105"/>
      <c r="W75" t="s">
        <v>77</v>
      </c>
      <c r="X75">
        <v>4</v>
      </c>
      <c r="Y75">
        <v>4</v>
      </c>
      <c r="AA75" t="s">
        <v>77</v>
      </c>
      <c r="AB75">
        <v>4</v>
      </c>
      <c r="AC75">
        <v>4</v>
      </c>
      <c r="AE75" t="s">
        <v>77</v>
      </c>
      <c r="AF75">
        <v>4</v>
      </c>
      <c r="AG75">
        <v>4</v>
      </c>
    </row>
    <row r="76" spans="21:33" x14ac:dyDescent="0.25">
      <c r="U76" s="105"/>
      <c r="V76" s="105"/>
      <c r="W76" t="s">
        <v>78</v>
      </c>
      <c r="X76">
        <v>0.85492640291025268</v>
      </c>
      <c r="AA76" t="s">
        <v>78</v>
      </c>
      <c r="AB76">
        <v>0.64825684372466441</v>
      </c>
      <c r="AE76" t="s">
        <v>78</v>
      </c>
      <c r="AF76">
        <v>0.97033117010347369</v>
      </c>
    </row>
    <row r="77" spans="21:33" x14ac:dyDescent="0.25">
      <c r="U77" s="105"/>
      <c r="V77" s="105"/>
      <c r="W77" t="s">
        <v>79</v>
      </c>
      <c r="X77">
        <v>0</v>
      </c>
      <c r="AA77" t="s">
        <v>79</v>
      </c>
      <c r="AB77">
        <v>0</v>
      </c>
      <c r="AE77" t="s">
        <v>79</v>
      </c>
      <c r="AF77">
        <v>0</v>
      </c>
    </row>
    <row r="78" spans="21:33" x14ac:dyDescent="0.25">
      <c r="U78" s="105"/>
      <c r="V78" s="105"/>
      <c r="W78" t="s">
        <v>80</v>
      </c>
      <c r="X78">
        <v>3</v>
      </c>
      <c r="AA78" t="s">
        <v>80</v>
      </c>
      <c r="AB78">
        <v>3</v>
      </c>
      <c r="AE78" t="s">
        <v>80</v>
      </c>
      <c r="AF78">
        <v>3</v>
      </c>
    </row>
    <row r="79" spans="21:33" x14ac:dyDescent="0.25">
      <c r="U79" s="105"/>
      <c r="V79" s="105"/>
      <c r="W79" t="s">
        <v>81</v>
      </c>
      <c r="X79">
        <v>1.5790181267264654</v>
      </c>
      <c r="AA79" t="s">
        <v>81</v>
      </c>
      <c r="AB79">
        <v>1.5534373022222799E-2</v>
      </c>
      <c r="AE79" t="s">
        <v>81</v>
      </c>
      <c r="AF79">
        <v>-0.3076079747667646</v>
      </c>
    </row>
    <row r="80" spans="21:33" x14ac:dyDescent="0.25">
      <c r="U80" s="105"/>
      <c r="V80" s="105"/>
      <c r="W80" t="s">
        <v>82</v>
      </c>
      <c r="X80">
        <v>0.1062249127626904</v>
      </c>
      <c r="AA80" t="s">
        <v>82</v>
      </c>
      <c r="AB80">
        <v>0.49429060701956351</v>
      </c>
      <c r="AE80" t="s">
        <v>82</v>
      </c>
      <c r="AF80">
        <v>0.3892497568518633</v>
      </c>
    </row>
    <row r="81" spans="21:33" x14ac:dyDescent="0.25">
      <c r="U81" s="105"/>
      <c r="V81" s="105"/>
      <c r="W81" t="s">
        <v>83</v>
      </c>
      <c r="X81">
        <v>2.3533634348018233</v>
      </c>
      <c r="AA81" t="s">
        <v>83</v>
      </c>
      <c r="AB81">
        <v>2.3533634348018233</v>
      </c>
      <c r="AE81" t="s">
        <v>83</v>
      </c>
      <c r="AF81">
        <v>2.3533634348018233</v>
      </c>
    </row>
    <row r="82" spans="21:33" x14ac:dyDescent="0.25">
      <c r="U82" s="105"/>
      <c r="V82" s="105"/>
      <c r="W82" t="s">
        <v>84</v>
      </c>
      <c r="X82">
        <v>0.2124498255253808</v>
      </c>
      <c r="AA82" t="s">
        <v>84</v>
      </c>
      <c r="AB82">
        <v>0.98858121403912702</v>
      </c>
      <c r="AE82" t="s">
        <v>84</v>
      </c>
      <c r="AF82">
        <v>0.77849951370372661</v>
      </c>
    </row>
    <row r="83" spans="21:33" ht="15.75" thickBot="1" x14ac:dyDescent="0.3">
      <c r="U83" s="105"/>
      <c r="V83" s="105"/>
      <c r="W83" s="16" t="s">
        <v>85</v>
      </c>
      <c r="X83" s="16">
        <v>3.1824463052837091</v>
      </c>
      <c r="Y83" s="16"/>
      <c r="AA83" s="16" t="s">
        <v>85</v>
      </c>
      <c r="AB83" s="16">
        <v>3.1824463052837091</v>
      </c>
      <c r="AC83" s="16"/>
      <c r="AE83" s="16" t="s">
        <v>85</v>
      </c>
      <c r="AF83" s="16">
        <v>3.1824463052837091</v>
      </c>
      <c r="AG83" s="16"/>
    </row>
    <row r="84" spans="21:33" x14ac:dyDescent="0.25">
      <c r="U84" s="105"/>
      <c r="V84" s="105"/>
      <c r="W84" t="str">
        <f>IF(Y73 &gt; X73, "LPFT &gt; FT", "LPFT &lt; FT")</f>
        <v>LPFT &lt; FT</v>
      </c>
      <c r="X84" s="171" t="str">
        <f>IF(X80 &lt; 0.05, "Significant", "Not Significant")</f>
        <v>Not Significant</v>
      </c>
      <c r="Y84" s="171"/>
      <c r="AA84" t="str">
        <f>IF(AC73 &gt; AB73, "LPFT &gt; FT", "LPFT &lt; FT")</f>
        <v>LPFT &lt; FT</v>
      </c>
      <c r="AB84" s="171" t="str">
        <f>IF(AB80 &lt; 0.05, "Significant", "Not Significant")</f>
        <v>Not Significant</v>
      </c>
      <c r="AC84" s="171"/>
      <c r="AE84" t="str">
        <f>IF(AG73 &gt; AF73, "LPFT &gt; FT", "LPFT &lt; FT")</f>
        <v>LPFT &gt; FT</v>
      </c>
      <c r="AF84" s="171" t="str">
        <f>IF(AF80 &lt; 0.05, "Significant", "Not Significant")</f>
        <v>Not Significant</v>
      </c>
      <c r="AG84" s="171"/>
    </row>
    <row r="85" spans="21:33" x14ac:dyDescent="0.25">
      <c r="U85" s="105"/>
      <c r="V85" s="105"/>
      <c r="W85">
        <f>X80</f>
        <v>0.1062249127626904</v>
      </c>
      <c r="X85" s="194"/>
      <c r="Y85" s="194"/>
      <c r="AA85">
        <f>AB80</f>
        <v>0.49429060701956351</v>
      </c>
      <c r="AB85" s="194"/>
      <c r="AC85" s="194"/>
      <c r="AE85">
        <f>AF80</f>
        <v>0.3892497568518633</v>
      </c>
      <c r="AF85" s="194"/>
      <c r="AG85" s="194"/>
    </row>
    <row r="86" spans="21:33" x14ac:dyDescent="0.25">
      <c r="U86" s="105"/>
      <c r="V86" s="105"/>
      <c r="W86" s="196" t="s">
        <v>14</v>
      </c>
      <c r="X86" s="196"/>
      <c r="Y86" s="196"/>
      <c r="Z86" s="196"/>
      <c r="AA86" s="196"/>
      <c r="AB86" s="196"/>
      <c r="AC86" s="196"/>
      <c r="AD86" s="196"/>
      <c r="AE86" s="196"/>
      <c r="AF86" s="196"/>
      <c r="AG86" s="196"/>
    </row>
    <row r="87" spans="21:33" x14ac:dyDescent="0.25">
      <c r="U87" s="105"/>
      <c r="V87" s="105"/>
      <c r="W87" s="194" t="s">
        <v>4</v>
      </c>
      <c r="X87" s="194"/>
      <c r="Y87" s="194"/>
      <c r="Z87" s="15"/>
      <c r="AA87" s="194" t="s">
        <v>5</v>
      </c>
      <c r="AB87" s="194"/>
      <c r="AC87" s="194"/>
      <c r="AD87" s="15"/>
      <c r="AE87" s="194" t="s">
        <v>70</v>
      </c>
      <c r="AF87" s="194"/>
      <c r="AG87" s="194"/>
    </row>
    <row r="88" spans="21:33" ht="15.75" thickBot="1" x14ac:dyDescent="0.3">
      <c r="U88" s="105"/>
      <c r="V88" s="105"/>
    </row>
    <row r="89" spans="21:33" x14ac:dyDescent="0.25">
      <c r="U89" s="105"/>
      <c r="V89" s="105"/>
      <c r="W89" s="17"/>
      <c r="X89" s="17" t="s">
        <v>116</v>
      </c>
      <c r="Y89" s="17" t="s">
        <v>117</v>
      </c>
      <c r="AA89" s="17"/>
      <c r="AB89" s="17" t="s">
        <v>116</v>
      </c>
      <c r="AC89" s="17" t="s">
        <v>117</v>
      </c>
      <c r="AE89" s="17"/>
      <c r="AF89" s="17" t="s">
        <v>116</v>
      </c>
      <c r="AG89" s="17" t="s">
        <v>117</v>
      </c>
    </row>
    <row r="90" spans="21:33" x14ac:dyDescent="0.25">
      <c r="U90" s="105"/>
      <c r="V90" s="105"/>
      <c r="W90" t="s">
        <v>75</v>
      </c>
      <c r="X90">
        <v>0.30541968718171097</v>
      </c>
      <c r="Y90">
        <v>0.28661725297570229</v>
      </c>
      <c r="AA90" t="s">
        <v>75</v>
      </c>
      <c r="AB90">
        <v>0.81143158674240068</v>
      </c>
      <c r="AC90">
        <v>0.82774655520915985</v>
      </c>
      <c r="AE90" t="s">
        <v>75</v>
      </c>
      <c r="AF90">
        <v>0.27903310582041679</v>
      </c>
      <c r="AG90">
        <v>0.28815952688455582</v>
      </c>
    </row>
    <row r="91" spans="21:33" x14ac:dyDescent="0.25">
      <c r="U91" s="105"/>
      <c r="V91" s="105"/>
      <c r="W91" t="s">
        <v>76</v>
      </c>
      <c r="X91">
        <v>2.5390296861057351E-3</v>
      </c>
      <c r="Y91">
        <v>7.4138791990392234E-3</v>
      </c>
      <c r="AA91" t="s">
        <v>76</v>
      </c>
      <c r="AB91">
        <v>3.7775602721743071E-4</v>
      </c>
      <c r="AC91">
        <v>8.2936900605012909E-5</v>
      </c>
      <c r="AE91" t="s">
        <v>76</v>
      </c>
      <c r="AF91">
        <v>2.3673045115185642E-3</v>
      </c>
      <c r="AG91">
        <v>2.0383190101240789E-3</v>
      </c>
    </row>
    <row r="92" spans="21:33" x14ac:dyDescent="0.25">
      <c r="U92" s="105"/>
      <c r="V92" s="105"/>
      <c r="W92" t="s">
        <v>77</v>
      </c>
      <c r="X92">
        <v>4</v>
      </c>
      <c r="Y92">
        <v>4</v>
      </c>
      <c r="AA92" t="s">
        <v>77</v>
      </c>
      <c r="AB92">
        <v>4</v>
      </c>
      <c r="AC92">
        <v>4</v>
      </c>
      <c r="AE92" t="s">
        <v>77</v>
      </c>
      <c r="AF92">
        <v>4</v>
      </c>
      <c r="AG92">
        <v>4</v>
      </c>
    </row>
    <row r="93" spans="21:33" x14ac:dyDescent="0.25">
      <c r="U93" s="105"/>
      <c r="V93" s="105"/>
      <c r="W93" t="s">
        <v>78</v>
      </c>
      <c r="X93">
        <v>0.48063275891849505</v>
      </c>
      <c r="AA93" t="s">
        <v>78</v>
      </c>
      <c r="AB93">
        <v>-0.38466131852985769</v>
      </c>
      <c r="AE93" t="s">
        <v>78</v>
      </c>
      <c r="AF93">
        <v>-8.5470486550305508E-2</v>
      </c>
    </row>
    <row r="94" spans="21:33" x14ac:dyDescent="0.25">
      <c r="U94" s="105"/>
      <c r="V94" s="105"/>
      <c r="W94" t="s">
        <v>79</v>
      </c>
      <c r="X94">
        <v>0</v>
      </c>
      <c r="AA94" t="s">
        <v>79</v>
      </c>
      <c r="AB94">
        <v>0</v>
      </c>
      <c r="AE94" t="s">
        <v>79</v>
      </c>
      <c r="AF94">
        <v>0</v>
      </c>
    </row>
    <row r="95" spans="21:33" x14ac:dyDescent="0.25">
      <c r="U95" s="105"/>
      <c r="V95" s="105"/>
      <c r="W95" t="s">
        <v>80</v>
      </c>
      <c r="X95">
        <v>3</v>
      </c>
      <c r="AA95" t="s">
        <v>80</v>
      </c>
      <c r="AB95">
        <v>3</v>
      </c>
      <c r="AE95" t="s">
        <v>80</v>
      </c>
      <c r="AF95">
        <v>3</v>
      </c>
    </row>
    <row r="96" spans="21:33" x14ac:dyDescent="0.25">
      <c r="U96" s="105"/>
      <c r="V96" s="105"/>
      <c r="W96" t="s">
        <v>81</v>
      </c>
      <c r="X96">
        <v>0.49453149845381811</v>
      </c>
      <c r="AA96" t="s">
        <v>81</v>
      </c>
      <c r="AB96">
        <v>-1.3356054125299326</v>
      </c>
      <c r="AE96" t="s">
        <v>81</v>
      </c>
      <c r="AF96">
        <v>-0.26397666648372187</v>
      </c>
    </row>
    <row r="97" spans="21:33" x14ac:dyDescent="0.25">
      <c r="U97" s="105"/>
      <c r="V97" s="105"/>
      <c r="W97" t="s">
        <v>82</v>
      </c>
      <c r="X97">
        <v>0.32743948873051587</v>
      </c>
      <c r="AA97" t="s">
        <v>82</v>
      </c>
      <c r="AB97">
        <v>0.13698365988317587</v>
      </c>
      <c r="AE97" t="s">
        <v>82</v>
      </c>
      <c r="AF97">
        <v>0.40444642341982084</v>
      </c>
    </row>
    <row r="98" spans="21:33" x14ac:dyDescent="0.25">
      <c r="U98" s="105"/>
      <c r="V98" s="105"/>
      <c r="W98" t="s">
        <v>83</v>
      </c>
      <c r="X98">
        <v>2.3533634348018233</v>
      </c>
      <c r="AA98" t="s">
        <v>83</v>
      </c>
      <c r="AB98">
        <v>2.3533634348018233</v>
      </c>
      <c r="AE98" t="s">
        <v>83</v>
      </c>
      <c r="AF98">
        <v>2.3533634348018233</v>
      </c>
    </row>
    <row r="99" spans="21:33" x14ac:dyDescent="0.25">
      <c r="U99" s="105"/>
      <c r="V99" s="105"/>
      <c r="W99" t="s">
        <v>84</v>
      </c>
      <c r="X99">
        <v>0.65487897746103174</v>
      </c>
      <c r="AA99" t="s">
        <v>84</v>
      </c>
      <c r="AB99">
        <v>0.27396731976635175</v>
      </c>
      <c r="AE99" t="s">
        <v>84</v>
      </c>
      <c r="AF99">
        <v>0.80889284683964169</v>
      </c>
    </row>
    <row r="100" spans="21:33" ht="15.75" thickBot="1" x14ac:dyDescent="0.3">
      <c r="U100" s="105"/>
      <c r="V100" s="105"/>
      <c r="W100" s="16" t="s">
        <v>85</v>
      </c>
      <c r="X100" s="16">
        <v>3.1824463052837091</v>
      </c>
      <c r="Y100" s="16"/>
      <c r="AA100" s="16" t="s">
        <v>85</v>
      </c>
      <c r="AB100" s="16">
        <v>3.1824463052837091</v>
      </c>
      <c r="AC100" s="16"/>
      <c r="AE100" s="16" t="s">
        <v>85</v>
      </c>
      <c r="AF100" s="16">
        <v>3.1824463052837091</v>
      </c>
      <c r="AG100" s="16"/>
    </row>
    <row r="101" spans="21:33" x14ac:dyDescent="0.25">
      <c r="U101" s="105"/>
      <c r="V101" s="105"/>
      <c r="W101" t="str">
        <f>IF(Y90 &gt; X90, "LPFT &gt; FT", "LPFT &lt; FT")</f>
        <v>LPFT &lt; FT</v>
      </c>
      <c r="X101" s="171" t="str">
        <f>IF(X97 &lt; 0.05, "Significant", "Not Significant")</f>
        <v>Not Significant</v>
      </c>
      <c r="Y101" s="171"/>
      <c r="AA101" t="str">
        <f>IF(AC90 &gt; AB90, "LPFT &gt; FT", "LPFT &lt; FT")</f>
        <v>LPFT &gt; FT</v>
      </c>
      <c r="AB101" s="171" t="str">
        <f>IF(AB97 &lt; 0.05, "Significant", "Not Significant")</f>
        <v>Not Significant</v>
      </c>
      <c r="AC101" s="171"/>
      <c r="AE101" t="str">
        <f>IF(AG90 &gt; AF90, "LPFT &gt; FT", "LPFT &lt; FT")</f>
        <v>LPFT &gt; FT</v>
      </c>
      <c r="AF101" s="171" t="str">
        <f>IF(AF97 &lt; 0.05, "Significant", "Not Significant")</f>
        <v>Not Significant</v>
      </c>
      <c r="AG101" s="171"/>
    </row>
    <row r="102" spans="21:33" x14ac:dyDescent="0.25">
      <c r="U102" s="105"/>
      <c r="V102" s="105"/>
      <c r="W102">
        <f>X97</f>
        <v>0.32743948873051587</v>
      </c>
      <c r="X102" s="194"/>
      <c r="Y102" s="194"/>
      <c r="AA102">
        <f>AB97</f>
        <v>0.13698365988317587</v>
      </c>
      <c r="AB102" s="194"/>
      <c r="AC102" s="194"/>
      <c r="AE102">
        <f>AF97</f>
        <v>0.40444642341982084</v>
      </c>
      <c r="AF102" s="194"/>
      <c r="AG102" s="194"/>
    </row>
    <row r="103" spans="21:33" x14ac:dyDescent="0.25">
      <c r="U103" s="105" t="s">
        <v>119</v>
      </c>
      <c r="V103" s="105">
        <v>18</v>
      </c>
      <c r="W103" s="195" t="s">
        <v>13</v>
      </c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</row>
    <row r="104" spans="21:33" x14ac:dyDescent="0.25">
      <c r="U104" s="105"/>
      <c r="V104" s="105"/>
      <c r="W104" s="194" t="s">
        <v>4</v>
      </c>
      <c r="X104" s="194"/>
      <c r="Y104" s="194"/>
      <c r="Z104" s="15"/>
      <c r="AA104" s="194" t="s">
        <v>5</v>
      </c>
      <c r="AB104" s="194"/>
      <c r="AC104" s="194"/>
      <c r="AD104" s="15"/>
      <c r="AE104" s="194" t="s">
        <v>70</v>
      </c>
      <c r="AF104" s="194"/>
      <c r="AG104" s="194"/>
    </row>
    <row r="105" spans="21:33" ht="15.75" thickBot="1" x14ac:dyDescent="0.3">
      <c r="U105" s="105"/>
      <c r="V105" s="105"/>
    </row>
    <row r="106" spans="21:33" x14ac:dyDescent="0.25">
      <c r="U106" s="105"/>
      <c r="V106" s="105"/>
      <c r="W106" s="17"/>
      <c r="X106" s="17" t="s">
        <v>116</v>
      </c>
      <c r="Y106" s="17" t="s">
        <v>117</v>
      </c>
      <c r="AA106" s="17"/>
      <c r="AB106" s="17" t="s">
        <v>116</v>
      </c>
      <c r="AC106" s="17" t="s">
        <v>117</v>
      </c>
      <c r="AE106" s="17"/>
      <c r="AF106" s="17" t="s">
        <v>116</v>
      </c>
      <c r="AG106" s="17" t="s">
        <v>117</v>
      </c>
    </row>
    <row r="107" spans="21:33" x14ac:dyDescent="0.25">
      <c r="U107" s="105"/>
      <c r="V107" s="105"/>
      <c r="W107" t="s">
        <v>75</v>
      </c>
      <c r="X107">
        <v>0.46814570575952474</v>
      </c>
      <c r="Y107">
        <v>0.50014699250459671</v>
      </c>
      <c r="AA107" t="s">
        <v>75</v>
      </c>
      <c r="AB107">
        <v>0.86854425072669927</v>
      </c>
      <c r="AC107">
        <v>0.88044886291027069</v>
      </c>
      <c r="AE107" t="s">
        <v>75</v>
      </c>
      <c r="AF107">
        <v>0.49195814132690374</v>
      </c>
      <c r="AG107">
        <v>0.50125744193792343</v>
      </c>
    </row>
    <row r="108" spans="21:33" x14ac:dyDescent="0.25">
      <c r="U108" s="105"/>
      <c r="V108" s="105"/>
      <c r="W108" t="s">
        <v>76</v>
      </c>
      <c r="X108">
        <v>1.9487239027826152E-3</v>
      </c>
      <c r="Y108">
        <v>1.9430516040150152E-3</v>
      </c>
      <c r="AA108" t="s">
        <v>76</v>
      </c>
      <c r="AB108">
        <v>5.7018354553997933E-4</v>
      </c>
      <c r="AC108">
        <v>9.0946308914012042E-4</v>
      </c>
      <c r="AE108" t="s">
        <v>76</v>
      </c>
      <c r="AF108">
        <v>2.4109510591495934E-3</v>
      </c>
      <c r="AG108">
        <v>6.8430027464082928E-3</v>
      </c>
    </row>
    <row r="109" spans="21:33" x14ac:dyDescent="0.25">
      <c r="U109" s="105"/>
      <c r="V109" s="105"/>
      <c r="W109" t="s">
        <v>77</v>
      </c>
      <c r="X109">
        <v>4</v>
      </c>
      <c r="Y109">
        <v>4</v>
      </c>
      <c r="AA109" t="s">
        <v>77</v>
      </c>
      <c r="AB109">
        <v>4</v>
      </c>
      <c r="AC109">
        <v>4</v>
      </c>
      <c r="AE109" t="s">
        <v>77</v>
      </c>
      <c r="AF109">
        <v>4</v>
      </c>
      <c r="AG109">
        <v>4</v>
      </c>
    </row>
    <row r="110" spans="21:33" x14ac:dyDescent="0.25">
      <c r="U110" s="105"/>
      <c r="V110" s="105"/>
      <c r="W110" t="s">
        <v>78</v>
      </c>
      <c r="X110">
        <v>-0.62822990404361678</v>
      </c>
      <c r="AA110" t="s">
        <v>78</v>
      </c>
      <c r="AB110">
        <v>0.99805059403766505</v>
      </c>
      <c r="AE110" t="s">
        <v>78</v>
      </c>
      <c r="AF110">
        <v>0.73260867726429613</v>
      </c>
    </row>
    <row r="111" spans="21:33" x14ac:dyDescent="0.25">
      <c r="U111" s="105"/>
      <c r="V111" s="105"/>
      <c r="W111" t="s">
        <v>79</v>
      </c>
      <c r="X111">
        <v>0</v>
      </c>
      <c r="AA111" t="s">
        <v>79</v>
      </c>
      <c r="AB111">
        <v>0</v>
      </c>
      <c r="AE111" t="s">
        <v>79</v>
      </c>
      <c r="AF111">
        <v>0</v>
      </c>
    </row>
    <row r="112" spans="21:33" x14ac:dyDescent="0.25">
      <c r="U112" s="105"/>
      <c r="V112" s="105"/>
      <c r="W112" t="s">
        <v>80</v>
      </c>
      <c r="X112">
        <v>3</v>
      </c>
      <c r="AA112" t="s">
        <v>80</v>
      </c>
      <c r="AB112">
        <v>3</v>
      </c>
      <c r="AE112" t="s">
        <v>80</v>
      </c>
      <c r="AF112">
        <v>3</v>
      </c>
    </row>
    <row r="113" spans="21:33" x14ac:dyDescent="0.25">
      <c r="U113" s="105"/>
      <c r="V113" s="105"/>
      <c r="W113" t="s">
        <v>81</v>
      </c>
      <c r="X113">
        <v>-0.80401800128918433</v>
      </c>
      <c r="AA113" t="s">
        <v>81</v>
      </c>
      <c r="AB113">
        <v>-3.6637912286595609</v>
      </c>
      <c r="AE113" t="s">
        <v>81</v>
      </c>
      <c r="AF113">
        <v>-0.32363520139477325</v>
      </c>
    </row>
    <row r="114" spans="21:33" x14ac:dyDescent="0.25">
      <c r="U114" s="105"/>
      <c r="V114" s="105"/>
      <c r="W114" t="s">
        <v>82</v>
      </c>
      <c r="X114">
        <v>0.24009808951067535</v>
      </c>
      <c r="AA114" t="s">
        <v>82</v>
      </c>
      <c r="AB114">
        <v>1.7575976980915047E-2</v>
      </c>
      <c r="AE114" t="s">
        <v>82</v>
      </c>
      <c r="AF114">
        <v>0.38373153093381218</v>
      </c>
    </row>
    <row r="115" spans="21:33" x14ac:dyDescent="0.25">
      <c r="U115" s="105"/>
      <c r="V115" s="105"/>
      <c r="W115" t="s">
        <v>83</v>
      </c>
      <c r="X115">
        <v>2.3533634348018233</v>
      </c>
      <c r="AA115" t="s">
        <v>83</v>
      </c>
      <c r="AB115">
        <v>2.3533634348018233</v>
      </c>
      <c r="AE115" t="s">
        <v>83</v>
      </c>
      <c r="AF115">
        <v>2.3533634348018233</v>
      </c>
    </row>
    <row r="116" spans="21:33" x14ac:dyDescent="0.25">
      <c r="U116" s="105"/>
      <c r="V116" s="105"/>
      <c r="W116" t="s">
        <v>84</v>
      </c>
      <c r="X116">
        <v>0.4801961790213507</v>
      </c>
      <c r="AA116" t="s">
        <v>84</v>
      </c>
      <c r="AB116">
        <v>3.5151953961830094E-2</v>
      </c>
      <c r="AE116" t="s">
        <v>84</v>
      </c>
      <c r="AF116">
        <v>0.76746306186762436</v>
      </c>
    </row>
    <row r="117" spans="21:33" ht="15.75" thickBot="1" x14ac:dyDescent="0.3">
      <c r="U117" s="105"/>
      <c r="V117" s="105"/>
      <c r="W117" s="16" t="s">
        <v>85</v>
      </c>
      <c r="X117" s="16">
        <v>3.1824463052837091</v>
      </c>
      <c r="Y117" s="16"/>
      <c r="AA117" s="16" t="s">
        <v>85</v>
      </c>
      <c r="AB117" s="16">
        <v>3.1824463052837091</v>
      </c>
      <c r="AC117" s="16"/>
      <c r="AE117" s="16" t="s">
        <v>85</v>
      </c>
      <c r="AF117" s="16">
        <v>3.1824463052837091</v>
      </c>
      <c r="AG117" s="16"/>
    </row>
    <row r="118" spans="21:33" x14ac:dyDescent="0.25">
      <c r="U118" s="105"/>
      <c r="V118" s="105"/>
      <c r="W118" t="str">
        <f>IF(Y107 &gt; X107, "LPFT &gt; FT", "LPFT &lt; FT")</f>
        <v>LPFT &gt; FT</v>
      </c>
      <c r="X118" s="171" t="str">
        <f>IF(X114 &lt; 0.05, "Significant", "Not Significant")</f>
        <v>Not Significant</v>
      </c>
      <c r="Y118" s="171"/>
      <c r="AA118" t="str">
        <f>IF(AC107 &gt; AB107, "LPFT &gt; FT", "LPFT &lt; FT")</f>
        <v>LPFT &gt; FT</v>
      </c>
      <c r="AB118" s="171" t="str">
        <f>IF(AB114 &lt; 0.05, "Significant", "Not Significant")</f>
        <v>Significant</v>
      </c>
      <c r="AC118" s="171"/>
      <c r="AE118" t="str">
        <f>IF(AG107 &gt; AF107, "LPFT &gt; FT", "LPFT &lt; FT")</f>
        <v>LPFT &gt; FT</v>
      </c>
      <c r="AF118" s="171" t="str">
        <f>IF(AF114 &lt; 0.05, "Significant", "Not Significant")</f>
        <v>Not Significant</v>
      </c>
      <c r="AG118" s="171"/>
    </row>
    <row r="119" spans="21:33" x14ac:dyDescent="0.25">
      <c r="U119" s="105"/>
      <c r="V119" s="105"/>
      <c r="W119">
        <f>X114</f>
        <v>0.24009808951067535</v>
      </c>
      <c r="X119" s="194"/>
      <c r="Y119" s="194"/>
      <c r="AA119">
        <f>AB114</f>
        <v>1.7575976980915047E-2</v>
      </c>
      <c r="AB119" s="194"/>
      <c r="AC119" s="194"/>
      <c r="AE119">
        <f>AF114</f>
        <v>0.38373153093381218</v>
      </c>
      <c r="AF119" s="194"/>
      <c r="AG119" s="194"/>
    </row>
    <row r="120" spans="21:33" x14ac:dyDescent="0.25">
      <c r="U120" s="105"/>
      <c r="V120" s="105"/>
      <c r="W120" s="196" t="s">
        <v>14</v>
      </c>
      <c r="X120" s="196"/>
      <c r="Y120" s="196"/>
      <c r="Z120" s="196"/>
      <c r="AA120" s="196"/>
      <c r="AB120" s="196"/>
      <c r="AC120" s="196"/>
      <c r="AD120" s="196"/>
      <c r="AE120" s="196"/>
      <c r="AF120" s="196"/>
      <c r="AG120" s="196"/>
    </row>
    <row r="121" spans="21:33" x14ac:dyDescent="0.25">
      <c r="U121" s="105"/>
      <c r="V121" s="105"/>
      <c r="W121" s="194" t="s">
        <v>4</v>
      </c>
      <c r="X121" s="194"/>
      <c r="Y121" s="194"/>
      <c r="Z121" s="15"/>
      <c r="AA121" s="194" t="s">
        <v>5</v>
      </c>
      <c r="AB121" s="194"/>
      <c r="AC121" s="194"/>
      <c r="AD121" s="15"/>
      <c r="AE121" s="194" t="s">
        <v>70</v>
      </c>
      <c r="AF121" s="194"/>
      <c r="AG121" s="194"/>
    </row>
    <row r="122" spans="21:33" ht="15.75" thickBot="1" x14ac:dyDescent="0.3">
      <c r="U122" s="105"/>
      <c r="V122" s="105"/>
    </row>
    <row r="123" spans="21:33" x14ac:dyDescent="0.25">
      <c r="U123" s="105"/>
      <c r="V123" s="105"/>
      <c r="W123" s="17"/>
      <c r="X123" s="17" t="s">
        <v>116</v>
      </c>
      <c r="Y123" s="17" t="s">
        <v>117</v>
      </c>
      <c r="AA123" s="17"/>
      <c r="AB123" s="17" t="s">
        <v>116</v>
      </c>
      <c r="AC123" s="17" t="s">
        <v>117</v>
      </c>
      <c r="AE123" s="17"/>
      <c r="AF123" s="17" t="s">
        <v>116</v>
      </c>
      <c r="AG123" s="17" t="s">
        <v>117</v>
      </c>
    </row>
    <row r="124" spans="21:33" x14ac:dyDescent="0.25">
      <c r="U124" s="105"/>
      <c r="V124" s="105"/>
      <c r="W124" t="s">
        <v>75</v>
      </c>
      <c r="X124">
        <v>0.41065714508295026</v>
      </c>
      <c r="Y124">
        <v>0.45303980261087418</v>
      </c>
      <c r="AA124" t="s">
        <v>75</v>
      </c>
      <c r="AB124">
        <v>0.86517104506492581</v>
      </c>
      <c r="AC124">
        <v>0.85977613925933838</v>
      </c>
      <c r="AE124" t="s">
        <v>75</v>
      </c>
      <c r="AF124">
        <v>0.41395059973001452</v>
      </c>
      <c r="AG124">
        <v>0.4473424032330513</v>
      </c>
    </row>
    <row r="125" spans="21:33" x14ac:dyDescent="0.25">
      <c r="U125" s="105"/>
      <c r="V125" s="105"/>
      <c r="W125" t="s">
        <v>76</v>
      </c>
      <c r="X125">
        <v>4.8743442505051358E-4</v>
      </c>
      <c r="Y125">
        <v>8.3017938769303079E-4</v>
      </c>
      <c r="AA125" t="s">
        <v>76</v>
      </c>
      <c r="AB125">
        <v>1.8117651044015458E-5</v>
      </c>
      <c r="AC125">
        <v>2.5358712918688298E-4</v>
      </c>
      <c r="AE125" t="s">
        <v>76</v>
      </c>
      <c r="AF125">
        <v>6.2209241450460098E-4</v>
      </c>
      <c r="AG125">
        <v>6.3642361309512729E-4</v>
      </c>
    </row>
    <row r="126" spans="21:33" x14ac:dyDescent="0.25">
      <c r="U126" s="105"/>
      <c r="V126" s="105"/>
      <c r="W126" t="s">
        <v>77</v>
      </c>
      <c r="X126">
        <v>4</v>
      </c>
      <c r="Y126">
        <v>4</v>
      </c>
      <c r="AA126" t="s">
        <v>77</v>
      </c>
      <c r="AB126">
        <v>4</v>
      </c>
      <c r="AC126">
        <v>4</v>
      </c>
      <c r="AE126" t="s">
        <v>77</v>
      </c>
      <c r="AF126">
        <v>4</v>
      </c>
      <c r="AG126">
        <v>4</v>
      </c>
    </row>
    <row r="127" spans="21:33" x14ac:dyDescent="0.25">
      <c r="U127" s="105"/>
      <c r="V127" s="105"/>
      <c r="W127" t="s">
        <v>78</v>
      </c>
      <c r="X127">
        <v>-0.24100456344697951</v>
      </c>
      <c r="AA127" t="s">
        <v>78</v>
      </c>
      <c r="AB127">
        <v>2.5228432630269585E-2</v>
      </c>
      <c r="AE127" t="s">
        <v>78</v>
      </c>
      <c r="AF127">
        <v>0.35505716508038998</v>
      </c>
    </row>
    <row r="128" spans="21:33" x14ac:dyDescent="0.25">
      <c r="U128" s="105"/>
      <c r="V128" s="105"/>
      <c r="W128" t="s">
        <v>79</v>
      </c>
      <c r="X128">
        <v>0</v>
      </c>
      <c r="AA128" t="s">
        <v>79</v>
      </c>
      <c r="AB128">
        <v>0</v>
      </c>
      <c r="AE128" t="s">
        <v>79</v>
      </c>
      <c r="AF128">
        <v>0</v>
      </c>
    </row>
    <row r="129" spans="21:33" x14ac:dyDescent="0.25">
      <c r="U129" s="105"/>
      <c r="V129" s="105"/>
      <c r="W129" t="s">
        <v>80</v>
      </c>
      <c r="X129">
        <v>3</v>
      </c>
      <c r="AA129" t="s">
        <v>80</v>
      </c>
      <c r="AB129">
        <v>3</v>
      </c>
      <c r="AE129" t="s">
        <v>80</v>
      </c>
      <c r="AF129">
        <v>3</v>
      </c>
    </row>
    <row r="130" spans="21:33" x14ac:dyDescent="0.25">
      <c r="U130" s="105"/>
      <c r="V130" s="105"/>
      <c r="W130" t="s">
        <v>81</v>
      </c>
      <c r="X130">
        <v>-2.1032650976209988</v>
      </c>
      <c r="AA130" t="s">
        <v>81</v>
      </c>
      <c r="AB130">
        <v>0.6587428275075724</v>
      </c>
      <c r="AE130" t="s">
        <v>81</v>
      </c>
      <c r="AF130">
        <v>-2.3440784068522422</v>
      </c>
    </row>
    <row r="131" spans="21:33" x14ac:dyDescent="0.25">
      <c r="U131" s="105"/>
      <c r="V131" s="105"/>
      <c r="W131" t="s">
        <v>82</v>
      </c>
      <c r="X131">
        <v>6.3086256949395014E-2</v>
      </c>
      <c r="AA131" t="s">
        <v>82</v>
      </c>
      <c r="AB131">
        <v>0.27855325072346904</v>
      </c>
      <c r="AE131" t="s">
        <v>82</v>
      </c>
      <c r="AF131">
        <v>5.042347332359734E-2</v>
      </c>
    </row>
    <row r="132" spans="21:33" x14ac:dyDescent="0.25">
      <c r="U132" s="105"/>
      <c r="V132" s="105"/>
      <c r="W132" t="s">
        <v>83</v>
      </c>
      <c r="X132">
        <v>2.3533634348018233</v>
      </c>
      <c r="AA132" t="s">
        <v>83</v>
      </c>
      <c r="AB132">
        <v>2.3533634348018233</v>
      </c>
      <c r="AE132" t="s">
        <v>83</v>
      </c>
      <c r="AF132">
        <v>2.3533634348018233</v>
      </c>
    </row>
    <row r="133" spans="21:33" x14ac:dyDescent="0.25">
      <c r="U133" s="105"/>
      <c r="V133" s="105"/>
      <c r="W133" t="s">
        <v>84</v>
      </c>
      <c r="X133">
        <v>0.12617251389879003</v>
      </c>
      <c r="AA133" t="s">
        <v>84</v>
      </c>
      <c r="AB133">
        <v>0.55710650144693807</v>
      </c>
      <c r="AE133" t="s">
        <v>84</v>
      </c>
      <c r="AF133">
        <v>0.10084694664719468</v>
      </c>
    </row>
    <row r="134" spans="21:33" ht="15.75" thickBot="1" x14ac:dyDescent="0.3">
      <c r="U134" s="105"/>
      <c r="V134" s="105"/>
      <c r="W134" s="16" t="s">
        <v>85</v>
      </c>
      <c r="X134" s="16">
        <v>3.1824463052837091</v>
      </c>
      <c r="Y134" s="16"/>
      <c r="AA134" s="16" t="s">
        <v>85</v>
      </c>
      <c r="AB134" s="16">
        <v>3.1824463052837091</v>
      </c>
      <c r="AC134" s="16"/>
      <c r="AE134" s="16" t="s">
        <v>85</v>
      </c>
      <c r="AF134" s="16">
        <v>3.1824463052837091</v>
      </c>
      <c r="AG134" s="16"/>
    </row>
    <row r="135" spans="21:33" x14ac:dyDescent="0.25">
      <c r="U135" s="105"/>
      <c r="V135" s="105"/>
      <c r="W135" t="str">
        <f>IF(Y124 &gt; X124, "LPFT &gt; FT", "LPFT &lt; FT")</f>
        <v>LPFT &gt; FT</v>
      </c>
      <c r="X135" s="171" t="str">
        <f>IF(X131 &lt; 0.05, "Significant", "Not Significant")</f>
        <v>Not Significant</v>
      </c>
      <c r="Y135" s="171"/>
      <c r="AA135" t="str">
        <f>IF(AC124 &gt; AB124, "LPFT &gt; FT", "LPFT &lt; FT")</f>
        <v>LPFT &lt; FT</v>
      </c>
      <c r="AB135" s="171" t="str">
        <f>IF(AB131 &lt; 0.05, "Significant", "Not Significant")</f>
        <v>Not Significant</v>
      </c>
      <c r="AC135" s="171"/>
      <c r="AE135" t="str">
        <f>IF(AG124 &gt; AF124, "LPFT &gt; FT", "LPFT &lt; FT")</f>
        <v>LPFT &gt; FT</v>
      </c>
      <c r="AF135" s="171" t="str">
        <f>IF(AF131 &lt; 0.05, "Significant", "Not Significant")</f>
        <v>Not Significant</v>
      </c>
      <c r="AG135" s="171"/>
    </row>
    <row r="136" spans="21:33" x14ac:dyDescent="0.25">
      <c r="U136" s="105"/>
      <c r="V136" s="105"/>
      <c r="W136">
        <f>X131</f>
        <v>6.3086256949395014E-2</v>
      </c>
      <c r="X136" s="194"/>
      <c r="Y136" s="194"/>
      <c r="AA136">
        <f>AB131</f>
        <v>0.27855325072346904</v>
      </c>
      <c r="AB136" s="194"/>
      <c r="AC136" s="194"/>
      <c r="AE136">
        <f>AF131</f>
        <v>5.042347332359734E-2</v>
      </c>
      <c r="AF136" s="194"/>
      <c r="AG136" s="194"/>
    </row>
    <row r="137" spans="21:33" x14ac:dyDescent="0.25">
      <c r="U137" s="105"/>
      <c r="V137" s="105">
        <v>34</v>
      </c>
      <c r="W137" s="195" t="s">
        <v>13</v>
      </c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</row>
    <row r="138" spans="21:33" x14ac:dyDescent="0.25">
      <c r="U138" s="105"/>
      <c r="V138" s="105"/>
      <c r="W138" s="194" t="s">
        <v>4</v>
      </c>
      <c r="X138" s="194"/>
      <c r="Y138" s="194"/>
      <c r="Z138" s="15"/>
      <c r="AA138" s="194" t="s">
        <v>5</v>
      </c>
      <c r="AB138" s="194"/>
      <c r="AC138" s="194"/>
      <c r="AD138" s="15"/>
      <c r="AE138" s="194" t="s">
        <v>70</v>
      </c>
      <c r="AF138" s="194"/>
      <c r="AG138" s="194"/>
    </row>
    <row r="139" spans="21:33" ht="15.75" thickBot="1" x14ac:dyDescent="0.3">
      <c r="U139" s="105"/>
      <c r="V139" s="105"/>
    </row>
    <row r="140" spans="21:33" x14ac:dyDescent="0.25">
      <c r="U140" s="105"/>
      <c r="V140" s="105"/>
      <c r="W140" s="17"/>
      <c r="X140" s="17" t="s">
        <v>116</v>
      </c>
      <c r="Y140" s="17" t="s">
        <v>117</v>
      </c>
      <c r="AA140" s="17"/>
      <c r="AB140" s="17" t="s">
        <v>116</v>
      </c>
      <c r="AC140" s="17" t="s">
        <v>117</v>
      </c>
      <c r="AE140" s="17"/>
      <c r="AF140" s="17" t="s">
        <v>116</v>
      </c>
      <c r="AG140" s="17" t="s">
        <v>117</v>
      </c>
    </row>
    <row r="141" spans="21:33" x14ac:dyDescent="0.25">
      <c r="U141" s="105"/>
      <c r="V141" s="105"/>
      <c r="W141" t="s">
        <v>75</v>
      </c>
      <c r="X141">
        <v>0.46222216635942426</v>
      </c>
      <c r="Y141">
        <v>0.4933343231678009</v>
      </c>
      <c r="AA141" t="s">
        <v>75</v>
      </c>
      <c r="AB141">
        <v>0.87625950574874856</v>
      </c>
      <c r="AC141">
        <v>0.87825311720371246</v>
      </c>
      <c r="AE141" t="s">
        <v>75</v>
      </c>
      <c r="AF141">
        <v>0.45852765440940801</v>
      </c>
      <c r="AG141">
        <v>0.49337407946586609</v>
      </c>
    </row>
    <row r="142" spans="21:33" x14ac:dyDescent="0.25">
      <c r="U142" s="105"/>
      <c r="V142" s="105"/>
      <c r="W142" t="s">
        <v>76</v>
      </c>
      <c r="X142">
        <v>3.8808570685798793E-3</v>
      </c>
      <c r="Y142">
        <v>2.1324607231025064E-4</v>
      </c>
      <c r="AA142" t="s">
        <v>76</v>
      </c>
      <c r="AB142">
        <v>4.4072095121330812E-4</v>
      </c>
      <c r="AC142">
        <v>2.6299823847934317E-4</v>
      </c>
      <c r="AE142" t="s">
        <v>76</v>
      </c>
      <c r="AF142">
        <v>4.2304529253171337E-3</v>
      </c>
      <c r="AG142">
        <v>1.2541801186423858E-3</v>
      </c>
    </row>
    <row r="143" spans="21:33" x14ac:dyDescent="0.25">
      <c r="U143" s="105"/>
      <c r="V143" s="105"/>
      <c r="W143" t="s">
        <v>77</v>
      </c>
      <c r="X143">
        <v>4</v>
      </c>
      <c r="Y143">
        <v>4</v>
      </c>
      <c r="AA143" t="s">
        <v>77</v>
      </c>
      <c r="AB143">
        <v>4</v>
      </c>
      <c r="AC143">
        <v>4</v>
      </c>
      <c r="AE143" t="s">
        <v>77</v>
      </c>
      <c r="AF143">
        <v>4</v>
      </c>
      <c r="AG143">
        <v>4</v>
      </c>
    </row>
    <row r="144" spans="21:33" x14ac:dyDescent="0.25">
      <c r="U144" s="105"/>
      <c r="V144" s="105"/>
      <c r="W144" t="s">
        <v>78</v>
      </c>
      <c r="X144">
        <v>0.56318699967507913</v>
      </c>
      <c r="AA144" t="s">
        <v>78</v>
      </c>
      <c r="AB144">
        <v>0.95544285826647957</v>
      </c>
      <c r="AE144" t="s">
        <v>78</v>
      </c>
      <c r="AF144">
        <v>0.97032432107297861</v>
      </c>
    </row>
    <row r="145" spans="21:33" x14ac:dyDescent="0.25">
      <c r="U145" s="105"/>
      <c r="V145" s="105"/>
      <c r="W145" t="s">
        <v>79</v>
      </c>
      <c r="X145">
        <v>0</v>
      </c>
      <c r="AA145" t="s">
        <v>79</v>
      </c>
      <c r="AB145">
        <v>0</v>
      </c>
      <c r="AE145" t="s">
        <v>79</v>
      </c>
      <c r="AF145">
        <v>0</v>
      </c>
    </row>
    <row r="146" spans="21:33" x14ac:dyDescent="0.25">
      <c r="U146" s="105"/>
      <c r="V146" s="105"/>
      <c r="W146" t="s">
        <v>80</v>
      </c>
      <c r="X146">
        <v>3</v>
      </c>
      <c r="AA146" t="s">
        <v>80</v>
      </c>
      <c r="AB146">
        <v>3</v>
      </c>
      <c r="AE146" t="s">
        <v>80</v>
      </c>
      <c r="AF146">
        <v>3</v>
      </c>
    </row>
    <row r="147" spans="21:33" x14ac:dyDescent="0.25">
      <c r="U147" s="105"/>
      <c r="V147" s="105"/>
      <c r="W147" t="s">
        <v>81</v>
      </c>
      <c r="X147">
        <v>-1.123133849714091</v>
      </c>
      <c r="AA147" t="s">
        <v>81</v>
      </c>
      <c r="AB147">
        <v>-0.5469098743816323</v>
      </c>
      <c r="AE147" t="s">
        <v>81</v>
      </c>
      <c r="AF147">
        <v>-2.1880733462073225</v>
      </c>
    </row>
    <row r="148" spans="21:33" x14ac:dyDescent="0.25">
      <c r="U148" s="105"/>
      <c r="V148" s="105"/>
      <c r="W148" t="s">
        <v>82</v>
      </c>
      <c r="X148">
        <v>0.17157589276524268</v>
      </c>
      <c r="AA148" t="s">
        <v>82</v>
      </c>
      <c r="AB148">
        <v>0.31124815632741093</v>
      </c>
      <c r="AE148" t="s">
        <v>82</v>
      </c>
      <c r="AF148">
        <v>5.8232165538885411E-2</v>
      </c>
    </row>
    <row r="149" spans="21:33" x14ac:dyDescent="0.25">
      <c r="U149" s="105"/>
      <c r="V149" s="105"/>
      <c r="W149" t="s">
        <v>83</v>
      </c>
      <c r="X149">
        <v>2.3533634348018233</v>
      </c>
      <c r="AA149" t="s">
        <v>83</v>
      </c>
      <c r="AB149">
        <v>2.3533634348018233</v>
      </c>
      <c r="AE149" t="s">
        <v>83</v>
      </c>
      <c r="AF149">
        <v>2.3533634348018233</v>
      </c>
    </row>
    <row r="150" spans="21:33" x14ac:dyDescent="0.25">
      <c r="U150" s="105"/>
      <c r="V150" s="105"/>
      <c r="W150" t="s">
        <v>84</v>
      </c>
      <c r="X150">
        <v>0.34315178553048536</v>
      </c>
      <c r="AA150" t="s">
        <v>84</v>
      </c>
      <c r="AB150">
        <v>0.62249631265482186</v>
      </c>
      <c r="AE150" t="s">
        <v>84</v>
      </c>
      <c r="AF150">
        <v>0.11646433107777082</v>
      </c>
    </row>
    <row r="151" spans="21:33" ht="15.75" thickBot="1" x14ac:dyDescent="0.3">
      <c r="U151" s="105"/>
      <c r="V151" s="105"/>
      <c r="W151" s="16" t="s">
        <v>85</v>
      </c>
      <c r="X151" s="16">
        <v>3.1824463052837091</v>
      </c>
      <c r="Y151" s="16"/>
      <c r="AA151" s="16" t="s">
        <v>85</v>
      </c>
      <c r="AB151" s="16">
        <v>3.1824463052837091</v>
      </c>
      <c r="AC151" s="16"/>
      <c r="AE151" s="16" t="s">
        <v>85</v>
      </c>
      <c r="AF151" s="16">
        <v>3.1824463052837091</v>
      </c>
      <c r="AG151" s="16"/>
    </row>
    <row r="152" spans="21:33" x14ac:dyDescent="0.25">
      <c r="U152" s="105"/>
      <c r="V152" s="105"/>
      <c r="W152" t="str">
        <f>IF(Y141 &gt; X141, "LPFT &gt; FT", "LPFT &lt; FT")</f>
        <v>LPFT &gt; FT</v>
      </c>
      <c r="X152" s="171" t="str">
        <f>IF(X148 &lt; 0.05, "Significant", "Not Significant")</f>
        <v>Not Significant</v>
      </c>
      <c r="Y152" s="171"/>
      <c r="AA152" t="str">
        <f>IF(AC141 &gt; AB141, "LPFT &gt; FT", "LPFT &lt; FT")</f>
        <v>LPFT &gt; FT</v>
      </c>
      <c r="AB152" s="171" t="str">
        <f>IF(AB148 &lt; 0.05, "Significant", "Not Significant")</f>
        <v>Not Significant</v>
      </c>
      <c r="AC152" s="171"/>
      <c r="AE152" t="str">
        <f>IF(AG141 &gt; AF141, "LPFT &gt; FT", "LPFT &lt; FT")</f>
        <v>LPFT &gt; FT</v>
      </c>
      <c r="AF152" s="171" t="str">
        <f>IF(AF148 &lt; 0.05, "Significant", "Not Significant")</f>
        <v>Not Significant</v>
      </c>
      <c r="AG152" s="171"/>
    </row>
    <row r="153" spans="21:33" x14ac:dyDescent="0.25">
      <c r="U153" s="105"/>
      <c r="V153" s="105"/>
      <c r="W153">
        <f>X148</f>
        <v>0.17157589276524268</v>
      </c>
      <c r="X153" s="194"/>
      <c r="Y153" s="194"/>
      <c r="AA153">
        <f>AB148</f>
        <v>0.31124815632741093</v>
      </c>
      <c r="AB153" s="194"/>
      <c r="AC153" s="194"/>
      <c r="AE153">
        <f>AF148</f>
        <v>5.8232165538885411E-2</v>
      </c>
      <c r="AF153" s="194"/>
      <c r="AG153" s="194"/>
    </row>
    <row r="154" spans="21:33" x14ac:dyDescent="0.25">
      <c r="U154" s="105"/>
      <c r="V154" s="105"/>
      <c r="W154" s="196" t="s">
        <v>14</v>
      </c>
      <c r="X154" s="196"/>
      <c r="Y154" s="196"/>
      <c r="Z154" s="196"/>
      <c r="AA154" s="196"/>
      <c r="AB154" s="196"/>
      <c r="AC154" s="196"/>
      <c r="AD154" s="196"/>
      <c r="AE154" s="196"/>
      <c r="AF154" s="196"/>
      <c r="AG154" s="196"/>
    </row>
    <row r="155" spans="21:33" x14ac:dyDescent="0.25">
      <c r="U155" s="105"/>
      <c r="V155" s="105"/>
      <c r="W155" s="194" t="s">
        <v>4</v>
      </c>
      <c r="X155" s="194"/>
      <c r="Y155" s="194"/>
      <c r="Z155" s="15"/>
      <c r="AA155" s="194" t="s">
        <v>5</v>
      </c>
      <c r="AB155" s="194"/>
      <c r="AC155" s="194"/>
      <c r="AD155" s="15"/>
      <c r="AE155" s="194" t="s">
        <v>70</v>
      </c>
      <c r="AF155" s="194"/>
      <c r="AG155" s="194"/>
    </row>
    <row r="156" spans="21:33" ht="15.75" thickBot="1" x14ac:dyDescent="0.3">
      <c r="U156" s="105"/>
      <c r="V156" s="105"/>
    </row>
    <row r="157" spans="21:33" x14ac:dyDescent="0.25">
      <c r="U157" s="105"/>
      <c r="V157" s="105"/>
      <c r="W157" s="17"/>
      <c r="X157" s="17" t="s">
        <v>116</v>
      </c>
      <c r="Y157" s="17" t="s">
        <v>117</v>
      </c>
      <c r="AA157" s="17"/>
      <c r="AB157" s="17" t="s">
        <v>116</v>
      </c>
      <c r="AC157" s="17" t="s">
        <v>117</v>
      </c>
      <c r="AE157" s="17"/>
      <c r="AF157" s="17" t="s">
        <v>116</v>
      </c>
      <c r="AG157" s="17" t="s">
        <v>117</v>
      </c>
    </row>
    <row r="158" spans="21:33" x14ac:dyDescent="0.25">
      <c r="U158" s="105"/>
      <c r="V158" s="105"/>
      <c r="W158" t="s">
        <v>75</v>
      </c>
      <c r="X158">
        <v>0.4132326170802112</v>
      </c>
      <c r="Y158">
        <v>0.43133170902729034</v>
      </c>
      <c r="AA158" t="s">
        <v>75</v>
      </c>
      <c r="AB158">
        <v>0.8523104935884469</v>
      </c>
      <c r="AC158">
        <v>0.84804821014404297</v>
      </c>
      <c r="AE158" t="s">
        <v>75</v>
      </c>
      <c r="AF158">
        <v>0.3867298364639275</v>
      </c>
      <c r="AG158">
        <v>0.4097432866692543</v>
      </c>
    </row>
    <row r="159" spans="21:33" x14ac:dyDescent="0.25">
      <c r="U159" s="105"/>
      <c r="V159" s="105"/>
      <c r="W159" t="s">
        <v>76</v>
      </c>
      <c r="X159">
        <v>4.2522932435824501E-3</v>
      </c>
      <c r="Y159">
        <v>2.3622439317142843E-4</v>
      </c>
      <c r="AA159" t="s">
        <v>76</v>
      </c>
      <c r="AB159">
        <v>8.4520926950369188E-5</v>
      </c>
      <c r="AC159">
        <v>2.7740624999002722E-4</v>
      </c>
      <c r="AE159" t="s">
        <v>76</v>
      </c>
      <c r="AF159">
        <v>6.9653083721968486E-4</v>
      </c>
      <c r="AG159">
        <v>5.0242307095242167E-4</v>
      </c>
    </row>
    <row r="160" spans="21:33" x14ac:dyDescent="0.25">
      <c r="U160" s="105"/>
      <c r="V160" s="105"/>
      <c r="W160" t="s">
        <v>77</v>
      </c>
      <c r="X160">
        <v>4</v>
      </c>
      <c r="Y160">
        <v>4</v>
      </c>
      <c r="AA160" t="s">
        <v>77</v>
      </c>
      <c r="AB160">
        <v>4</v>
      </c>
      <c r="AC160">
        <v>4</v>
      </c>
      <c r="AE160" t="s">
        <v>77</v>
      </c>
      <c r="AF160">
        <v>4</v>
      </c>
      <c r="AG160">
        <v>4</v>
      </c>
    </row>
    <row r="161" spans="21:33" x14ac:dyDescent="0.25">
      <c r="U161" s="105"/>
      <c r="V161" s="105"/>
      <c r="W161" t="s">
        <v>78</v>
      </c>
      <c r="X161">
        <v>0.74502088539253319</v>
      </c>
      <c r="AA161" t="s">
        <v>78</v>
      </c>
      <c r="AB161">
        <v>-0.88971913574701189</v>
      </c>
      <c r="AE161" t="s">
        <v>78</v>
      </c>
      <c r="AF161">
        <v>-0.94410831672249629</v>
      </c>
    </row>
    <row r="162" spans="21:33" x14ac:dyDescent="0.25">
      <c r="U162" s="105"/>
      <c r="V162" s="105"/>
      <c r="W162" t="s">
        <v>79</v>
      </c>
      <c r="X162">
        <v>0</v>
      </c>
      <c r="AA162" t="s">
        <v>79</v>
      </c>
      <c r="AB162">
        <v>0</v>
      </c>
      <c r="AE162" t="s">
        <v>79</v>
      </c>
      <c r="AF162">
        <v>0</v>
      </c>
    </row>
    <row r="163" spans="21:33" x14ac:dyDescent="0.25">
      <c r="U163" s="105"/>
      <c r="V163" s="105"/>
      <c r="W163" t="s">
        <v>80</v>
      </c>
      <c r="X163">
        <v>3</v>
      </c>
      <c r="AA163" t="s">
        <v>80</v>
      </c>
      <c r="AB163">
        <v>3</v>
      </c>
      <c r="AE163" t="s">
        <v>80</v>
      </c>
      <c r="AF163">
        <v>3</v>
      </c>
    </row>
    <row r="164" spans="21:33" x14ac:dyDescent="0.25">
      <c r="U164" s="105"/>
      <c r="V164" s="105"/>
      <c r="W164" t="s">
        <v>81</v>
      </c>
      <c r="X164">
        <v>-0.66142241700841609</v>
      </c>
      <c r="AA164" t="s">
        <v>81</v>
      </c>
      <c r="AB164">
        <v>0.33844705509885475</v>
      </c>
      <c r="AE164" t="s">
        <v>81</v>
      </c>
      <c r="AF164">
        <v>-0.95641395309556598</v>
      </c>
    </row>
    <row r="165" spans="21:33" x14ac:dyDescent="0.25">
      <c r="U165" s="105"/>
      <c r="V165" s="105"/>
      <c r="W165" t="s">
        <v>82</v>
      </c>
      <c r="X165">
        <v>0.27780232414864708</v>
      </c>
      <c r="AA165" t="s">
        <v>82</v>
      </c>
      <c r="AB165">
        <v>0.37866440585379002</v>
      </c>
      <c r="AE165" t="s">
        <v>82</v>
      </c>
      <c r="AF165">
        <v>0.20471021486853797</v>
      </c>
    </row>
    <row r="166" spans="21:33" x14ac:dyDescent="0.25">
      <c r="U166" s="105"/>
      <c r="V166" s="105"/>
      <c r="W166" t="s">
        <v>83</v>
      </c>
      <c r="X166">
        <v>2.3533634348018233</v>
      </c>
      <c r="AA166" t="s">
        <v>83</v>
      </c>
      <c r="AB166">
        <v>2.3533634348018233</v>
      </c>
      <c r="AE166" t="s">
        <v>83</v>
      </c>
      <c r="AF166">
        <v>2.3533634348018233</v>
      </c>
    </row>
    <row r="167" spans="21:33" x14ac:dyDescent="0.25">
      <c r="U167" s="105"/>
      <c r="V167" s="105"/>
      <c r="W167" t="s">
        <v>84</v>
      </c>
      <c r="X167">
        <v>0.55560464829729417</v>
      </c>
      <c r="AA167" t="s">
        <v>84</v>
      </c>
      <c r="AB167">
        <v>0.75732881170758004</v>
      </c>
      <c r="AE167" t="s">
        <v>84</v>
      </c>
      <c r="AF167">
        <v>0.40942042973707593</v>
      </c>
    </row>
    <row r="168" spans="21:33" ht="15.75" thickBot="1" x14ac:dyDescent="0.3">
      <c r="U168" s="105"/>
      <c r="V168" s="105"/>
      <c r="W168" s="16" t="s">
        <v>85</v>
      </c>
      <c r="X168" s="16">
        <v>3.1824463052837091</v>
      </c>
      <c r="Y168" s="16"/>
      <c r="AA168" s="16" t="s">
        <v>85</v>
      </c>
      <c r="AB168" s="16">
        <v>3.1824463052837091</v>
      </c>
      <c r="AC168" s="16"/>
      <c r="AE168" s="16" t="s">
        <v>85</v>
      </c>
      <c r="AF168" s="16">
        <v>3.1824463052837091</v>
      </c>
      <c r="AG168" s="16"/>
    </row>
    <row r="169" spans="21:33" x14ac:dyDescent="0.25">
      <c r="U169" s="105"/>
      <c r="V169" s="105"/>
      <c r="W169" t="str">
        <f>IF(Y158 &gt; X158, "LPFT &gt; FT", "LPFT &lt; FT")</f>
        <v>LPFT &gt; FT</v>
      </c>
      <c r="X169" s="171" t="str">
        <f>IF(X165 &lt; 0.05, "Significant", "Not Significant")</f>
        <v>Not Significant</v>
      </c>
      <c r="Y169" s="171"/>
      <c r="AA169" t="str">
        <f>IF(AC158 &gt; AB158, "LPFT &gt; FT", "LPFT &lt; FT")</f>
        <v>LPFT &lt; FT</v>
      </c>
      <c r="AB169" s="171" t="str">
        <f>IF(AB165 &lt; 0.05, "Significant", "Not Significant")</f>
        <v>Not Significant</v>
      </c>
      <c r="AC169" s="171"/>
      <c r="AE169" t="str">
        <f>IF(AG158 &gt; AF158, "LPFT &gt; FT", "LPFT &lt; FT")</f>
        <v>LPFT &gt; FT</v>
      </c>
      <c r="AF169" s="171" t="str">
        <f>IF(AF165 &lt; 0.05, "Significant", "Not Significant")</f>
        <v>Not Significant</v>
      </c>
      <c r="AG169" s="171"/>
    </row>
    <row r="170" spans="21:33" x14ac:dyDescent="0.25">
      <c r="U170" s="105"/>
      <c r="V170" s="105"/>
      <c r="W170">
        <f>X165</f>
        <v>0.27780232414864708</v>
      </c>
      <c r="X170" s="194"/>
      <c r="Y170" s="194"/>
      <c r="AA170">
        <f>AB165</f>
        <v>0.37866440585379002</v>
      </c>
      <c r="AB170" s="194"/>
      <c r="AC170" s="194"/>
      <c r="AE170">
        <f>AF165</f>
        <v>0.20471021486853797</v>
      </c>
      <c r="AF170" s="194"/>
      <c r="AG170" s="194"/>
    </row>
    <row r="171" spans="21:33" x14ac:dyDescent="0.25">
      <c r="U171" s="105"/>
      <c r="V171" s="105">
        <v>50</v>
      </c>
      <c r="W171" s="195" t="s">
        <v>13</v>
      </c>
      <c r="X171" s="195"/>
      <c r="Y171" s="195"/>
      <c r="Z171" s="195"/>
      <c r="AA171" s="195"/>
      <c r="AB171" s="195"/>
      <c r="AC171" s="195"/>
      <c r="AD171" s="195"/>
      <c r="AE171" s="195"/>
      <c r="AF171" s="195"/>
      <c r="AG171" s="195"/>
    </row>
    <row r="172" spans="21:33" x14ac:dyDescent="0.25">
      <c r="U172" s="105"/>
      <c r="V172" s="105"/>
      <c r="W172" s="194" t="s">
        <v>4</v>
      </c>
      <c r="X172" s="194"/>
      <c r="Y172" s="194"/>
      <c r="Z172" s="15"/>
      <c r="AA172" s="194" t="s">
        <v>5</v>
      </c>
      <c r="AB172" s="194"/>
      <c r="AC172" s="194"/>
      <c r="AD172" s="15"/>
      <c r="AE172" s="194" t="s">
        <v>70</v>
      </c>
      <c r="AF172" s="194"/>
      <c r="AG172" s="194"/>
    </row>
    <row r="173" spans="21:33" ht="15.75" thickBot="1" x14ac:dyDescent="0.3">
      <c r="U173" s="105"/>
      <c r="V173" s="105"/>
    </row>
    <row r="174" spans="21:33" x14ac:dyDescent="0.25">
      <c r="U174" s="105"/>
      <c r="V174" s="105"/>
      <c r="W174" s="17"/>
      <c r="X174" s="17" t="s">
        <v>116</v>
      </c>
      <c r="Y174" s="17" t="s">
        <v>117</v>
      </c>
      <c r="AA174" s="17"/>
      <c r="AB174" s="17" t="s">
        <v>116</v>
      </c>
      <c r="AC174" s="17" t="s">
        <v>117</v>
      </c>
      <c r="AE174" s="17"/>
      <c r="AF174" s="17" t="s">
        <v>116</v>
      </c>
      <c r="AG174" s="17" t="s">
        <v>117</v>
      </c>
    </row>
    <row r="175" spans="21:33" x14ac:dyDescent="0.25">
      <c r="U175" s="105"/>
      <c r="V175" s="105"/>
      <c r="W175" t="s">
        <v>75</v>
      </c>
      <c r="X175">
        <v>0.46846696734428372</v>
      </c>
      <c r="Y175">
        <v>0.48809051513671875</v>
      </c>
      <c r="AA175" t="s">
        <v>75</v>
      </c>
      <c r="AB175">
        <v>0.87897551059722867</v>
      </c>
      <c r="AC175">
        <v>0.88261508941650391</v>
      </c>
      <c r="AE175" t="s">
        <v>75</v>
      </c>
      <c r="AF175">
        <v>0.46164209395646999</v>
      </c>
      <c r="AG175">
        <v>0.49611944705247879</v>
      </c>
    </row>
    <row r="176" spans="21:33" x14ac:dyDescent="0.25">
      <c r="U176" s="105"/>
      <c r="V176" s="105"/>
      <c r="W176" t="s">
        <v>76</v>
      </c>
      <c r="X176">
        <v>6.552904461525318E-4</v>
      </c>
      <c r="Y176">
        <v>1.2437113484645341E-3</v>
      </c>
      <c r="AA176" t="s">
        <v>76</v>
      </c>
      <c r="AB176">
        <v>6.7056542729205268E-4</v>
      </c>
      <c r="AC176">
        <v>4.4008586880295297E-4</v>
      </c>
      <c r="AE176" t="s">
        <v>76</v>
      </c>
      <c r="AF176">
        <v>2.8120731282934327E-3</v>
      </c>
      <c r="AG176">
        <v>4.9519165457321268E-3</v>
      </c>
    </row>
    <row r="177" spans="21:33" x14ac:dyDescent="0.25">
      <c r="U177" s="105"/>
      <c r="V177" s="105"/>
      <c r="W177" t="s">
        <v>77</v>
      </c>
      <c r="X177">
        <v>4</v>
      </c>
      <c r="Y177">
        <v>4</v>
      </c>
      <c r="AA177" t="s">
        <v>77</v>
      </c>
      <c r="AB177">
        <v>4</v>
      </c>
      <c r="AC177">
        <v>4</v>
      </c>
      <c r="AE177" t="s">
        <v>77</v>
      </c>
      <c r="AF177">
        <v>4</v>
      </c>
      <c r="AG177">
        <v>4</v>
      </c>
    </row>
    <row r="178" spans="21:33" x14ac:dyDescent="0.25">
      <c r="U178" s="105"/>
      <c r="V178" s="105"/>
      <c r="W178" t="s">
        <v>78</v>
      </c>
      <c r="X178">
        <v>0.28880080332747204</v>
      </c>
      <c r="AA178" t="s">
        <v>78</v>
      </c>
      <c r="AB178">
        <v>0.89082019020323666</v>
      </c>
      <c r="AE178" t="s">
        <v>78</v>
      </c>
      <c r="AF178">
        <v>0.4156658881310562</v>
      </c>
    </row>
    <row r="179" spans="21:33" x14ac:dyDescent="0.25">
      <c r="U179" s="105"/>
      <c r="V179" s="105"/>
      <c r="W179" t="s">
        <v>79</v>
      </c>
      <c r="X179">
        <v>0</v>
      </c>
      <c r="AA179" t="s">
        <v>79</v>
      </c>
      <c r="AB179">
        <v>0</v>
      </c>
      <c r="AE179" t="s">
        <v>79</v>
      </c>
      <c r="AF179">
        <v>0</v>
      </c>
    </row>
    <row r="180" spans="21:33" x14ac:dyDescent="0.25">
      <c r="U180" s="105"/>
      <c r="V180" s="105"/>
      <c r="W180" t="s">
        <v>80</v>
      </c>
      <c r="X180">
        <v>3</v>
      </c>
      <c r="AA180" t="s">
        <v>80</v>
      </c>
      <c r="AB180">
        <v>3</v>
      </c>
      <c r="AE180" t="s">
        <v>80</v>
      </c>
      <c r="AF180">
        <v>3</v>
      </c>
    </row>
    <row r="181" spans="21:33" x14ac:dyDescent="0.25">
      <c r="U181" s="105"/>
      <c r="V181" s="105"/>
      <c r="W181" t="s">
        <v>81</v>
      </c>
      <c r="X181">
        <v>-1.0574312072010881</v>
      </c>
      <c r="AA181" t="s">
        <v>81</v>
      </c>
      <c r="AB181">
        <v>-0.60914320092048913</v>
      </c>
      <c r="AE181" t="s">
        <v>81</v>
      </c>
      <c r="AF181">
        <v>-1.009924920598446</v>
      </c>
    </row>
    <row r="182" spans="21:33" x14ac:dyDescent="0.25">
      <c r="U182" s="105"/>
      <c r="V182" s="105"/>
      <c r="W182" t="s">
        <v>82</v>
      </c>
      <c r="X182">
        <v>0.183964868632221</v>
      </c>
      <c r="AA182" t="s">
        <v>82</v>
      </c>
      <c r="AB182">
        <v>0.29273031241121195</v>
      </c>
      <c r="AE182" t="s">
        <v>82</v>
      </c>
      <c r="AF182">
        <v>0.19345931446720627</v>
      </c>
    </row>
    <row r="183" spans="21:33" x14ac:dyDescent="0.25">
      <c r="U183" s="105"/>
      <c r="V183" s="105"/>
      <c r="W183" t="s">
        <v>83</v>
      </c>
      <c r="X183">
        <v>2.3533634348018233</v>
      </c>
      <c r="AA183" t="s">
        <v>83</v>
      </c>
      <c r="AB183">
        <v>2.3533634348018233</v>
      </c>
      <c r="AE183" t="s">
        <v>83</v>
      </c>
      <c r="AF183">
        <v>2.3533634348018233</v>
      </c>
    </row>
    <row r="184" spans="21:33" x14ac:dyDescent="0.25">
      <c r="U184" s="105"/>
      <c r="V184" s="105"/>
      <c r="W184" t="s">
        <v>84</v>
      </c>
      <c r="X184">
        <v>0.367929737264442</v>
      </c>
      <c r="AA184" t="s">
        <v>84</v>
      </c>
      <c r="AB184">
        <v>0.58546062482242389</v>
      </c>
      <c r="AE184" t="s">
        <v>84</v>
      </c>
      <c r="AF184">
        <v>0.38691862893441253</v>
      </c>
    </row>
    <row r="185" spans="21:33" ht="15.75" thickBot="1" x14ac:dyDescent="0.3">
      <c r="U185" s="105"/>
      <c r="V185" s="105"/>
      <c r="W185" s="16" t="s">
        <v>85</v>
      </c>
      <c r="X185" s="16">
        <v>3.1824463052837091</v>
      </c>
      <c r="Y185" s="16"/>
      <c r="AA185" s="16" t="s">
        <v>85</v>
      </c>
      <c r="AB185" s="16">
        <v>3.1824463052837091</v>
      </c>
      <c r="AC185" s="16"/>
      <c r="AE185" s="16" t="s">
        <v>85</v>
      </c>
      <c r="AF185" s="16">
        <v>3.1824463052837091</v>
      </c>
      <c r="AG185" s="16"/>
    </row>
    <row r="186" spans="21:33" x14ac:dyDescent="0.25">
      <c r="U186" s="105"/>
      <c r="V186" s="105"/>
      <c r="W186" t="str">
        <f>IF(Y175 &gt; X175, "LPFT &gt; FT", "LPFT &lt; FT")</f>
        <v>LPFT &gt; FT</v>
      </c>
      <c r="X186" s="171" t="str">
        <f>IF(X182 &lt; 0.05, "Significant", "Not Significant")</f>
        <v>Not Significant</v>
      </c>
      <c r="Y186" s="171"/>
      <c r="AA186" t="str">
        <f>IF(AC175 &gt; AB175, "LPFT &gt; FT", "LPFT &lt; FT")</f>
        <v>LPFT &gt; FT</v>
      </c>
      <c r="AB186" s="171" t="str">
        <f>IF(AB182 &lt; 0.05, "Significant", "Not Significant")</f>
        <v>Not Significant</v>
      </c>
      <c r="AC186" s="171"/>
      <c r="AE186" t="str">
        <f>IF(AG175 &gt; AF175, "LPFT &gt; FT", "LPFT &lt; FT")</f>
        <v>LPFT &gt; FT</v>
      </c>
      <c r="AF186" s="171" t="str">
        <f>IF(AF182 &lt; 0.05, "Significant", "Not Significant")</f>
        <v>Not Significant</v>
      </c>
      <c r="AG186" s="171"/>
    </row>
    <row r="187" spans="21:33" x14ac:dyDescent="0.25">
      <c r="U187" s="105"/>
      <c r="V187" s="105"/>
      <c r="W187">
        <f>X182</f>
        <v>0.183964868632221</v>
      </c>
      <c r="X187" s="194"/>
      <c r="Y187" s="194"/>
      <c r="AA187">
        <f>AB182</f>
        <v>0.29273031241121195</v>
      </c>
      <c r="AB187" s="194"/>
      <c r="AC187" s="194"/>
      <c r="AE187">
        <f>AF182</f>
        <v>0.19345931446720627</v>
      </c>
      <c r="AF187" s="194"/>
      <c r="AG187" s="194"/>
    </row>
    <row r="188" spans="21:33" x14ac:dyDescent="0.25">
      <c r="U188" s="105"/>
      <c r="V188" s="105"/>
      <c r="W188" s="196" t="s">
        <v>14</v>
      </c>
      <c r="X188" s="196"/>
      <c r="Y188" s="196"/>
      <c r="Z188" s="196"/>
      <c r="AA188" s="196"/>
      <c r="AB188" s="196"/>
      <c r="AC188" s="196"/>
      <c r="AD188" s="196"/>
      <c r="AE188" s="196"/>
      <c r="AF188" s="196"/>
      <c r="AG188" s="196"/>
    </row>
    <row r="189" spans="21:33" x14ac:dyDescent="0.25">
      <c r="U189" s="105"/>
      <c r="V189" s="105"/>
      <c r="W189" s="194" t="s">
        <v>4</v>
      </c>
      <c r="X189" s="194"/>
      <c r="Y189" s="194"/>
      <c r="Z189" s="15"/>
      <c r="AA189" s="194" t="s">
        <v>5</v>
      </c>
      <c r="AB189" s="194"/>
      <c r="AC189" s="194"/>
      <c r="AD189" s="15"/>
      <c r="AE189" s="194" t="s">
        <v>70</v>
      </c>
      <c r="AF189" s="194"/>
      <c r="AG189" s="194"/>
    </row>
    <row r="190" spans="21:33" ht="15.75" thickBot="1" x14ac:dyDescent="0.3">
      <c r="U190" s="105"/>
      <c r="V190" s="105"/>
    </row>
    <row r="191" spans="21:33" x14ac:dyDescent="0.25">
      <c r="U191" s="105"/>
      <c r="V191" s="105"/>
      <c r="W191" s="17"/>
      <c r="X191" s="17" t="s">
        <v>116</v>
      </c>
      <c r="Y191" s="17" t="s">
        <v>117</v>
      </c>
      <c r="AA191" s="17"/>
      <c r="AB191" s="17" t="s">
        <v>116</v>
      </c>
      <c r="AC191" s="17" t="s">
        <v>117</v>
      </c>
      <c r="AE191" s="17"/>
      <c r="AF191" s="17" t="s">
        <v>116</v>
      </c>
      <c r="AG191" s="17" t="s">
        <v>117</v>
      </c>
    </row>
    <row r="192" spans="21:33" x14ac:dyDescent="0.25">
      <c r="U192" s="105"/>
      <c r="V192" s="105"/>
      <c r="W192" t="s">
        <v>75</v>
      </c>
      <c r="X192">
        <v>0.44309537112712805</v>
      </c>
      <c r="Y192">
        <v>0.43480413407087326</v>
      </c>
      <c r="AA192" t="s">
        <v>75</v>
      </c>
      <c r="AB192">
        <v>0.86325123906135504</v>
      </c>
      <c r="AC192">
        <v>0.86461037397384644</v>
      </c>
      <c r="AE192" t="s">
        <v>75</v>
      </c>
      <c r="AF192">
        <v>0.43440435826778373</v>
      </c>
      <c r="AG192">
        <v>0.4384320080280304</v>
      </c>
    </row>
    <row r="193" spans="21:33" x14ac:dyDescent="0.25">
      <c r="U193" s="105"/>
      <c r="V193" s="105"/>
      <c r="W193" t="s">
        <v>76</v>
      </c>
      <c r="X193">
        <v>6.4710287290174653E-4</v>
      </c>
      <c r="Y193">
        <v>7.3840505782230004E-4</v>
      </c>
      <c r="AA193" t="s">
        <v>76</v>
      </c>
      <c r="AB193">
        <v>9.9916091889672531E-5</v>
      </c>
      <c r="AC193">
        <v>1.6790655786043848E-4</v>
      </c>
      <c r="AE193" t="s">
        <v>76</v>
      </c>
      <c r="AF193">
        <v>3.3497088794082566E-3</v>
      </c>
      <c r="AG193">
        <v>1.3169370060820047E-3</v>
      </c>
    </row>
    <row r="194" spans="21:33" x14ac:dyDescent="0.25">
      <c r="U194" s="105"/>
      <c r="V194" s="105"/>
      <c r="W194" t="s">
        <v>77</v>
      </c>
      <c r="X194">
        <v>4</v>
      </c>
      <c r="Y194">
        <v>4</v>
      </c>
      <c r="AA194" t="s">
        <v>77</v>
      </c>
      <c r="AB194">
        <v>4</v>
      </c>
      <c r="AC194">
        <v>4</v>
      </c>
      <c r="AE194" t="s">
        <v>77</v>
      </c>
      <c r="AF194">
        <v>4</v>
      </c>
      <c r="AG194">
        <v>4</v>
      </c>
    </row>
    <row r="195" spans="21:33" x14ac:dyDescent="0.25">
      <c r="U195" s="105"/>
      <c r="V195" s="105"/>
      <c r="W195" t="s">
        <v>78</v>
      </c>
      <c r="X195">
        <v>-0.55560262576093566</v>
      </c>
      <c r="AA195" t="s">
        <v>78</v>
      </c>
      <c r="AB195">
        <v>0.40335526765298191</v>
      </c>
      <c r="AE195" t="s">
        <v>78</v>
      </c>
      <c r="AF195">
        <v>-0.92721200872918297</v>
      </c>
    </row>
    <row r="196" spans="21:33" x14ac:dyDescent="0.25">
      <c r="U196" s="105"/>
      <c r="V196" s="105"/>
      <c r="W196" t="s">
        <v>79</v>
      </c>
      <c r="X196">
        <v>0</v>
      </c>
      <c r="AA196" t="s">
        <v>79</v>
      </c>
      <c r="AB196">
        <v>0</v>
      </c>
      <c r="AE196" t="s">
        <v>79</v>
      </c>
      <c r="AF196">
        <v>0</v>
      </c>
    </row>
    <row r="197" spans="21:33" x14ac:dyDescent="0.25">
      <c r="U197" s="105"/>
      <c r="V197" s="105"/>
      <c r="W197" t="s">
        <v>80</v>
      </c>
      <c r="X197">
        <v>3</v>
      </c>
      <c r="AA197" t="s">
        <v>80</v>
      </c>
      <c r="AB197">
        <v>3</v>
      </c>
      <c r="AE197" t="s">
        <v>80</v>
      </c>
      <c r="AF197">
        <v>3</v>
      </c>
    </row>
    <row r="198" spans="21:33" x14ac:dyDescent="0.25">
      <c r="U198" s="105"/>
      <c r="V198" s="105"/>
      <c r="W198" t="s">
        <v>81</v>
      </c>
      <c r="X198">
        <v>0.35732560017104859</v>
      </c>
      <c r="AA198" t="s">
        <v>81</v>
      </c>
      <c r="AB198">
        <v>-0.21269354825541611</v>
      </c>
      <c r="AE198" t="s">
        <v>81</v>
      </c>
      <c r="AF198">
        <v>-8.7057437583066902E-2</v>
      </c>
    </row>
    <row r="199" spans="21:33" x14ac:dyDescent="0.25">
      <c r="U199" s="105"/>
      <c r="V199" s="105"/>
      <c r="W199" t="s">
        <v>82</v>
      </c>
      <c r="X199">
        <v>0.37225334768247809</v>
      </c>
      <c r="AA199" t="s">
        <v>82</v>
      </c>
      <c r="AB199">
        <v>0.42259932377507214</v>
      </c>
      <c r="AE199" t="s">
        <v>82</v>
      </c>
      <c r="AF199">
        <v>0.46805558253237928</v>
      </c>
    </row>
    <row r="200" spans="21:33" x14ac:dyDescent="0.25">
      <c r="U200" s="105"/>
      <c r="V200" s="105"/>
      <c r="W200" t="s">
        <v>83</v>
      </c>
      <c r="X200">
        <v>2.3533634348018233</v>
      </c>
      <c r="AA200" t="s">
        <v>83</v>
      </c>
      <c r="AB200">
        <v>2.3533634348018233</v>
      </c>
      <c r="AE200" t="s">
        <v>83</v>
      </c>
      <c r="AF200">
        <v>2.3533634348018233</v>
      </c>
    </row>
    <row r="201" spans="21:33" x14ac:dyDescent="0.25">
      <c r="U201" s="105"/>
      <c r="V201" s="105"/>
      <c r="W201" t="s">
        <v>84</v>
      </c>
      <c r="X201">
        <v>0.74450669536495617</v>
      </c>
      <c r="AA201" t="s">
        <v>84</v>
      </c>
      <c r="AB201">
        <v>0.84519864755014429</v>
      </c>
      <c r="AE201" t="s">
        <v>84</v>
      </c>
      <c r="AF201">
        <v>0.93611116506475855</v>
      </c>
    </row>
    <row r="202" spans="21:33" ht="15.75" thickBot="1" x14ac:dyDescent="0.3">
      <c r="U202" s="105"/>
      <c r="V202" s="105"/>
      <c r="W202" s="16" t="s">
        <v>85</v>
      </c>
      <c r="X202" s="16">
        <v>3.1824463052837091</v>
      </c>
      <c r="Y202" s="16"/>
      <c r="AA202" s="16" t="s">
        <v>85</v>
      </c>
      <c r="AB202" s="16">
        <v>3.1824463052837091</v>
      </c>
      <c r="AC202" s="16"/>
      <c r="AE202" s="16" t="s">
        <v>85</v>
      </c>
      <c r="AF202" s="16">
        <v>3.1824463052837091</v>
      </c>
      <c r="AG202" s="16"/>
    </row>
    <row r="203" spans="21:33" x14ac:dyDescent="0.25">
      <c r="U203" s="105"/>
      <c r="V203" s="105"/>
      <c r="W203" t="str">
        <f>IF(Y192 &gt; X192, "LPFT &gt; FT", "LPFT &lt; FT")</f>
        <v>LPFT &lt; FT</v>
      </c>
      <c r="X203" s="171" t="str">
        <f>IF(X199 &lt; 0.05, "Significant", "Not Significant")</f>
        <v>Not Significant</v>
      </c>
      <c r="Y203" s="171"/>
      <c r="AA203" t="str">
        <f>IF(AC192 &gt; AB192, "LPFT &gt; FT", "LPFT &lt; FT")</f>
        <v>LPFT &gt; FT</v>
      </c>
      <c r="AB203" s="171" t="str">
        <f>IF(AB199 &lt; 0.05, "Significant", "Not Significant")</f>
        <v>Not Significant</v>
      </c>
      <c r="AC203" s="171"/>
      <c r="AE203" t="str">
        <f>IF(AG192 &gt; AF192, "LPFT &gt; FT", "LPFT &lt; FT")</f>
        <v>LPFT &gt; FT</v>
      </c>
      <c r="AF203" s="171" t="str">
        <f>IF(AF199 &lt; 0.05, "Significant", "Not Significant")</f>
        <v>Not Significant</v>
      </c>
      <c r="AG203" s="171"/>
    </row>
    <row r="204" spans="21:33" x14ac:dyDescent="0.25">
      <c r="U204" s="105"/>
      <c r="V204" s="105"/>
      <c r="W204">
        <f>X199</f>
        <v>0.37225334768247809</v>
      </c>
      <c r="X204" s="194"/>
      <c r="Y204" s="194"/>
      <c r="AA204">
        <f>AB199</f>
        <v>0.42259932377507214</v>
      </c>
      <c r="AB204" s="194"/>
      <c r="AC204" s="194"/>
      <c r="AE204">
        <f>AF199</f>
        <v>0.46805558253237928</v>
      </c>
      <c r="AF204" s="194"/>
      <c r="AG204" s="194"/>
    </row>
    <row r="205" spans="21:33" x14ac:dyDescent="0.25">
      <c r="U205" s="105" t="s">
        <v>27</v>
      </c>
      <c r="V205" s="105"/>
      <c r="W205" s="195" t="s">
        <v>13</v>
      </c>
      <c r="X205" s="195"/>
      <c r="Y205" s="195"/>
      <c r="Z205" s="195"/>
      <c r="AA205" s="195"/>
      <c r="AB205" s="195"/>
      <c r="AC205" s="195"/>
      <c r="AD205" s="195"/>
      <c r="AE205" s="195"/>
      <c r="AF205" s="195"/>
      <c r="AG205" s="195"/>
    </row>
    <row r="206" spans="21:33" x14ac:dyDescent="0.25">
      <c r="U206" s="105"/>
      <c r="V206" s="105"/>
      <c r="W206" s="194" t="s">
        <v>4</v>
      </c>
      <c r="X206" s="194"/>
      <c r="Y206" s="194"/>
      <c r="Z206" s="15"/>
      <c r="AA206" s="194" t="s">
        <v>5</v>
      </c>
      <c r="AB206" s="194"/>
      <c r="AC206" s="194"/>
      <c r="AD206" s="15"/>
      <c r="AE206" s="194" t="s">
        <v>70</v>
      </c>
      <c r="AF206" s="194"/>
      <c r="AG206" s="194"/>
    </row>
    <row r="207" spans="21:33" ht="15.75" thickBot="1" x14ac:dyDescent="0.3">
      <c r="U207" s="105"/>
      <c r="V207" s="105"/>
    </row>
    <row r="208" spans="21:33" x14ac:dyDescent="0.25">
      <c r="U208" s="105"/>
      <c r="V208" s="105"/>
      <c r="W208" s="17"/>
      <c r="X208" s="17" t="s">
        <v>116</v>
      </c>
      <c r="Y208" s="17" t="s">
        <v>117</v>
      </c>
      <c r="AA208" s="17"/>
      <c r="AB208" s="17" t="s">
        <v>116</v>
      </c>
      <c r="AC208" s="17" t="s">
        <v>117</v>
      </c>
      <c r="AE208" s="17"/>
      <c r="AF208" s="17" t="s">
        <v>116</v>
      </c>
      <c r="AG208" s="17" t="s">
        <v>117</v>
      </c>
    </row>
    <row r="209" spans="21:33" x14ac:dyDescent="0.25">
      <c r="U209" s="105"/>
      <c r="V209" s="105"/>
      <c r="W209" t="s">
        <v>75</v>
      </c>
      <c r="X209">
        <v>0.36637797206640199</v>
      </c>
      <c r="Y209">
        <v>0.44769963622093201</v>
      </c>
      <c r="AA209" t="s">
        <v>75</v>
      </c>
      <c r="AB209">
        <v>0.83954316377639726</v>
      </c>
      <c r="AC209">
        <v>0.85893084108829498</v>
      </c>
      <c r="AE209" t="s">
        <v>75</v>
      </c>
      <c r="AF209">
        <v>0.36131048947572675</v>
      </c>
      <c r="AG209">
        <v>0.42926500737667084</v>
      </c>
    </row>
    <row r="210" spans="21:33" x14ac:dyDescent="0.25">
      <c r="U210" s="105"/>
      <c r="V210" s="105"/>
      <c r="W210" t="s">
        <v>76</v>
      </c>
      <c r="X210">
        <v>1.8134221906432879E-3</v>
      </c>
      <c r="Y210">
        <v>1.0756613677482818E-3</v>
      </c>
      <c r="AA210" t="s">
        <v>76</v>
      </c>
      <c r="AB210">
        <v>8.0553320743111513E-4</v>
      </c>
      <c r="AC210">
        <v>7.1108989432241054E-4</v>
      </c>
      <c r="AE210" t="s">
        <v>76</v>
      </c>
      <c r="AF210">
        <v>8.3861418004976547E-4</v>
      </c>
      <c r="AG210">
        <v>1.3735585872286886E-3</v>
      </c>
    </row>
    <row r="211" spans="21:33" x14ac:dyDescent="0.25">
      <c r="U211" s="105"/>
      <c r="V211" s="105"/>
      <c r="W211" t="s">
        <v>77</v>
      </c>
      <c r="X211">
        <v>4</v>
      </c>
      <c r="Y211">
        <v>4</v>
      </c>
      <c r="AA211" t="s">
        <v>77</v>
      </c>
      <c r="AB211">
        <v>4</v>
      </c>
      <c r="AC211">
        <v>4</v>
      </c>
      <c r="AE211" t="s">
        <v>77</v>
      </c>
      <c r="AF211">
        <v>4</v>
      </c>
      <c r="AG211">
        <v>4</v>
      </c>
    </row>
    <row r="212" spans="21:33" x14ac:dyDescent="0.25">
      <c r="U212" s="105"/>
      <c r="V212" s="105"/>
      <c r="W212" t="s">
        <v>78</v>
      </c>
      <c r="X212">
        <v>4.8437392543161956E-2</v>
      </c>
      <c r="AA212" t="s">
        <v>78</v>
      </c>
      <c r="AB212">
        <v>0.85483438412636126</v>
      </c>
      <c r="AE212" t="s">
        <v>78</v>
      </c>
      <c r="AF212">
        <v>0.77817367664816905</v>
      </c>
    </row>
    <row r="213" spans="21:33" x14ac:dyDescent="0.25">
      <c r="U213" s="105"/>
      <c r="V213" s="105"/>
      <c r="W213" t="s">
        <v>79</v>
      </c>
      <c r="X213">
        <v>0</v>
      </c>
      <c r="AA213" t="s">
        <v>79</v>
      </c>
      <c r="AB213">
        <v>0</v>
      </c>
      <c r="AE213" t="s">
        <v>79</v>
      </c>
      <c r="AF213">
        <v>0</v>
      </c>
    </row>
    <row r="214" spans="21:33" x14ac:dyDescent="0.25">
      <c r="U214" s="105"/>
      <c r="V214" s="105"/>
      <c r="W214" t="s">
        <v>80</v>
      </c>
      <c r="X214">
        <v>3</v>
      </c>
      <c r="AA214" t="s">
        <v>80</v>
      </c>
      <c r="AB214">
        <v>3</v>
      </c>
      <c r="AE214" t="s">
        <v>80</v>
      </c>
      <c r="AF214">
        <v>3</v>
      </c>
    </row>
    <row r="215" spans="21:33" x14ac:dyDescent="0.25">
      <c r="U215" s="105"/>
      <c r="V215" s="105"/>
      <c r="W215" t="s">
        <v>81</v>
      </c>
      <c r="X215">
        <v>-3.0993552397567381</v>
      </c>
      <c r="AA215" t="s">
        <v>81</v>
      </c>
      <c r="AB215">
        <v>-2.5984683251486587</v>
      </c>
      <c r="AE215" t="s">
        <v>81</v>
      </c>
      <c r="AF215">
        <v>-5.8388252725035814</v>
      </c>
    </row>
    <row r="216" spans="21:33" x14ac:dyDescent="0.25">
      <c r="U216" s="105"/>
      <c r="V216" s="105"/>
      <c r="W216" t="s">
        <v>82</v>
      </c>
      <c r="X216">
        <v>2.6661189688747894E-2</v>
      </c>
      <c r="AA216" t="s">
        <v>82</v>
      </c>
      <c r="AB216">
        <v>4.0241144771766608E-2</v>
      </c>
      <c r="AE216" t="s">
        <v>82</v>
      </c>
      <c r="AF216">
        <v>5.0050075452658304E-3</v>
      </c>
    </row>
    <row r="217" spans="21:33" x14ac:dyDescent="0.25">
      <c r="U217" s="105"/>
      <c r="V217" s="105"/>
      <c r="W217" t="s">
        <v>83</v>
      </c>
      <c r="X217">
        <v>2.3533634348018233</v>
      </c>
      <c r="AA217" t="s">
        <v>83</v>
      </c>
      <c r="AB217">
        <v>2.3533634348018233</v>
      </c>
      <c r="AE217" t="s">
        <v>83</v>
      </c>
      <c r="AF217">
        <v>2.3533634348018233</v>
      </c>
    </row>
    <row r="218" spans="21:33" x14ac:dyDescent="0.25">
      <c r="U218" s="105"/>
      <c r="V218" s="105"/>
      <c r="W218" t="s">
        <v>84</v>
      </c>
      <c r="X218">
        <v>5.3322379377495788E-2</v>
      </c>
      <c r="AA218" t="s">
        <v>84</v>
      </c>
      <c r="AB218">
        <v>8.0482289543533217E-2</v>
      </c>
      <c r="AE218" t="s">
        <v>84</v>
      </c>
      <c r="AF218">
        <v>1.0010015090531661E-2</v>
      </c>
    </row>
    <row r="219" spans="21:33" ht="15.75" thickBot="1" x14ac:dyDescent="0.3">
      <c r="U219" s="105"/>
      <c r="V219" s="105"/>
      <c r="W219" s="16" t="s">
        <v>85</v>
      </c>
      <c r="X219" s="16">
        <v>3.1824463052837091</v>
      </c>
      <c r="Y219" s="16"/>
      <c r="AA219" s="16" t="s">
        <v>85</v>
      </c>
      <c r="AB219" s="16">
        <v>3.1824463052837091</v>
      </c>
      <c r="AC219" s="16"/>
      <c r="AE219" s="16" t="s">
        <v>85</v>
      </c>
      <c r="AF219" s="16">
        <v>3.1824463052837091</v>
      </c>
      <c r="AG219" s="16"/>
    </row>
    <row r="220" spans="21:33" x14ac:dyDescent="0.25">
      <c r="U220" s="105"/>
      <c r="V220" s="105"/>
      <c r="W220" t="str">
        <f>IF(Y209 &gt; X209, "LPFT &gt; FT", "LPFT &lt; FT")</f>
        <v>LPFT &gt; FT</v>
      </c>
      <c r="X220" s="171" t="str">
        <f>IF(X216 &lt; 0.05, "Significant", "Not Significant")</f>
        <v>Significant</v>
      </c>
      <c r="Y220" s="171"/>
      <c r="AA220" t="str">
        <f>IF(AC209 &gt; AB209, "LPFT &gt; FT", "LPFT &lt; FT")</f>
        <v>LPFT &gt; FT</v>
      </c>
      <c r="AB220" s="171" t="str">
        <f>IF(AB216 &lt; 0.05, "Significant", "Not Significant")</f>
        <v>Significant</v>
      </c>
      <c r="AC220" s="171"/>
      <c r="AE220" t="str">
        <f>IF(AG209 &gt; AF209, "LPFT &gt; FT", "LPFT &lt; FT")</f>
        <v>LPFT &gt; FT</v>
      </c>
      <c r="AF220" s="171" t="str">
        <f>IF(AF216 &lt; 0.05, "Significant", "Not Significant")</f>
        <v>Significant</v>
      </c>
      <c r="AG220" s="171"/>
    </row>
    <row r="221" spans="21:33" x14ac:dyDescent="0.25">
      <c r="U221" s="105"/>
      <c r="V221" s="105"/>
      <c r="W221">
        <f>X216</f>
        <v>2.6661189688747894E-2</v>
      </c>
      <c r="X221" s="194"/>
      <c r="Y221" s="194"/>
      <c r="AA221">
        <f>AB216</f>
        <v>4.0241144771766608E-2</v>
      </c>
      <c r="AB221" s="194"/>
      <c r="AC221" s="194"/>
      <c r="AE221">
        <f>AF216</f>
        <v>5.0050075452658304E-3</v>
      </c>
      <c r="AF221" s="194"/>
      <c r="AG221" s="194"/>
    </row>
    <row r="222" spans="21:33" x14ac:dyDescent="0.25">
      <c r="U222" s="105"/>
      <c r="V222" s="105"/>
      <c r="W222" s="196" t="s">
        <v>14</v>
      </c>
      <c r="X222" s="196"/>
      <c r="Y222" s="196"/>
      <c r="Z222" s="196"/>
      <c r="AA222" s="196"/>
      <c r="AB222" s="196"/>
      <c r="AC222" s="196"/>
      <c r="AD222" s="196"/>
      <c r="AE222" s="196"/>
      <c r="AF222" s="196"/>
      <c r="AG222" s="196"/>
    </row>
    <row r="223" spans="21:33" x14ac:dyDescent="0.25">
      <c r="U223" s="105"/>
      <c r="V223" s="105"/>
      <c r="W223" s="194" t="s">
        <v>4</v>
      </c>
      <c r="X223" s="194"/>
      <c r="Y223" s="194"/>
      <c r="Z223" s="15"/>
      <c r="AA223" s="194" t="s">
        <v>5</v>
      </c>
      <c r="AB223" s="194"/>
      <c r="AC223" s="194"/>
      <c r="AD223" s="15"/>
      <c r="AE223" s="194" t="s">
        <v>70</v>
      </c>
      <c r="AF223" s="194"/>
      <c r="AG223" s="194"/>
    </row>
    <row r="224" spans="21:33" ht="15.75" thickBot="1" x14ac:dyDescent="0.3">
      <c r="U224" s="105"/>
      <c r="V224" s="105"/>
    </row>
    <row r="225" spans="21:33" x14ac:dyDescent="0.25">
      <c r="U225" s="105"/>
      <c r="V225" s="105"/>
      <c r="W225" s="17"/>
      <c r="X225" s="17" t="s">
        <v>116</v>
      </c>
      <c r="Y225" s="17" t="s">
        <v>117</v>
      </c>
      <c r="AA225" s="17"/>
      <c r="AB225" s="17" t="s">
        <v>116</v>
      </c>
      <c r="AC225" s="17" t="s">
        <v>117</v>
      </c>
      <c r="AE225" s="17"/>
      <c r="AF225" s="17" t="s">
        <v>116</v>
      </c>
      <c r="AG225" s="17" t="s">
        <v>117</v>
      </c>
    </row>
    <row r="226" spans="21:33" x14ac:dyDescent="0.25">
      <c r="U226" s="105"/>
      <c r="V226" s="105"/>
      <c r="W226" t="s">
        <v>75</v>
      </c>
      <c r="X226">
        <v>0.33848808705806677</v>
      </c>
      <c r="Y226">
        <v>0.3794146254658699</v>
      </c>
      <c r="AA226" t="s">
        <v>75</v>
      </c>
      <c r="AB226">
        <v>0.80775448679923945</v>
      </c>
      <c r="AC226">
        <v>0.82237239181995392</v>
      </c>
      <c r="AE226" t="s">
        <v>75</v>
      </c>
      <c r="AF226">
        <v>0.28804376348853078</v>
      </c>
      <c r="AG226">
        <v>0.35934507846832275</v>
      </c>
    </row>
    <row r="227" spans="21:33" x14ac:dyDescent="0.25">
      <c r="U227" s="105"/>
      <c r="V227" s="105"/>
      <c r="W227" t="s">
        <v>76</v>
      </c>
      <c r="X227">
        <v>5.6673011160160809E-3</v>
      </c>
      <c r="Y227">
        <v>3.4321906825263149E-4</v>
      </c>
      <c r="AA227" t="s">
        <v>76</v>
      </c>
      <c r="AB227">
        <v>9.4149711899285573E-4</v>
      </c>
      <c r="AC227">
        <v>1.7662182977495888E-5</v>
      </c>
      <c r="AE227" t="s">
        <v>76</v>
      </c>
      <c r="AF227">
        <v>1.927633722422939E-3</v>
      </c>
      <c r="AG227">
        <v>3.9383425469985411E-4</v>
      </c>
    </row>
    <row r="228" spans="21:33" x14ac:dyDescent="0.25">
      <c r="U228" s="105"/>
      <c r="V228" s="105"/>
      <c r="W228" t="s">
        <v>77</v>
      </c>
      <c r="X228">
        <v>4</v>
      </c>
      <c r="Y228">
        <v>4</v>
      </c>
      <c r="AA228" t="s">
        <v>77</v>
      </c>
      <c r="AB228">
        <v>4</v>
      </c>
      <c r="AC228">
        <v>4</v>
      </c>
      <c r="AE228" t="s">
        <v>77</v>
      </c>
      <c r="AF228">
        <v>4</v>
      </c>
      <c r="AG228">
        <v>4</v>
      </c>
    </row>
    <row r="229" spans="21:33" x14ac:dyDescent="0.25">
      <c r="U229" s="105"/>
      <c r="V229" s="105"/>
      <c r="W229" t="s">
        <v>78</v>
      </c>
      <c r="X229">
        <v>0.34825553370760853</v>
      </c>
      <c r="AA229" t="s">
        <v>78</v>
      </c>
      <c r="AB229">
        <v>0.73076760631338189</v>
      </c>
      <c r="AE229" t="s">
        <v>78</v>
      </c>
      <c r="AF229">
        <v>0.60044762374461857</v>
      </c>
    </row>
    <row r="230" spans="21:33" x14ac:dyDescent="0.25">
      <c r="U230" s="105"/>
      <c r="V230" s="105"/>
      <c r="W230" t="s">
        <v>79</v>
      </c>
      <c r="X230">
        <v>0</v>
      </c>
      <c r="AA230" t="s">
        <v>79</v>
      </c>
      <c r="AB230">
        <v>0</v>
      </c>
      <c r="AE230" t="s">
        <v>79</v>
      </c>
      <c r="AF230">
        <v>0</v>
      </c>
    </row>
    <row r="231" spans="21:33" x14ac:dyDescent="0.25">
      <c r="U231" s="105"/>
      <c r="V231" s="105"/>
      <c r="W231" t="s">
        <v>80</v>
      </c>
      <c r="X231">
        <v>3</v>
      </c>
      <c r="AA231" t="s">
        <v>80</v>
      </c>
      <c r="AB231">
        <v>3</v>
      </c>
      <c r="AE231" t="s">
        <v>80</v>
      </c>
      <c r="AF231">
        <v>3</v>
      </c>
    </row>
    <row r="232" spans="21:33" x14ac:dyDescent="0.25">
      <c r="U232" s="105"/>
      <c r="V232" s="105"/>
      <c r="W232" t="s">
        <v>81</v>
      </c>
      <c r="X232">
        <v>-1.1530762157869057</v>
      </c>
      <c r="AA232" t="s">
        <v>81</v>
      </c>
      <c r="AB232">
        <v>-1.0531138201394212</v>
      </c>
      <c r="AE232" t="s">
        <v>81</v>
      </c>
      <c r="AF232">
        <v>-3.993476939625086</v>
      </c>
    </row>
    <row r="233" spans="21:33" x14ac:dyDescent="0.25">
      <c r="U233" s="105"/>
      <c r="V233" s="105"/>
      <c r="W233" t="s">
        <v>82</v>
      </c>
      <c r="X233">
        <v>0.16620709842472073</v>
      </c>
      <c r="AA233" t="s">
        <v>82</v>
      </c>
      <c r="AB233">
        <v>0.1848088620515328</v>
      </c>
      <c r="AE233" t="s">
        <v>82</v>
      </c>
      <c r="AF233">
        <v>1.4064165695463938E-2</v>
      </c>
    </row>
    <row r="234" spans="21:33" x14ac:dyDescent="0.25">
      <c r="U234" s="105"/>
      <c r="V234" s="105"/>
      <c r="W234" t="s">
        <v>83</v>
      </c>
      <c r="X234">
        <v>2.3533634348018233</v>
      </c>
      <c r="AA234" t="s">
        <v>83</v>
      </c>
      <c r="AB234">
        <v>2.3533634348018233</v>
      </c>
      <c r="AE234" t="s">
        <v>83</v>
      </c>
      <c r="AF234">
        <v>2.3533634348018233</v>
      </c>
    </row>
    <row r="235" spans="21:33" x14ac:dyDescent="0.25">
      <c r="U235" s="105"/>
      <c r="V235" s="105"/>
      <c r="W235" t="s">
        <v>84</v>
      </c>
      <c r="X235">
        <v>0.33241419684944146</v>
      </c>
      <c r="AA235" t="s">
        <v>84</v>
      </c>
      <c r="AB235">
        <v>0.36961772410306559</v>
      </c>
      <c r="AE235" t="s">
        <v>84</v>
      </c>
      <c r="AF235">
        <v>2.8128331390927876E-2</v>
      </c>
    </row>
    <row r="236" spans="21:33" ht="15.75" thickBot="1" x14ac:dyDescent="0.3">
      <c r="U236" s="105"/>
      <c r="V236" s="105"/>
      <c r="W236" s="16" t="s">
        <v>85</v>
      </c>
      <c r="X236" s="16">
        <v>3.1824463052837091</v>
      </c>
      <c r="Y236" s="16"/>
      <c r="AA236" s="16" t="s">
        <v>85</v>
      </c>
      <c r="AB236" s="16">
        <v>3.1824463052837091</v>
      </c>
      <c r="AC236" s="16"/>
      <c r="AE236" s="16" t="s">
        <v>85</v>
      </c>
      <c r="AF236" s="16">
        <v>3.1824463052837091</v>
      </c>
      <c r="AG236" s="16"/>
    </row>
    <row r="237" spans="21:33" x14ac:dyDescent="0.25">
      <c r="U237" s="105"/>
      <c r="V237" s="105"/>
      <c r="W237" t="str">
        <f>IF(Y226 &gt; X226, "LPFT &gt; FT", "LPFT &lt; FT")</f>
        <v>LPFT &gt; FT</v>
      </c>
      <c r="X237" s="171" t="str">
        <f>IF(X233 &lt; 0.05, "Significant", "Not Significant")</f>
        <v>Not Significant</v>
      </c>
      <c r="Y237" s="171"/>
      <c r="AA237" t="str">
        <f>IF(AC226 &gt; AB226, "LPFT &gt; FT", "LPFT &lt; FT")</f>
        <v>LPFT &gt; FT</v>
      </c>
      <c r="AB237" s="171" t="str">
        <f>IF(AB233 &lt; 0.05, "Significant", "Not Significant")</f>
        <v>Not Significant</v>
      </c>
      <c r="AC237" s="171"/>
      <c r="AE237" t="str">
        <f>IF(AG226 &gt; AF226, "LPFT &gt; FT", "LPFT &lt; FT")</f>
        <v>LPFT &gt; FT</v>
      </c>
      <c r="AF237" s="171" t="str">
        <f>IF(AF233 &lt; 0.05, "Significant", "Not Significant")</f>
        <v>Significant</v>
      </c>
      <c r="AG237" s="171"/>
    </row>
    <row r="238" spans="21:33" x14ac:dyDescent="0.25">
      <c r="U238" s="105"/>
      <c r="V238" s="105"/>
      <c r="W238">
        <f>X233</f>
        <v>0.16620709842472073</v>
      </c>
      <c r="X238" s="194"/>
      <c r="Y238" s="194"/>
      <c r="AA238">
        <f>AB233</f>
        <v>0.1848088620515328</v>
      </c>
      <c r="AB238" s="194"/>
      <c r="AC238" s="194"/>
      <c r="AE238">
        <f>AF233</f>
        <v>1.4064165695463938E-2</v>
      </c>
      <c r="AF238" s="194"/>
      <c r="AG238" s="194"/>
    </row>
  </sheetData>
  <mergeCells count="192">
    <mergeCell ref="U205:V238"/>
    <mergeCell ref="AB221:AC221"/>
    <mergeCell ref="AF221:AG221"/>
    <mergeCell ref="X237:Y237"/>
    <mergeCell ref="AB237:AC237"/>
    <mergeCell ref="AF237:AG237"/>
    <mergeCell ref="X238:Y238"/>
    <mergeCell ref="AB238:AC238"/>
    <mergeCell ref="AF238:AG238"/>
    <mergeCell ref="W223:Y223"/>
    <mergeCell ref="AA223:AC223"/>
    <mergeCell ref="AE223:AG223"/>
    <mergeCell ref="X220:Y220"/>
    <mergeCell ref="AB220:AC220"/>
    <mergeCell ref="AF220:AG220"/>
    <mergeCell ref="X221:Y221"/>
    <mergeCell ref="X203:Y203"/>
    <mergeCell ref="AB203:AC203"/>
    <mergeCell ref="AF203:AG203"/>
    <mergeCell ref="X204:Y204"/>
    <mergeCell ref="AB204:AC204"/>
    <mergeCell ref="AF204:AG204"/>
    <mergeCell ref="W206:Y206"/>
    <mergeCell ref="AA206:AC206"/>
    <mergeCell ref="AE206:AG206"/>
    <mergeCell ref="W172:Y172"/>
    <mergeCell ref="AA172:AC172"/>
    <mergeCell ref="AE172:AG172"/>
    <mergeCell ref="W189:Y189"/>
    <mergeCell ref="AA189:AC189"/>
    <mergeCell ref="AE189:AG189"/>
    <mergeCell ref="X186:Y186"/>
    <mergeCell ref="AB186:AC186"/>
    <mergeCell ref="AF186:AG186"/>
    <mergeCell ref="X187:Y187"/>
    <mergeCell ref="AB187:AC187"/>
    <mergeCell ref="AF187:AG187"/>
    <mergeCell ref="W138:Y138"/>
    <mergeCell ref="AA138:AC138"/>
    <mergeCell ref="AE138:AG138"/>
    <mergeCell ref="W155:Y155"/>
    <mergeCell ref="AA155:AC155"/>
    <mergeCell ref="AE155:AG155"/>
    <mergeCell ref="AA87:AC87"/>
    <mergeCell ref="AE87:AG87"/>
    <mergeCell ref="W104:Y104"/>
    <mergeCell ref="AA104:AC104"/>
    <mergeCell ref="AE104:AG104"/>
    <mergeCell ref="W121:Y121"/>
    <mergeCell ref="AA121:AC121"/>
    <mergeCell ref="X135:Y135"/>
    <mergeCell ref="AB135:AC135"/>
    <mergeCell ref="AF135:AG135"/>
    <mergeCell ref="X136:Y136"/>
    <mergeCell ref="AB136:AC136"/>
    <mergeCell ref="AF136:AG136"/>
    <mergeCell ref="AE121:AG121"/>
    <mergeCell ref="X102:Y102"/>
    <mergeCell ref="AB102:AC102"/>
    <mergeCell ref="AF102:AG102"/>
    <mergeCell ref="W120:AG120"/>
    <mergeCell ref="W171:AG171"/>
    <mergeCell ref="W188:AG188"/>
    <mergeCell ref="U1:U102"/>
    <mergeCell ref="U103:U204"/>
    <mergeCell ref="W205:AG205"/>
    <mergeCell ref="W222:AG222"/>
    <mergeCell ref="W70:Y70"/>
    <mergeCell ref="AA70:AC70"/>
    <mergeCell ref="AE70:AG70"/>
    <mergeCell ref="W87:Y87"/>
    <mergeCell ref="W154:AG154"/>
    <mergeCell ref="X169:Y169"/>
    <mergeCell ref="AB169:AC169"/>
    <mergeCell ref="AF169:AG169"/>
    <mergeCell ref="X170:Y170"/>
    <mergeCell ref="AB170:AC170"/>
    <mergeCell ref="AF170:AG170"/>
    <mergeCell ref="X152:Y152"/>
    <mergeCell ref="AB152:AC152"/>
    <mergeCell ref="AF152:AG152"/>
    <mergeCell ref="X153:Y153"/>
    <mergeCell ref="AB153:AC153"/>
    <mergeCell ref="AF153:AG153"/>
    <mergeCell ref="AF119:AG119"/>
    <mergeCell ref="AB67:AC67"/>
    <mergeCell ref="AF67:AG67"/>
    <mergeCell ref="W137:AG137"/>
    <mergeCell ref="X118:Y118"/>
    <mergeCell ref="AB118:AC118"/>
    <mergeCell ref="AF118:AG118"/>
    <mergeCell ref="X119:Y119"/>
    <mergeCell ref="AB119:AC119"/>
    <mergeCell ref="AB85:AC85"/>
    <mergeCell ref="AF85:AG85"/>
    <mergeCell ref="W86:AG86"/>
    <mergeCell ref="AA19:AC19"/>
    <mergeCell ref="AE19:AG19"/>
    <mergeCell ref="V103:V136"/>
    <mergeCell ref="V137:V170"/>
    <mergeCell ref="V171:V204"/>
    <mergeCell ref="W103:AG103"/>
    <mergeCell ref="X101:Y101"/>
    <mergeCell ref="AB101:AC101"/>
    <mergeCell ref="AF101:AG101"/>
    <mergeCell ref="X68:Y68"/>
    <mergeCell ref="AB68:AC68"/>
    <mergeCell ref="AF68:AG68"/>
    <mergeCell ref="V35:V68"/>
    <mergeCell ref="V69:V102"/>
    <mergeCell ref="W69:AG69"/>
    <mergeCell ref="X84:Y84"/>
    <mergeCell ref="AB84:AC84"/>
    <mergeCell ref="AF84:AG84"/>
    <mergeCell ref="X85:Y85"/>
    <mergeCell ref="W52:AG52"/>
    <mergeCell ref="W53:Y53"/>
    <mergeCell ref="AA53:AC53"/>
    <mergeCell ref="AE53:AG53"/>
    <mergeCell ref="X67:Y67"/>
    <mergeCell ref="B16:B27"/>
    <mergeCell ref="C16:C19"/>
    <mergeCell ref="C20:C23"/>
    <mergeCell ref="X51:Y51"/>
    <mergeCell ref="AB51:AC51"/>
    <mergeCell ref="AF51:AG51"/>
    <mergeCell ref="W36:Y36"/>
    <mergeCell ref="AA36:AC36"/>
    <mergeCell ref="AE36:AG36"/>
    <mergeCell ref="V1:V34"/>
    <mergeCell ref="W35:AG35"/>
    <mergeCell ref="X50:Y50"/>
    <mergeCell ref="AB50:AC50"/>
    <mergeCell ref="AF50:AG50"/>
    <mergeCell ref="X33:Y33"/>
    <mergeCell ref="AB33:AC33"/>
    <mergeCell ref="AF33:AG33"/>
    <mergeCell ref="X34:Y34"/>
    <mergeCell ref="AB34:AC34"/>
    <mergeCell ref="AF34:AG34"/>
    <mergeCell ref="AF16:AG16"/>
    <mergeCell ref="AF17:AG17"/>
    <mergeCell ref="W18:AG18"/>
    <mergeCell ref="W19:Y19"/>
    <mergeCell ref="K1:P1"/>
    <mergeCell ref="B2:B3"/>
    <mergeCell ref="C2:C3"/>
    <mergeCell ref="A56:A59"/>
    <mergeCell ref="B56:C59"/>
    <mergeCell ref="W1:AG1"/>
    <mergeCell ref="W2:Y2"/>
    <mergeCell ref="AA2:AC2"/>
    <mergeCell ref="AE2:AG2"/>
    <mergeCell ref="X16:Y16"/>
    <mergeCell ref="X17:Y17"/>
    <mergeCell ref="AB16:AC16"/>
    <mergeCell ref="AB17:AC17"/>
    <mergeCell ref="A32:A43"/>
    <mergeCell ref="B32:B43"/>
    <mergeCell ref="C32:C35"/>
    <mergeCell ref="C36:C39"/>
    <mergeCell ref="C40:C43"/>
    <mergeCell ref="A44:A55"/>
    <mergeCell ref="B44:B55"/>
    <mergeCell ref="C44:C47"/>
    <mergeCell ref="C48:C51"/>
    <mergeCell ref="C52:C55"/>
    <mergeCell ref="A16:A27"/>
    <mergeCell ref="E2:E3"/>
    <mergeCell ref="F2:F3"/>
    <mergeCell ref="G2:G3"/>
    <mergeCell ref="C24:C27"/>
    <mergeCell ref="A28:A31"/>
    <mergeCell ref="B28:C31"/>
    <mergeCell ref="N2:N3"/>
    <mergeCell ref="O2:O3"/>
    <mergeCell ref="P2:P3"/>
    <mergeCell ref="A4:A15"/>
    <mergeCell ref="B4:B15"/>
    <mergeCell ref="C4:C7"/>
    <mergeCell ref="C8:C11"/>
    <mergeCell ref="C12:C15"/>
    <mergeCell ref="H2:H3"/>
    <mergeCell ref="I2:I3"/>
    <mergeCell ref="J2:J3"/>
    <mergeCell ref="K2:K3"/>
    <mergeCell ref="L2:L3"/>
    <mergeCell ref="M2:M3"/>
    <mergeCell ref="A1:A3"/>
    <mergeCell ref="B1:C1"/>
    <mergeCell ref="D1:D3"/>
    <mergeCell ref="E1:J1"/>
  </mergeCells>
  <conditionalFormatting sqref="W16">
    <cfRule type="containsText" dxfId="247" priority="165" operator="containsText" text="&lt;">
      <formula>NOT(ISERROR(SEARCH("&lt;",W16)))</formula>
    </cfRule>
    <cfRule type="containsText" dxfId="246" priority="166" operator="containsText" text="&gt;">
      <formula>NOT(ISERROR(SEARCH("&gt;",W16)))</formula>
    </cfRule>
  </conditionalFormatting>
  <conditionalFormatting sqref="W33">
    <cfRule type="containsText" dxfId="245" priority="153" operator="containsText" text="&lt;">
      <formula>NOT(ISERROR(SEARCH("&lt;",W33)))</formula>
    </cfRule>
    <cfRule type="containsText" dxfId="244" priority="154" operator="containsText" text="&gt;">
      <formula>NOT(ISERROR(SEARCH("&gt;",W33)))</formula>
    </cfRule>
  </conditionalFormatting>
  <conditionalFormatting sqref="W50">
    <cfRule type="containsText" dxfId="243" priority="141" operator="containsText" text="&lt;">
      <formula>NOT(ISERROR(SEARCH("&lt;",W50)))</formula>
    </cfRule>
    <cfRule type="containsText" dxfId="242" priority="142" operator="containsText" text="&gt;">
      <formula>NOT(ISERROR(SEARCH("&gt;",W50)))</formula>
    </cfRule>
  </conditionalFormatting>
  <conditionalFormatting sqref="W67">
    <cfRule type="containsText" dxfId="241" priority="129" operator="containsText" text="&lt;">
      <formula>NOT(ISERROR(SEARCH("&lt;",W67)))</formula>
    </cfRule>
    <cfRule type="containsText" dxfId="240" priority="130" operator="containsText" text="&gt;">
      <formula>NOT(ISERROR(SEARCH("&gt;",W67)))</formula>
    </cfRule>
  </conditionalFormatting>
  <conditionalFormatting sqref="W84">
    <cfRule type="containsText" dxfId="239" priority="117" operator="containsText" text="&lt;">
      <formula>NOT(ISERROR(SEARCH("&lt;",W84)))</formula>
    </cfRule>
    <cfRule type="containsText" dxfId="238" priority="118" operator="containsText" text="&gt;">
      <formula>NOT(ISERROR(SEARCH("&gt;",W84)))</formula>
    </cfRule>
  </conditionalFormatting>
  <conditionalFormatting sqref="W101">
    <cfRule type="containsText" dxfId="237" priority="105" operator="containsText" text="&lt;">
      <formula>NOT(ISERROR(SEARCH("&lt;",W101)))</formula>
    </cfRule>
    <cfRule type="containsText" dxfId="236" priority="106" operator="containsText" text="&gt;">
      <formula>NOT(ISERROR(SEARCH("&gt;",W101)))</formula>
    </cfRule>
  </conditionalFormatting>
  <conditionalFormatting sqref="W118">
    <cfRule type="containsText" dxfId="235" priority="93" operator="containsText" text="&lt;">
      <formula>NOT(ISERROR(SEARCH("&lt;",W118)))</formula>
    </cfRule>
    <cfRule type="containsText" dxfId="234" priority="94" operator="containsText" text="&gt;">
      <formula>NOT(ISERROR(SEARCH("&gt;",W118)))</formula>
    </cfRule>
  </conditionalFormatting>
  <conditionalFormatting sqref="W135">
    <cfRule type="containsText" dxfId="233" priority="81" operator="containsText" text="&lt;">
      <formula>NOT(ISERROR(SEARCH("&lt;",W135)))</formula>
    </cfRule>
    <cfRule type="containsText" dxfId="232" priority="82" operator="containsText" text="&gt;">
      <formula>NOT(ISERROR(SEARCH("&gt;",W135)))</formula>
    </cfRule>
  </conditionalFormatting>
  <conditionalFormatting sqref="W152">
    <cfRule type="containsText" dxfId="231" priority="69" operator="containsText" text="&lt;">
      <formula>NOT(ISERROR(SEARCH("&lt;",W152)))</formula>
    </cfRule>
    <cfRule type="containsText" dxfId="230" priority="70" operator="containsText" text="&gt;">
      <formula>NOT(ISERROR(SEARCH("&gt;",W152)))</formula>
    </cfRule>
  </conditionalFormatting>
  <conditionalFormatting sqref="W169">
    <cfRule type="containsText" dxfId="229" priority="57" operator="containsText" text="&lt;">
      <formula>NOT(ISERROR(SEARCH("&lt;",W169)))</formula>
    </cfRule>
    <cfRule type="containsText" dxfId="228" priority="58" operator="containsText" text="&gt;">
      <formula>NOT(ISERROR(SEARCH("&gt;",W169)))</formula>
    </cfRule>
  </conditionalFormatting>
  <conditionalFormatting sqref="W186">
    <cfRule type="containsText" dxfId="227" priority="45" operator="containsText" text="&lt;">
      <formula>NOT(ISERROR(SEARCH("&lt;",W186)))</formula>
    </cfRule>
    <cfRule type="containsText" dxfId="226" priority="46" operator="containsText" text="&gt;">
      <formula>NOT(ISERROR(SEARCH("&gt;",W186)))</formula>
    </cfRule>
  </conditionalFormatting>
  <conditionalFormatting sqref="W203">
    <cfRule type="containsText" dxfId="225" priority="33" operator="containsText" text="&lt;">
      <formula>NOT(ISERROR(SEARCH("&lt;",W203)))</formula>
    </cfRule>
    <cfRule type="containsText" dxfId="224" priority="34" operator="containsText" text="&gt;">
      <formula>NOT(ISERROR(SEARCH("&gt;",W203)))</formula>
    </cfRule>
  </conditionalFormatting>
  <conditionalFormatting sqref="W220">
    <cfRule type="containsText" dxfId="223" priority="21" operator="containsText" text="&lt;">
      <formula>NOT(ISERROR(SEARCH("&lt;",W220)))</formula>
    </cfRule>
    <cfRule type="containsText" dxfId="222" priority="22" operator="containsText" text="&gt;">
      <formula>NOT(ISERROR(SEARCH("&gt;",W220)))</formula>
    </cfRule>
  </conditionalFormatting>
  <conditionalFormatting sqref="W237">
    <cfRule type="containsText" dxfId="221" priority="9" operator="containsText" text="&lt;">
      <formula>NOT(ISERROR(SEARCH("&lt;",W237)))</formula>
    </cfRule>
    <cfRule type="containsText" dxfId="220" priority="10" operator="containsText" text="&gt;">
      <formula>NOT(ISERROR(SEARCH("&gt;",W237)))</formula>
    </cfRule>
  </conditionalFormatting>
  <conditionalFormatting sqref="X16:Y16">
    <cfRule type="cellIs" dxfId="219" priority="167" operator="equal">
      <formula>"Significant"</formula>
    </cfRule>
    <cfRule type="containsText" dxfId="218" priority="168" operator="containsText" text="Not">
      <formula>NOT(ISERROR(SEARCH("Not",X16)))</formula>
    </cfRule>
  </conditionalFormatting>
  <conditionalFormatting sqref="X33:Y33">
    <cfRule type="cellIs" dxfId="217" priority="155" operator="equal">
      <formula>"Significant"</formula>
    </cfRule>
    <cfRule type="containsText" dxfId="216" priority="156" operator="containsText" text="Not">
      <formula>NOT(ISERROR(SEARCH("Not",X33)))</formula>
    </cfRule>
  </conditionalFormatting>
  <conditionalFormatting sqref="X50:Y50">
    <cfRule type="cellIs" dxfId="215" priority="143" operator="equal">
      <formula>"Significant"</formula>
    </cfRule>
    <cfRule type="containsText" dxfId="214" priority="144" operator="containsText" text="Not">
      <formula>NOT(ISERROR(SEARCH("Not",X50)))</formula>
    </cfRule>
  </conditionalFormatting>
  <conditionalFormatting sqref="X67:Y67">
    <cfRule type="cellIs" dxfId="213" priority="131" operator="equal">
      <formula>"Significant"</formula>
    </cfRule>
    <cfRule type="containsText" dxfId="212" priority="132" operator="containsText" text="Not">
      <formula>NOT(ISERROR(SEARCH("Not",X67)))</formula>
    </cfRule>
  </conditionalFormatting>
  <conditionalFormatting sqref="X84:Y84">
    <cfRule type="cellIs" dxfId="211" priority="119" operator="equal">
      <formula>"Significant"</formula>
    </cfRule>
    <cfRule type="containsText" dxfId="210" priority="120" operator="containsText" text="Not">
      <formula>NOT(ISERROR(SEARCH("Not",X84)))</formula>
    </cfRule>
  </conditionalFormatting>
  <conditionalFormatting sqref="X101:Y101">
    <cfRule type="cellIs" dxfId="209" priority="107" operator="equal">
      <formula>"Significant"</formula>
    </cfRule>
    <cfRule type="containsText" dxfId="208" priority="108" operator="containsText" text="Not">
      <formula>NOT(ISERROR(SEARCH("Not",X101)))</formula>
    </cfRule>
  </conditionalFormatting>
  <conditionalFormatting sqref="X118:Y118">
    <cfRule type="cellIs" dxfId="207" priority="95" operator="equal">
      <formula>"Significant"</formula>
    </cfRule>
    <cfRule type="containsText" dxfId="206" priority="96" operator="containsText" text="Not">
      <formula>NOT(ISERROR(SEARCH("Not",X118)))</formula>
    </cfRule>
  </conditionalFormatting>
  <conditionalFormatting sqref="X135:Y135">
    <cfRule type="cellIs" dxfId="205" priority="83" operator="equal">
      <formula>"Significant"</formula>
    </cfRule>
    <cfRule type="containsText" dxfId="204" priority="84" operator="containsText" text="Not">
      <formula>NOT(ISERROR(SEARCH("Not",X135)))</formula>
    </cfRule>
  </conditionalFormatting>
  <conditionalFormatting sqref="X152:Y152">
    <cfRule type="cellIs" dxfId="203" priority="71" operator="equal">
      <formula>"Significant"</formula>
    </cfRule>
    <cfRule type="containsText" dxfId="202" priority="72" operator="containsText" text="Not">
      <formula>NOT(ISERROR(SEARCH("Not",X152)))</formula>
    </cfRule>
  </conditionalFormatting>
  <conditionalFormatting sqref="X169:Y169">
    <cfRule type="cellIs" dxfId="201" priority="59" operator="equal">
      <formula>"Significant"</formula>
    </cfRule>
    <cfRule type="containsText" dxfId="200" priority="60" operator="containsText" text="Not">
      <formula>NOT(ISERROR(SEARCH("Not",X169)))</formula>
    </cfRule>
  </conditionalFormatting>
  <conditionalFormatting sqref="X186:Y186">
    <cfRule type="cellIs" dxfId="199" priority="47" operator="equal">
      <formula>"Significant"</formula>
    </cfRule>
    <cfRule type="containsText" dxfId="198" priority="48" operator="containsText" text="Not">
      <formula>NOT(ISERROR(SEARCH("Not",X186)))</formula>
    </cfRule>
  </conditionalFormatting>
  <conditionalFormatting sqref="X203:Y203">
    <cfRule type="cellIs" dxfId="197" priority="35" operator="equal">
      <formula>"Significant"</formula>
    </cfRule>
    <cfRule type="containsText" dxfId="196" priority="36" operator="containsText" text="Not">
      <formula>NOT(ISERROR(SEARCH("Not",X203)))</formula>
    </cfRule>
  </conditionalFormatting>
  <conditionalFormatting sqref="X220:Y220">
    <cfRule type="cellIs" dxfId="195" priority="23" operator="equal">
      <formula>"Significant"</formula>
    </cfRule>
    <cfRule type="containsText" dxfId="194" priority="24" operator="containsText" text="Not">
      <formula>NOT(ISERROR(SEARCH("Not",X220)))</formula>
    </cfRule>
  </conditionalFormatting>
  <conditionalFormatting sqref="X237:Y237">
    <cfRule type="cellIs" dxfId="193" priority="11" operator="equal">
      <formula>"Significant"</formula>
    </cfRule>
    <cfRule type="containsText" dxfId="192" priority="12" operator="containsText" text="Not">
      <formula>NOT(ISERROR(SEARCH("Not",X237)))</formula>
    </cfRule>
  </conditionalFormatting>
  <conditionalFormatting sqref="AA16">
    <cfRule type="containsText" dxfId="191" priority="161" operator="containsText" text="&lt;">
      <formula>NOT(ISERROR(SEARCH("&lt;",AA16)))</formula>
    </cfRule>
    <cfRule type="containsText" dxfId="190" priority="162" operator="containsText" text="&gt;">
      <formula>NOT(ISERROR(SEARCH("&gt;",AA16)))</formula>
    </cfRule>
  </conditionalFormatting>
  <conditionalFormatting sqref="AA33">
    <cfRule type="containsText" dxfId="189" priority="149" operator="containsText" text="&lt;">
      <formula>NOT(ISERROR(SEARCH("&lt;",AA33)))</formula>
    </cfRule>
    <cfRule type="containsText" dxfId="188" priority="150" operator="containsText" text="&gt;">
      <formula>NOT(ISERROR(SEARCH("&gt;",AA33)))</formula>
    </cfRule>
  </conditionalFormatting>
  <conditionalFormatting sqref="AA50">
    <cfRule type="containsText" dxfId="187" priority="137" operator="containsText" text="&lt;">
      <formula>NOT(ISERROR(SEARCH("&lt;",AA50)))</formula>
    </cfRule>
    <cfRule type="containsText" dxfId="186" priority="138" operator="containsText" text="&gt;">
      <formula>NOT(ISERROR(SEARCH("&gt;",AA50)))</formula>
    </cfRule>
  </conditionalFormatting>
  <conditionalFormatting sqref="AA67">
    <cfRule type="containsText" dxfId="185" priority="125" operator="containsText" text="&lt;">
      <formula>NOT(ISERROR(SEARCH("&lt;",AA67)))</formula>
    </cfRule>
    <cfRule type="containsText" dxfId="184" priority="126" operator="containsText" text="&gt;">
      <formula>NOT(ISERROR(SEARCH("&gt;",AA67)))</formula>
    </cfRule>
  </conditionalFormatting>
  <conditionalFormatting sqref="AA84">
    <cfRule type="containsText" dxfId="183" priority="113" operator="containsText" text="&lt;">
      <formula>NOT(ISERROR(SEARCH("&lt;",AA84)))</formula>
    </cfRule>
    <cfRule type="containsText" dxfId="182" priority="114" operator="containsText" text="&gt;">
      <formula>NOT(ISERROR(SEARCH("&gt;",AA84)))</formula>
    </cfRule>
  </conditionalFormatting>
  <conditionalFormatting sqref="AA101">
    <cfRule type="containsText" dxfId="181" priority="101" operator="containsText" text="&lt;">
      <formula>NOT(ISERROR(SEARCH("&lt;",AA101)))</formula>
    </cfRule>
    <cfRule type="containsText" dxfId="180" priority="102" operator="containsText" text="&gt;">
      <formula>NOT(ISERROR(SEARCH("&gt;",AA101)))</formula>
    </cfRule>
  </conditionalFormatting>
  <conditionalFormatting sqref="AA118">
    <cfRule type="containsText" dxfId="179" priority="89" operator="containsText" text="&lt;">
      <formula>NOT(ISERROR(SEARCH("&lt;",AA118)))</formula>
    </cfRule>
    <cfRule type="containsText" dxfId="178" priority="90" operator="containsText" text="&gt;">
      <formula>NOT(ISERROR(SEARCH("&gt;",AA118)))</formula>
    </cfRule>
  </conditionalFormatting>
  <conditionalFormatting sqref="AA135">
    <cfRule type="containsText" dxfId="177" priority="77" operator="containsText" text="&lt;">
      <formula>NOT(ISERROR(SEARCH("&lt;",AA135)))</formula>
    </cfRule>
    <cfRule type="containsText" dxfId="176" priority="78" operator="containsText" text="&gt;">
      <formula>NOT(ISERROR(SEARCH("&gt;",AA135)))</formula>
    </cfRule>
  </conditionalFormatting>
  <conditionalFormatting sqref="AA152">
    <cfRule type="containsText" dxfId="175" priority="65" operator="containsText" text="&lt;">
      <formula>NOT(ISERROR(SEARCH("&lt;",AA152)))</formula>
    </cfRule>
    <cfRule type="containsText" dxfId="174" priority="66" operator="containsText" text="&gt;">
      <formula>NOT(ISERROR(SEARCH("&gt;",AA152)))</formula>
    </cfRule>
  </conditionalFormatting>
  <conditionalFormatting sqref="AA169">
    <cfRule type="containsText" dxfId="173" priority="53" operator="containsText" text="&lt;">
      <formula>NOT(ISERROR(SEARCH("&lt;",AA169)))</formula>
    </cfRule>
    <cfRule type="containsText" dxfId="172" priority="54" operator="containsText" text="&gt;">
      <formula>NOT(ISERROR(SEARCH("&gt;",AA169)))</formula>
    </cfRule>
  </conditionalFormatting>
  <conditionalFormatting sqref="AA186">
    <cfRule type="containsText" dxfId="171" priority="41" operator="containsText" text="&lt;">
      <formula>NOT(ISERROR(SEARCH("&lt;",AA186)))</formula>
    </cfRule>
    <cfRule type="containsText" dxfId="170" priority="42" operator="containsText" text="&gt;">
      <formula>NOT(ISERROR(SEARCH("&gt;",AA186)))</formula>
    </cfRule>
  </conditionalFormatting>
  <conditionalFormatting sqref="AA203">
    <cfRule type="containsText" dxfId="169" priority="29" operator="containsText" text="&lt;">
      <formula>NOT(ISERROR(SEARCH("&lt;",AA203)))</formula>
    </cfRule>
    <cfRule type="containsText" dxfId="168" priority="30" operator="containsText" text="&gt;">
      <formula>NOT(ISERROR(SEARCH("&gt;",AA203)))</formula>
    </cfRule>
  </conditionalFormatting>
  <conditionalFormatting sqref="AA220">
    <cfRule type="containsText" dxfId="167" priority="17" operator="containsText" text="&lt;">
      <formula>NOT(ISERROR(SEARCH("&lt;",AA220)))</formula>
    </cfRule>
    <cfRule type="containsText" dxfId="166" priority="18" operator="containsText" text="&gt;">
      <formula>NOT(ISERROR(SEARCH("&gt;",AA220)))</formula>
    </cfRule>
  </conditionalFormatting>
  <conditionalFormatting sqref="AA237">
    <cfRule type="containsText" dxfId="165" priority="5" operator="containsText" text="&lt;">
      <formula>NOT(ISERROR(SEARCH("&lt;",AA237)))</formula>
    </cfRule>
    <cfRule type="containsText" dxfId="164" priority="6" operator="containsText" text="&gt;">
      <formula>NOT(ISERROR(SEARCH("&gt;",AA237)))</formula>
    </cfRule>
  </conditionalFormatting>
  <conditionalFormatting sqref="AB16:AC16">
    <cfRule type="cellIs" dxfId="163" priority="163" operator="equal">
      <formula>"Significant"</formula>
    </cfRule>
    <cfRule type="containsText" dxfId="162" priority="164" operator="containsText" text="Not">
      <formula>NOT(ISERROR(SEARCH("Not",AB16)))</formula>
    </cfRule>
  </conditionalFormatting>
  <conditionalFormatting sqref="AB33:AC33">
    <cfRule type="cellIs" dxfId="161" priority="151" operator="equal">
      <formula>"Significant"</formula>
    </cfRule>
    <cfRule type="containsText" dxfId="160" priority="152" operator="containsText" text="Not">
      <formula>NOT(ISERROR(SEARCH("Not",AB33)))</formula>
    </cfRule>
  </conditionalFormatting>
  <conditionalFormatting sqref="AB50:AC50">
    <cfRule type="cellIs" dxfId="159" priority="139" operator="equal">
      <formula>"Significant"</formula>
    </cfRule>
    <cfRule type="containsText" dxfId="158" priority="140" operator="containsText" text="Not">
      <formula>NOT(ISERROR(SEARCH("Not",AB50)))</formula>
    </cfRule>
  </conditionalFormatting>
  <conditionalFormatting sqref="AB67:AC67">
    <cfRule type="cellIs" dxfId="157" priority="127" operator="equal">
      <formula>"Significant"</formula>
    </cfRule>
    <cfRule type="containsText" dxfId="156" priority="128" operator="containsText" text="Not">
      <formula>NOT(ISERROR(SEARCH("Not",AB67)))</formula>
    </cfRule>
  </conditionalFormatting>
  <conditionalFormatting sqref="AB84:AC84">
    <cfRule type="cellIs" dxfId="155" priority="115" operator="equal">
      <formula>"Significant"</formula>
    </cfRule>
    <cfRule type="containsText" dxfId="154" priority="116" operator="containsText" text="Not">
      <formula>NOT(ISERROR(SEARCH("Not",AB84)))</formula>
    </cfRule>
  </conditionalFormatting>
  <conditionalFormatting sqref="AB101:AC101">
    <cfRule type="cellIs" dxfId="153" priority="103" operator="equal">
      <formula>"Significant"</formula>
    </cfRule>
    <cfRule type="containsText" dxfId="152" priority="104" operator="containsText" text="Not">
      <formula>NOT(ISERROR(SEARCH("Not",AB101)))</formula>
    </cfRule>
  </conditionalFormatting>
  <conditionalFormatting sqref="AB118:AC118">
    <cfRule type="cellIs" dxfId="151" priority="91" operator="equal">
      <formula>"Significant"</formula>
    </cfRule>
    <cfRule type="containsText" dxfId="150" priority="92" operator="containsText" text="Not">
      <formula>NOT(ISERROR(SEARCH("Not",AB118)))</formula>
    </cfRule>
  </conditionalFormatting>
  <conditionalFormatting sqref="AB135:AC135">
    <cfRule type="cellIs" dxfId="149" priority="79" operator="equal">
      <formula>"Significant"</formula>
    </cfRule>
    <cfRule type="containsText" dxfId="148" priority="80" operator="containsText" text="Not">
      <formula>NOT(ISERROR(SEARCH("Not",AB135)))</formula>
    </cfRule>
  </conditionalFormatting>
  <conditionalFormatting sqref="AB152:AC152">
    <cfRule type="cellIs" dxfId="147" priority="67" operator="equal">
      <formula>"Significant"</formula>
    </cfRule>
    <cfRule type="containsText" dxfId="146" priority="68" operator="containsText" text="Not">
      <formula>NOT(ISERROR(SEARCH("Not",AB152)))</formula>
    </cfRule>
  </conditionalFormatting>
  <conditionalFormatting sqref="AB169:AC169">
    <cfRule type="cellIs" dxfId="145" priority="55" operator="equal">
      <formula>"Significant"</formula>
    </cfRule>
    <cfRule type="containsText" dxfId="144" priority="56" operator="containsText" text="Not">
      <formula>NOT(ISERROR(SEARCH("Not",AB169)))</formula>
    </cfRule>
  </conditionalFormatting>
  <conditionalFormatting sqref="AB186:AC186">
    <cfRule type="cellIs" dxfId="143" priority="43" operator="equal">
      <formula>"Significant"</formula>
    </cfRule>
    <cfRule type="containsText" dxfId="142" priority="44" operator="containsText" text="Not">
      <formula>NOT(ISERROR(SEARCH("Not",AB186)))</formula>
    </cfRule>
  </conditionalFormatting>
  <conditionalFormatting sqref="AB203:AC203">
    <cfRule type="cellIs" dxfId="141" priority="31" operator="equal">
      <formula>"Significant"</formula>
    </cfRule>
    <cfRule type="containsText" dxfId="140" priority="32" operator="containsText" text="Not">
      <formula>NOT(ISERROR(SEARCH("Not",AB203)))</formula>
    </cfRule>
  </conditionalFormatting>
  <conditionalFormatting sqref="AB220:AC220">
    <cfRule type="cellIs" dxfId="139" priority="19" operator="equal">
      <formula>"Significant"</formula>
    </cfRule>
    <cfRule type="containsText" dxfId="138" priority="20" operator="containsText" text="Not">
      <formula>NOT(ISERROR(SEARCH("Not",AB220)))</formula>
    </cfRule>
  </conditionalFormatting>
  <conditionalFormatting sqref="AB237:AC237">
    <cfRule type="cellIs" dxfId="137" priority="7" operator="equal">
      <formula>"Significant"</formula>
    </cfRule>
    <cfRule type="containsText" dxfId="136" priority="8" operator="containsText" text="Not">
      <formula>NOT(ISERROR(SEARCH("Not",AB237)))</formula>
    </cfRule>
  </conditionalFormatting>
  <conditionalFormatting sqref="AE16">
    <cfRule type="containsText" dxfId="135" priority="157" operator="containsText" text="&lt;">
      <formula>NOT(ISERROR(SEARCH("&lt;",AE16)))</formula>
    </cfRule>
    <cfRule type="containsText" dxfId="134" priority="158" operator="containsText" text="&gt;">
      <formula>NOT(ISERROR(SEARCH("&gt;",AE16)))</formula>
    </cfRule>
  </conditionalFormatting>
  <conditionalFormatting sqref="AE33">
    <cfRule type="containsText" dxfId="133" priority="145" operator="containsText" text="&lt;">
      <formula>NOT(ISERROR(SEARCH("&lt;",AE33)))</formula>
    </cfRule>
    <cfRule type="containsText" dxfId="132" priority="146" operator="containsText" text="&gt;">
      <formula>NOT(ISERROR(SEARCH("&gt;",AE33)))</formula>
    </cfRule>
  </conditionalFormatting>
  <conditionalFormatting sqref="AE50">
    <cfRule type="containsText" dxfId="131" priority="133" operator="containsText" text="&lt;">
      <formula>NOT(ISERROR(SEARCH("&lt;",AE50)))</formula>
    </cfRule>
    <cfRule type="containsText" dxfId="130" priority="134" operator="containsText" text="&gt;">
      <formula>NOT(ISERROR(SEARCH("&gt;",AE50)))</formula>
    </cfRule>
  </conditionalFormatting>
  <conditionalFormatting sqref="AE67">
    <cfRule type="containsText" dxfId="129" priority="121" operator="containsText" text="&lt;">
      <formula>NOT(ISERROR(SEARCH("&lt;",AE67)))</formula>
    </cfRule>
    <cfRule type="containsText" dxfId="128" priority="122" operator="containsText" text="&gt;">
      <formula>NOT(ISERROR(SEARCH("&gt;",AE67)))</formula>
    </cfRule>
  </conditionalFormatting>
  <conditionalFormatting sqref="AE84">
    <cfRule type="containsText" dxfId="127" priority="109" operator="containsText" text="&lt;">
      <formula>NOT(ISERROR(SEARCH("&lt;",AE84)))</formula>
    </cfRule>
    <cfRule type="containsText" dxfId="126" priority="110" operator="containsText" text="&gt;">
      <formula>NOT(ISERROR(SEARCH("&gt;",AE84)))</formula>
    </cfRule>
  </conditionalFormatting>
  <conditionalFormatting sqref="AE101">
    <cfRule type="containsText" dxfId="125" priority="97" operator="containsText" text="&lt;">
      <formula>NOT(ISERROR(SEARCH("&lt;",AE101)))</formula>
    </cfRule>
    <cfRule type="containsText" dxfId="124" priority="98" operator="containsText" text="&gt;">
      <formula>NOT(ISERROR(SEARCH("&gt;",AE101)))</formula>
    </cfRule>
  </conditionalFormatting>
  <conditionalFormatting sqref="AE118">
    <cfRule type="containsText" dxfId="123" priority="85" operator="containsText" text="&lt;">
      <formula>NOT(ISERROR(SEARCH("&lt;",AE118)))</formula>
    </cfRule>
    <cfRule type="containsText" dxfId="122" priority="86" operator="containsText" text="&gt;">
      <formula>NOT(ISERROR(SEARCH("&gt;",AE118)))</formula>
    </cfRule>
  </conditionalFormatting>
  <conditionalFormatting sqref="AE135">
    <cfRule type="containsText" dxfId="121" priority="73" operator="containsText" text="&lt;">
      <formula>NOT(ISERROR(SEARCH("&lt;",AE135)))</formula>
    </cfRule>
    <cfRule type="containsText" dxfId="120" priority="74" operator="containsText" text="&gt;">
      <formula>NOT(ISERROR(SEARCH("&gt;",AE135)))</formula>
    </cfRule>
  </conditionalFormatting>
  <conditionalFormatting sqref="AE152">
    <cfRule type="containsText" dxfId="119" priority="61" operator="containsText" text="&lt;">
      <formula>NOT(ISERROR(SEARCH("&lt;",AE152)))</formula>
    </cfRule>
    <cfRule type="containsText" dxfId="118" priority="62" operator="containsText" text="&gt;">
      <formula>NOT(ISERROR(SEARCH("&gt;",AE152)))</formula>
    </cfRule>
  </conditionalFormatting>
  <conditionalFormatting sqref="AE169">
    <cfRule type="containsText" dxfId="117" priority="49" operator="containsText" text="&lt;">
      <formula>NOT(ISERROR(SEARCH("&lt;",AE169)))</formula>
    </cfRule>
    <cfRule type="containsText" dxfId="116" priority="50" operator="containsText" text="&gt;">
      <formula>NOT(ISERROR(SEARCH("&gt;",AE169)))</formula>
    </cfRule>
  </conditionalFormatting>
  <conditionalFormatting sqref="AE186">
    <cfRule type="containsText" dxfId="115" priority="37" operator="containsText" text="&lt;">
      <formula>NOT(ISERROR(SEARCH("&lt;",AE186)))</formula>
    </cfRule>
    <cfRule type="containsText" dxfId="114" priority="38" operator="containsText" text="&gt;">
      <formula>NOT(ISERROR(SEARCH("&gt;",AE186)))</formula>
    </cfRule>
  </conditionalFormatting>
  <conditionalFormatting sqref="AE203">
    <cfRule type="containsText" dxfId="113" priority="25" operator="containsText" text="&lt;">
      <formula>NOT(ISERROR(SEARCH("&lt;",AE203)))</formula>
    </cfRule>
    <cfRule type="containsText" dxfId="112" priority="26" operator="containsText" text="&gt;">
      <formula>NOT(ISERROR(SEARCH("&gt;",AE203)))</formula>
    </cfRule>
  </conditionalFormatting>
  <conditionalFormatting sqref="AE220">
    <cfRule type="containsText" dxfId="111" priority="13" operator="containsText" text="&lt;">
      <formula>NOT(ISERROR(SEARCH("&lt;",AE220)))</formula>
    </cfRule>
    <cfRule type="containsText" dxfId="110" priority="14" operator="containsText" text="&gt;">
      <formula>NOT(ISERROR(SEARCH("&gt;",AE220)))</formula>
    </cfRule>
  </conditionalFormatting>
  <conditionalFormatting sqref="AE237">
    <cfRule type="containsText" dxfId="109" priority="1" operator="containsText" text="&lt;">
      <formula>NOT(ISERROR(SEARCH("&lt;",AE237)))</formula>
    </cfRule>
    <cfRule type="containsText" dxfId="108" priority="2" operator="containsText" text="&gt;">
      <formula>NOT(ISERROR(SEARCH("&gt;",AE237)))</formula>
    </cfRule>
  </conditionalFormatting>
  <conditionalFormatting sqref="AF16:AG16">
    <cfRule type="cellIs" dxfId="107" priority="159" operator="equal">
      <formula>"Significant"</formula>
    </cfRule>
    <cfRule type="containsText" dxfId="106" priority="160" operator="containsText" text="Not">
      <formula>NOT(ISERROR(SEARCH("Not",AF16)))</formula>
    </cfRule>
  </conditionalFormatting>
  <conditionalFormatting sqref="AF33:AG33">
    <cfRule type="cellIs" dxfId="105" priority="147" operator="equal">
      <formula>"Significant"</formula>
    </cfRule>
    <cfRule type="containsText" dxfId="104" priority="148" operator="containsText" text="Not">
      <formula>NOT(ISERROR(SEARCH("Not",AF33)))</formula>
    </cfRule>
  </conditionalFormatting>
  <conditionalFormatting sqref="AF50:AG50">
    <cfRule type="cellIs" dxfId="103" priority="135" operator="equal">
      <formula>"Significant"</formula>
    </cfRule>
    <cfRule type="containsText" dxfId="102" priority="136" operator="containsText" text="Not">
      <formula>NOT(ISERROR(SEARCH("Not",AF50)))</formula>
    </cfRule>
  </conditionalFormatting>
  <conditionalFormatting sqref="AF67:AG67">
    <cfRule type="cellIs" dxfId="101" priority="123" operator="equal">
      <formula>"Significant"</formula>
    </cfRule>
    <cfRule type="containsText" dxfId="100" priority="124" operator="containsText" text="Not">
      <formula>NOT(ISERROR(SEARCH("Not",AF67)))</formula>
    </cfRule>
  </conditionalFormatting>
  <conditionalFormatting sqref="AF84:AG84">
    <cfRule type="cellIs" dxfId="99" priority="111" operator="equal">
      <formula>"Significant"</formula>
    </cfRule>
    <cfRule type="containsText" dxfId="98" priority="112" operator="containsText" text="Not">
      <formula>NOT(ISERROR(SEARCH("Not",AF84)))</formula>
    </cfRule>
  </conditionalFormatting>
  <conditionalFormatting sqref="AF101:AG101">
    <cfRule type="cellIs" dxfId="97" priority="99" operator="equal">
      <formula>"Significant"</formula>
    </cfRule>
    <cfRule type="containsText" dxfId="96" priority="100" operator="containsText" text="Not">
      <formula>NOT(ISERROR(SEARCH("Not",AF101)))</formula>
    </cfRule>
  </conditionalFormatting>
  <conditionalFormatting sqref="AF118:AG118">
    <cfRule type="cellIs" dxfId="95" priority="87" operator="equal">
      <formula>"Significant"</formula>
    </cfRule>
    <cfRule type="containsText" dxfId="94" priority="88" operator="containsText" text="Not">
      <formula>NOT(ISERROR(SEARCH("Not",AF118)))</formula>
    </cfRule>
  </conditionalFormatting>
  <conditionalFormatting sqref="AF135:AG135">
    <cfRule type="cellIs" dxfId="93" priority="75" operator="equal">
      <formula>"Significant"</formula>
    </cfRule>
    <cfRule type="containsText" dxfId="92" priority="76" operator="containsText" text="Not">
      <formula>NOT(ISERROR(SEARCH("Not",AF135)))</formula>
    </cfRule>
  </conditionalFormatting>
  <conditionalFormatting sqref="AF152:AG152">
    <cfRule type="cellIs" dxfId="91" priority="63" operator="equal">
      <formula>"Significant"</formula>
    </cfRule>
    <cfRule type="containsText" dxfId="90" priority="64" operator="containsText" text="Not">
      <formula>NOT(ISERROR(SEARCH("Not",AF152)))</formula>
    </cfRule>
  </conditionalFormatting>
  <conditionalFormatting sqref="AF169:AG169">
    <cfRule type="cellIs" dxfId="89" priority="51" operator="equal">
      <formula>"Significant"</formula>
    </cfRule>
    <cfRule type="containsText" dxfId="88" priority="52" operator="containsText" text="Not">
      <formula>NOT(ISERROR(SEARCH("Not",AF169)))</formula>
    </cfRule>
  </conditionalFormatting>
  <conditionalFormatting sqref="AF186:AG186">
    <cfRule type="cellIs" dxfId="87" priority="39" operator="equal">
      <formula>"Significant"</formula>
    </cfRule>
    <cfRule type="containsText" dxfId="86" priority="40" operator="containsText" text="Not">
      <formula>NOT(ISERROR(SEARCH("Not",AF186)))</formula>
    </cfRule>
  </conditionalFormatting>
  <conditionalFormatting sqref="AF203:AG203">
    <cfRule type="cellIs" dxfId="85" priority="27" operator="equal">
      <formula>"Significant"</formula>
    </cfRule>
    <cfRule type="containsText" dxfId="84" priority="28" operator="containsText" text="Not">
      <formula>NOT(ISERROR(SEARCH("Not",AF203)))</formula>
    </cfRule>
  </conditionalFormatting>
  <conditionalFormatting sqref="AF220:AG220">
    <cfRule type="cellIs" dxfId="83" priority="15" operator="equal">
      <formula>"Significant"</formula>
    </cfRule>
    <cfRule type="containsText" dxfId="82" priority="16" operator="containsText" text="Not">
      <formula>NOT(ISERROR(SEARCH("Not",AF220)))</formula>
    </cfRule>
  </conditionalFormatting>
  <conditionalFormatting sqref="AF237:AG237">
    <cfRule type="cellIs" dxfId="81" priority="3" operator="equal">
      <formula>"Significant"</formula>
    </cfRule>
    <cfRule type="containsText" dxfId="80" priority="4" operator="containsText" text="Not">
      <formula>NOT(ISERROR(SEARCH("Not",AF237)))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F4E5A-DFCE-441F-94BE-4844A7CEB697}">
  <sheetPr>
    <tabColor theme="8" tint="0.39997558519241921"/>
  </sheetPr>
  <dimension ref="A1:Y80"/>
  <sheetViews>
    <sheetView topLeftCell="A4" zoomScaleNormal="100" workbookViewId="0">
      <selection activeCell="O13" sqref="O13"/>
    </sheetView>
  </sheetViews>
  <sheetFormatPr defaultRowHeight="15" x14ac:dyDescent="0.25"/>
  <cols>
    <col min="1" max="1" width="18.28515625" customWidth="1"/>
    <col min="2" max="2" width="17.28515625" customWidth="1"/>
    <col min="14" max="14" width="12.85546875" customWidth="1"/>
    <col min="15" max="15" width="19.7109375" customWidth="1"/>
    <col min="16" max="17" width="11.28515625" customWidth="1"/>
    <col min="19" max="19" width="17.28515625" customWidth="1"/>
    <col min="20" max="21" width="12" customWidth="1"/>
    <col min="23" max="23" width="19" customWidth="1"/>
    <col min="24" max="25" width="12.42578125" customWidth="1"/>
  </cols>
  <sheetData>
    <row r="1" spans="1:25" x14ac:dyDescent="0.25">
      <c r="A1" s="126" t="s">
        <v>15</v>
      </c>
      <c r="B1" s="126" t="s">
        <v>0</v>
      </c>
      <c r="C1" s="128"/>
      <c r="D1" s="112" t="s">
        <v>12</v>
      </c>
      <c r="E1" s="131" t="s">
        <v>131</v>
      </c>
      <c r="F1" s="131"/>
      <c r="G1" s="131"/>
      <c r="H1" s="131"/>
      <c r="I1" s="131"/>
      <c r="J1" s="132"/>
      <c r="N1" s="151" t="s">
        <v>118</v>
      </c>
      <c r="O1" s="208" t="s">
        <v>5</v>
      </c>
      <c r="P1" s="208"/>
      <c r="Q1" s="208"/>
      <c r="R1" s="208"/>
      <c r="S1" s="208"/>
      <c r="T1" s="208"/>
      <c r="U1" s="208"/>
      <c r="V1" s="208"/>
      <c r="W1" s="208"/>
      <c r="X1" s="208"/>
      <c r="Y1" s="208"/>
    </row>
    <row r="2" spans="1:25" ht="15.75" thickBot="1" x14ac:dyDescent="0.3">
      <c r="A2" s="126"/>
      <c r="B2" s="126" t="s">
        <v>16</v>
      </c>
      <c r="C2" s="128" t="s">
        <v>17</v>
      </c>
      <c r="D2" s="113"/>
      <c r="E2" s="149" t="s">
        <v>1</v>
      </c>
      <c r="F2" s="133" t="s">
        <v>2</v>
      </c>
      <c r="G2" s="133" t="s">
        <v>3</v>
      </c>
      <c r="H2" s="133" t="s">
        <v>4</v>
      </c>
      <c r="I2" s="133" t="s">
        <v>5</v>
      </c>
      <c r="J2" s="133" t="s">
        <v>70</v>
      </c>
      <c r="N2" s="152"/>
      <c r="O2">
        <v>18</v>
      </c>
      <c r="S2">
        <v>34</v>
      </c>
      <c r="W2">
        <v>50</v>
      </c>
    </row>
    <row r="3" spans="1:25" ht="15.75" thickBot="1" x14ac:dyDescent="0.3">
      <c r="A3" s="127"/>
      <c r="B3" s="127"/>
      <c r="C3" s="129"/>
      <c r="D3" s="114"/>
      <c r="E3" s="150"/>
      <c r="F3" s="134"/>
      <c r="G3" s="134"/>
      <c r="H3" s="134"/>
      <c r="I3" s="134"/>
      <c r="J3" s="134"/>
      <c r="N3" s="152"/>
      <c r="O3" s="17"/>
      <c r="P3" s="17" t="s">
        <v>136</v>
      </c>
      <c r="Q3" s="17" t="s">
        <v>137</v>
      </c>
      <c r="S3" s="17"/>
      <c r="T3" s="17" t="s">
        <v>136</v>
      </c>
      <c r="U3" s="17" t="s">
        <v>137</v>
      </c>
      <c r="W3" s="17"/>
      <c r="X3" s="17" t="s">
        <v>136</v>
      </c>
      <c r="Y3" s="17" t="s">
        <v>137</v>
      </c>
    </row>
    <row r="4" spans="1:25" x14ac:dyDescent="0.25">
      <c r="A4" s="111" t="s">
        <v>19</v>
      </c>
      <c r="B4" s="111" t="s">
        <v>18</v>
      </c>
      <c r="C4" s="111">
        <v>18</v>
      </c>
      <c r="D4" s="11">
        <v>1</v>
      </c>
      <c r="E4" s="6">
        <f>Subsheet!R4</f>
        <v>0.69565218687057495</v>
      </c>
      <c r="F4" s="66">
        <f>Subsheet!S4</f>
        <v>0.94736844301223755</v>
      </c>
      <c r="G4" s="66">
        <f>Subsheet!T4</f>
        <v>0.39130434393882751</v>
      </c>
      <c r="H4" s="66">
        <f>Subsheet!U4</f>
        <v>0.55384618043899536</v>
      </c>
      <c r="I4" s="66">
        <f>Subsheet!V4</f>
        <v>0.81092804670333862</v>
      </c>
      <c r="J4" s="66">
        <f>Subsheet!W4</f>
        <v>0.83184784650802612</v>
      </c>
      <c r="N4" s="152"/>
      <c r="O4" t="s">
        <v>75</v>
      </c>
      <c r="P4">
        <v>0.77572236955165863</v>
      </c>
      <c r="Q4">
        <v>0.77613645792007446</v>
      </c>
      <c r="S4" t="s">
        <v>75</v>
      </c>
      <c r="T4">
        <v>0.77858945727348328</v>
      </c>
      <c r="U4">
        <v>0.79687412083148956</v>
      </c>
      <c r="W4" t="s">
        <v>75</v>
      </c>
      <c r="X4">
        <v>0.78404673933982849</v>
      </c>
      <c r="Y4">
        <v>0.7692096084356308</v>
      </c>
    </row>
    <row r="5" spans="1:25" x14ac:dyDescent="0.25">
      <c r="A5" s="105"/>
      <c r="B5" s="105"/>
      <c r="C5" s="105"/>
      <c r="D5" s="3">
        <v>2</v>
      </c>
      <c r="E5">
        <f>Subsheet!R5</f>
        <v>0.66866564750671387</v>
      </c>
      <c r="F5">
        <f>Subsheet!S5</f>
        <v>0.85314685106277466</v>
      </c>
      <c r="G5">
        <f>Subsheet!T5</f>
        <v>0.37888199090957642</v>
      </c>
      <c r="H5">
        <f>Subsheet!U5</f>
        <v>0.52473115921020508</v>
      </c>
      <c r="I5">
        <f>Subsheet!V5</f>
        <v>0.75666570663452148</v>
      </c>
      <c r="J5">
        <f>Subsheet!W5</f>
        <v>0.77139532566070557</v>
      </c>
      <c r="N5" s="152"/>
      <c r="O5" t="s">
        <v>76</v>
      </c>
      <c r="P5">
        <v>7.6214862159762475E-4</v>
      </c>
      <c r="Q5">
        <v>2.2312932126785276E-4</v>
      </c>
      <c r="S5" t="s">
        <v>76</v>
      </c>
      <c r="T5">
        <v>9.2262367131349754E-4</v>
      </c>
      <c r="U5">
        <v>7.791720148195106E-4</v>
      </c>
      <c r="W5" t="s">
        <v>76</v>
      </c>
      <c r="X5">
        <v>3.1366104391139515E-5</v>
      </c>
      <c r="Y5">
        <v>3.3940253783123114E-4</v>
      </c>
    </row>
    <row r="6" spans="1:25" x14ac:dyDescent="0.25">
      <c r="A6" s="105"/>
      <c r="B6" s="105"/>
      <c r="C6" s="105"/>
      <c r="D6" s="3">
        <v>3</v>
      </c>
      <c r="E6">
        <f>Subsheet!R6</f>
        <v>0.61169415712356567</v>
      </c>
      <c r="F6">
        <f>Subsheet!S6</f>
        <v>0.86206895112991333</v>
      </c>
      <c r="G6">
        <f>Subsheet!T6</f>
        <v>0.23291926085948944</v>
      </c>
      <c r="H6">
        <f>Subsheet!U6</f>
        <v>0.3667481541633606</v>
      </c>
      <c r="I6">
        <f>Subsheet!V6</f>
        <v>0.75101274251937866</v>
      </c>
      <c r="J6">
        <f>Subsheet!W6</f>
        <v>0.74560064077377319</v>
      </c>
      <c r="N6" s="152"/>
      <c r="O6" t="s">
        <v>77</v>
      </c>
      <c r="P6">
        <v>4</v>
      </c>
      <c r="Q6">
        <v>4</v>
      </c>
      <c r="S6" t="s">
        <v>77</v>
      </c>
      <c r="T6">
        <v>4</v>
      </c>
      <c r="U6">
        <v>4</v>
      </c>
      <c r="W6" t="s">
        <v>77</v>
      </c>
      <c r="X6">
        <v>4</v>
      </c>
      <c r="Y6">
        <v>4</v>
      </c>
    </row>
    <row r="7" spans="1:25" x14ac:dyDescent="0.25">
      <c r="A7" s="105"/>
      <c r="B7" s="105"/>
      <c r="C7" s="105"/>
      <c r="D7" s="3">
        <v>4</v>
      </c>
      <c r="E7">
        <f>Subsheet!R7</f>
        <v>0.70014995336532593</v>
      </c>
      <c r="F7">
        <f>Subsheet!S7</f>
        <v>0.88125002384185791</v>
      </c>
      <c r="G7">
        <f>Subsheet!T7</f>
        <v>0.43788820505142212</v>
      </c>
      <c r="H7">
        <f>Subsheet!U7</f>
        <v>0.58506226539611816</v>
      </c>
      <c r="I7">
        <f>Subsheet!V7</f>
        <v>0.78428298234939575</v>
      </c>
      <c r="J7">
        <f>Subsheet!W7</f>
        <v>0.80389529466629028</v>
      </c>
      <c r="N7" s="152"/>
      <c r="O7" t="s">
        <v>78</v>
      </c>
      <c r="P7">
        <v>-0.21932693401854667</v>
      </c>
      <c r="S7" t="s">
        <v>78</v>
      </c>
      <c r="T7">
        <v>0.28833572000232865</v>
      </c>
      <c r="W7" t="s">
        <v>78</v>
      </c>
      <c r="X7">
        <v>-0.15291428296362283</v>
      </c>
    </row>
    <row r="8" spans="1:25" x14ac:dyDescent="0.25">
      <c r="A8" s="105"/>
      <c r="B8" s="105"/>
      <c r="C8" s="105">
        <v>34</v>
      </c>
      <c r="D8" s="3">
        <v>1</v>
      </c>
      <c r="E8">
        <f>Subsheet!R8</f>
        <v>0.69115442037582397</v>
      </c>
      <c r="F8">
        <f>Subsheet!S8</f>
        <v>0.89189189672470093</v>
      </c>
      <c r="G8">
        <f>Subsheet!T8</f>
        <v>0.40993788838386536</v>
      </c>
      <c r="H8">
        <f>Subsheet!U8</f>
        <v>0.56170213222503662</v>
      </c>
      <c r="I8">
        <f>Subsheet!V8</f>
        <v>0.79862278699874878</v>
      </c>
      <c r="J8">
        <f>Subsheet!W8</f>
        <v>0.80966544151306152</v>
      </c>
      <c r="N8" s="152"/>
      <c r="O8" t="s">
        <v>79</v>
      </c>
      <c r="P8">
        <v>0</v>
      </c>
      <c r="S8" t="s">
        <v>79</v>
      </c>
      <c r="T8">
        <v>0</v>
      </c>
      <c r="W8" t="s">
        <v>79</v>
      </c>
      <c r="X8">
        <v>0</v>
      </c>
    </row>
    <row r="9" spans="1:25" x14ac:dyDescent="0.25">
      <c r="A9" s="105"/>
      <c r="B9" s="105"/>
      <c r="C9" s="105"/>
      <c r="D9" s="3">
        <v>2</v>
      </c>
      <c r="E9">
        <f>Subsheet!R9</f>
        <v>0.57571214437484741</v>
      </c>
      <c r="F9">
        <f>Subsheet!S9</f>
        <v>0.88235294818878174</v>
      </c>
      <c r="G9">
        <f>Subsheet!T9</f>
        <v>0.13975155353546143</v>
      </c>
      <c r="H9">
        <f>Subsheet!U9</f>
        <v>0.24128685891628265</v>
      </c>
      <c r="I9">
        <f>Subsheet!V9</f>
        <v>0.74853724241256714</v>
      </c>
      <c r="J9">
        <f>Subsheet!W9</f>
        <v>0.74480986595153809</v>
      </c>
      <c r="N9" s="152"/>
      <c r="O9" t="s">
        <v>80</v>
      </c>
      <c r="P9">
        <v>3</v>
      </c>
      <c r="S9" t="s">
        <v>80</v>
      </c>
      <c r="T9">
        <v>3</v>
      </c>
      <c r="W9" t="s">
        <v>80</v>
      </c>
      <c r="X9">
        <v>3</v>
      </c>
    </row>
    <row r="10" spans="1:25" x14ac:dyDescent="0.25">
      <c r="A10" s="105"/>
      <c r="B10" s="105"/>
      <c r="C10" s="105"/>
      <c r="D10" s="3">
        <v>3</v>
      </c>
      <c r="E10">
        <f>Subsheet!R10</f>
        <v>0.66416794061660767</v>
      </c>
      <c r="F10">
        <f>Subsheet!S10</f>
        <v>0.90163934230804443</v>
      </c>
      <c r="G10">
        <f>Subsheet!T10</f>
        <v>0.34161490201950073</v>
      </c>
      <c r="H10">
        <f>Subsheet!U10</f>
        <v>0.4954954981803894</v>
      </c>
      <c r="I10">
        <f>Subsheet!V10</f>
        <v>0.81018096208572388</v>
      </c>
      <c r="J10">
        <f>Subsheet!W10</f>
        <v>0.80914407968521118</v>
      </c>
      <c r="N10" s="152"/>
      <c r="O10" t="s">
        <v>81</v>
      </c>
      <c r="P10">
        <v>-2.4251692138387147E-2</v>
      </c>
      <c r="S10" t="s">
        <v>81</v>
      </c>
      <c r="T10">
        <v>-1.0500567638770888</v>
      </c>
      <c r="W10" t="s">
        <v>81</v>
      </c>
      <c r="X10">
        <v>1.4794225603589861</v>
      </c>
    </row>
    <row r="11" spans="1:25" x14ac:dyDescent="0.25">
      <c r="A11" s="105"/>
      <c r="B11" s="105"/>
      <c r="C11" s="105"/>
      <c r="D11" s="3">
        <v>4</v>
      </c>
      <c r="E11">
        <f>Subsheet!R11</f>
        <v>0.58770614862442017</v>
      </c>
      <c r="F11">
        <f>Subsheet!S11</f>
        <v>0.89830505847930908</v>
      </c>
      <c r="G11">
        <f>Subsheet!T11</f>
        <v>0.16459627449512482</v>
      </c>
      <c r="H11">
        <f>Subsheet!U11</f>
        <v>0.27821522951126099</v>
      </c>
      <c r="I11">
        <f>Subsheet!V11</f>
        <v>0.75701683759689331</v>
      </c>
      <c r="J11">
        <f>Subsheet!W11</f>
        <v>0.76895564794540405</v>
      </c>
      <c r="N11" s="152"/>
      <c r="O11" t="s">
        <v>82</v>
      </c>
      <c r="P11">
        <v>0.49108739238793742</v>
      </c>
      <c r="S11" t="s">
        <v>82</v>
      </c>
      <c r="T11">
        <v>0.18540874051001022</v>
      </c>
      <c r="W11" t="s">
        <v>82</v>
      </c>
      <c r="X11">
        <v>0.11779082737569833</v>
      </c>
    </row>
    <row r="12" spans="1:25" x14ac:dyDescent="0.25">
      <c r="A12" s="105"/>
      <c r="B12" s="105"/>
      <c r="C12" s="105">
        <v>50</v>
      </c>
      <c r="D12" s="3">
        <v>1</v>
      </c>
      <c r="E12">
        <f>Subsheet!R12</f>
        <v>0.64767616987228394</v>
      </c>
      <c r="F12">
        <f>Subsheet!S12</f>
        <v>0.96774190664291382</v>
      </c>
      <c r="G12">
        <f>Subsheet!T12</f>
        <v>0.27950310707092285</v>
      </c>
      <c r="H12">
        <f>Subsheet!U12</f>
        <v>0.4337349534034729</v>
      </c>
      <c r="I12">
        <f>Subsheet!V12</f>
        <v>0.78731662034988403</v>
      </c>
      <c r="J12">
        <f>Subsheet!W12</f>
        <v>0.81632018089294434</v>
      </c>
      <c r="N12" s="152"/>
      <c r="O12" t="s">
        <v>83</v>
      </c>
      <c r="P12">
        <v>2.3533634348018233</v>
      </c>
      <c r="S12" t="s">
        <v>83</v>
      </c>
      <c r="T12">
        <v>2.3533634348018233</v>
      </c>
      <c r="W12" t="s">
        <v>83</v>
      </c>
      <c r="X12">
        <v>2.3533634348018233</v>
      </c>
    </row>
    <row r="13" spans="1:25" x14ac:dyDescent="0.25">
      <c r="A13" s="105"/>
      <c r="B13" s="105"/>
      <c r="C13" s="105"/>
      <c r="D13" s="3">
        <v>2</v>
      </c>
      <c r="E13">
        <f>Subsheet!R13</f>
        <v>0.57871061563491821</v>
      </c>
      <c r="F13">
        <f>Subsheet!S13</f>
        <v>0.97674417495727539</v>
      </c>
      <c r="G13">
        <f>Subsheet!T13</f>
        <v>0.1304347813129425</v>
      </c>
      <c r="H13">
        <f>Subsheet!U13</f>
        <v>0.23013699054718018</v>
      </c>
      <c r="I13">
        <f>Subsheet!V13</f>
        <v>0.77729767560958862</v>
      </c>
      <c r="J13">
        <f>Subsheet!W13</f>
        <v>0.80045926570892334</v>
      </c>
      <c r="N13" s="152"/>
      <c r="O13" t="s">
        <v>84</v>
      </c>
      <c r="P13">
        <v>0.98217478477587483</v>
      </c>
      <c r="S13" t="s">
        <v>84</v>
      </c>
      <c r="T13">
        <v>0.37081748102002043</v>
      </c>
      <c r="W13" t="s">
        <v>84</v>
      </c>
      <c r="X13">
        <v>0.23558165475139667</v>
      </c>
    </row>
    <row r="14" spans="1:25" ht="15.75" thickBot="1" x14ac:dyDescent="0.3">
      <c r="A14" s="105"/>
      <c r="B14" s="105"/>
      <c r="C14" s="105"/>
      <c r="D14" s="3">
        <v>3</v>
      </c>
      <c r="E14">
        <f>Subsheet!R14</f>
        <v>0.57271361351013184</v>
      </c>
      <c r="F14">
        <f>Subsheet!S14</f>
        <v>0.91111111640930176</v>
      </c>
      <c r="G14">
        <f>Subsheet!T14</f>
        <v>0.12732918560504913</v>
      </c>
      <c r="H14">
        <f>Subsheet!U14</f>
        <v>0.2234332412481308</v>
      </c>
      <c r="I14">
        <f>Subsheet!V14</f>
        <v>0.7817986011505127</v>
      </c>
      <c r="J14">
        <f>Subsheet!W14</f>
        <v>0.77736735343933105</v>
      </c>
      <c r="N14" s="152"/>
      <c r="O14" s="16" t="s">
        <v>85</v>
      </c>
      <c r="P14" s="16">
        <v>3.1824463052837091</v>
      </c>
      <c r="Q14" s="16"/>
      <c r="S14" s="16" t="s">
        <v>85</v>
      </c>
      <c r="T14" s="16">
        <v>3.1824463052837091</v>
      </c>
      <c r="U14" s="16"/>
      <c r="W14" s="16" t="s">
        <v>85</v>
      </c>
      <c r="X14" s="16">
        <v>3.1824463052837091</v>
      </c>
      <c r="Y14" s="16"/>
    </row>
    <row r="15" spans="1:25" x14ac:dyDescent="0.25">
      <c r="A15" s="107"/>
      <c r="B15" s="107"/>
      <c r="C15" s="107"/>
      <c r="D15" s="8">
        <v>4</v>
      </c>
      <c r="E15">
        <f>Subsheet!R15</f>
        <v>0.60269862413406372</v>
      </c>
      <c r="F15">
        <f>Subsheet!S15</f>
        <v>0.91304349899291992</v>
      </c>
      <c r="G15">
        <f>Subsheet!T15</f>
        <v>0.19565217196941376</v>
      </c>
      <c r="H15">
        <f>Subsheet!U15</f>
        <v>0.32225063443183899</v>
      </c>
      <c r="I15">
        <f>Subsheet!V15</f>
        <v>0.78977406024932861</v>
      </c>
      <c r="J15">
        <f>Subsheet!W15</f>
        <v>0.78692126274108887</v>
      </c>
      <c r="N15" s="152"/>
      <c r="O15" t="str">
        <f>IF(Q4 &gt; P4, "Pretrained &gt; Fresh", "Pretrained &lt; Fresh")</f>
        <v>Pretrained &gt; Fresh</v>
      </c>
      <c r="P15" s="171" t="str">
        <f>IF(P11 &lt; 0.05, "Significant", "Not Significant")</f>
        <v>Not Significant</v>
      </c>
      <c r="Q15" s="171"/>
      <c r="S15" t="str">
        <f>IF(U4 &gt; T4, "Pretrained &gt; Fresh", "Pretrained &lt; Fresh")</f>
        <v>Pretrained &gt; Fresh</v>
      </c>
      <c r="T15" s="171" t="str">
        <f>IF(T11 &lt; 0.05, "Significant", "Not Significant")</f>
        <v>Not Significant</v>
      </c>
      <c r="U15" s="171"/>
      <c r="W15" t="str">
        <f>IF(Y4 &gt; X4, "Pretrained &gt; Fresh", "Pretrained &lt; Fresh")</f>
        <v>Pretrained &lt; Fresh</v>
      </c>
      <c r="X15" s="171" t="str">
        <f>IF(X11 &lt; 0.05, "Significant", "Not Significant")</f>
        <v>Not Significant</v>
      </c>
      <c r="Y15" s="172"/>
    </row>
    <row r="16" spans="1:25" x14ac:dyDescent="0.25">
      <c r="A16" s="151" t="s">
        <v>20</v>
      </c>
      <c r="B16" s="103" t="s">
        <v>18</v>
      </c>
      <c r="C16" s="103">
        <v>18</v>
      </c>
      <c r="D16" s="10">
        <v>1</v>
      </c>
      <c r="E16">
        <f>Subsheet!R16</f>
        <v>0.64167916774749756</v>
      </c>
      <c r="F16">
        <f>Subsheet!S16</f>
        <v>0.90291261672973633</v>
      </c>
      <c r="G16">
        <f>Subsheet!T16</f>
        <v>0.28881987929344177</v>
      </c>
      <c r="H16">
        <f>Subsheet!U16</f>
        <v>0.43764704465866089</v>
      </c>
      <c r="I16">
        <f>Subsheet!V16</f>
        <v>0.76985323429107666</v>
      </c>
      <c r="J16">
        <f>Subsheet!W16</f>
        <v>0.77507287263870239</v>
      </c>
      <c r="N16" s="152"/>
      <c r="O16">
        <f>P11</f>
        <v>0.49108739238793742</v>
      </c>
      <c r="S16">
        <f>T11</f>
        <v>0.18540874051001022</v>
      </c>
      <c r="W16">
        <f>X11</f>
        <v>0.11779082737569833</v>
      </c>
      <c r="Y16" s="3"/>
    </row>
    <row r="17" spans="1:25" x14ac:dyDescent="0.25">
      <c r="A17" s="152"/>
      <c r="B17" s="105"/>
      <c r="C17" s="105"/>
      <c r="D17" s="3">
        <v>2</v>
      </c>
      <c r="E17">
        <f>Subsheet!R17</f>
        <v>0.5487256646156311</v>
      </c>
      <c r="F17">
        <f>Subsheet!S17</f>
        <v>0.95652174949645996</v>
      </c>
      <c r="G17">
        <f>Subsheet!T17</f>
        <v>6.8322978913784027E-2</v>
      </c>
      <c r="H17">
        <f>Subsheet!U17</f>
        <v>0.12753623723983765</v>
      </c>
      <c r="I17">
        <f>Subsheet!V17</f>
        <v>0.75902420282363892</v>
      </c>
      <c r="J17">
        <f>Subsheet!W17</f>
        <v>0.75366610288619995</v>
      </c>
      <c r="N17" s="152"/>
      <c r="O17" s="208" t="s">
        <v>70</v>
      </c>
      <c r="P17" s="208"/>
      <c r="Q17" s="208"/>
      <c r="R17" s="208"/>
      <c r="S17" s="208"/>
      <c r="T17" s="208"/>
      <c r="U17" s="208"/>
      <c r="V17" s="208"/>
      <c r="W17" s="208"/>
      <c r="X17" s="208"/>
      <c r="Y17" s="208"/>
    </row>
    <row r="18" spans="1:25" ht="15.75" thickBot="1" x14ac:dyDescent="0.3">
      <c r="A18" s="152"/>
      <c r="B18" s="105"/>
      <c r="C18" s="105"/>
      <c r="D18" s="3">
        <v>3</v>
      </c>
      <c r="E18">
        <f>Subsheet!R18</f>
        <v>0.64017993211746216</v>
      </c>
      <c r="F18">
        <f>Subsheet!S18</f>
        <v>0.95555555820465088</v>
      </c>
      <c r="G18">
        <f>Subsheet!T18</f>
        <v>0.26708075404167175</v>
      </c>
      <c r="H18">
        <f>Subsheet!U18</f>
        <v>0.41747573018074036</v>
      </c>
      <c r="I18">
        <f>Subsheet!V18</f>
        <v>0.79346472024917603</v>
      </c>
      <c r="J18">
        <f>Subsheet!W18</f>
        <v>0.81275749206542969</v>
      </c>
      <c r="N18" s="152"/>
      <c r="O18">
        <v>18</v>
      </c>
      <c r="S18">
        <v>34</v>
      </c>
      <c r="W18">
        <v>50</v>
      </c>
    </row>
    <row r="19" spans="1:25" x14ac:dyDescent="0.25">
      <c r="A19" s="152"/>
      <c r="B19" s="105"/>
      <c r="C19" s="105"/>
      <c r="D19" s="3">
        <v>4</v>
      </c>
      <c r="E19">
        <f>Subsheet!R19</f>
        <v>0.64167916774749756</v>
      </c>
      <c r="F19">
        <f>Subsheet!S19</f>
        <v>0.86725664138793945</v>
      </c>
      <c r="G19">
        <f>Subsheet!T19</f>
        <v>0.30434781312942505</v>
      </c>
      <c r="H19">
        <f>Subsheet!U19</f>
        <v>0.45057472586631775</v>
      </c>
      <c r="I19">
        <f>Subsheet!V19</f>
        <v>0.78220367431640625</v>
      </c>
      <c r="J19">
        <f>Subsheet!W19</f>
        <v>0.7842068076133728</v>
      </c>
      <c r="N19" s="152"/>
      <c r="O19" s="17"/>
      <c r="P19" s="17" t="s">
        <v>136</v>
      </c>
      <c r="Q19" s="17" t="s">
        <v>137</v>
      </c>
      <c r="S19" s="17"/>
      <c r="T19" s="17" t="s">
        <v>136</v>
      </c>
      <c r="U19" s="17" t="s">
        <v>137</v>
      </c>
      <c r="W19" s="17"/>
      <c r="X19" s="17" t="s">
        <v>136</v>
      </c>
      <c r="Y19" s="17" t="s">
        <v>137</v>
      </c>
    </row>
    <row r="20" spans="1:25" x14ac:dyDescent="0.25">
      <c r="A20" s="152"/>
      <c r="B20" s="105"/>
      <c r="C20" s="105">
        <v>34</v>
      </c>
      <c r="D20" s="3">
        <v>1</v>
      </c>
      <c r="E20">
        <f>Subsheet!R20</f>
        <v>0.59520238637924194</v>
      </c>
      <c r="F20">
        <f>Subsheet!S20</f>
        <v>1</v>
      </c>
      <c r="G20">
        <f>Subsheet!T20</f>
        <v>0.16149067878723145</v>
      </c>
      <c r="H20">
        <f>Subsheet!U20</f>
        <v>0.27807486057281494</v>
      </c>
      <c r="I20">
        <f>Subsheet!V20</f>
        <v>0.82657301425933838</v>
      </c>
      <c r="J20">
        <f>Subsheet!W20</f>
        <v>0.83123910427093506</v>
      </c>
      <c r="N20" s="152"/>
      <c r="O20" t="s">
        <v>75</v>
      </c>
      <c r="P20">
        <v>0.78818477690219879</v>
      </c>
      <c r="Q20">
        <v>0.78142581880092621</v>
      </c>
      <c r="S20" t="s">
        <v>75</v>
      </c>
      <c r="T20">
        <v>0.78314375877380371</v>
      </c>
      <c r="U20">
        <v>0.79389935731887817</v>
      </c>
      <c r="W20" t="s">
        <v>75</v>
      </c>
      <c r="X20">
        <v>0.7952670156955719</v>
      </c>
      <c r="Y20">
        <v>0.76598691940307617</v>
      </c>
    </row>
    <row r="21" spans="1:25" x14ac:dyDescent="0.25">
      <c r="A21" s="152"/>
      <c r="B21" s="105"/>
      <c r="C21" s="105"/>
      <c r="D21" s="3">
        <v>2</v>
      </c>
      <c r="E21">
        <f>Subsheet!R21</f>
        <v>0.5517241358757019</v>
      </c>
      <c r="F21">
        <f>Subsheet!S21</f>
        <v>0.95999997854232788</v>
      </c>
      <c r="G21">
        <f>Subsheet!T21</f>
        <v>7.4534162878990173E-2</v>
      </c>
      <c r="H21">
        <f>Subsheet!U21</f>
        <v>0.13832853734493256</v>
      </c>
      <c r="I21">
        <f>Subsheet!V21</f>
        <v>0.76547837257385254</v>
      </c>
      <c r="J21">
        <f>Subsheet!W21</f>
        <v>0.74337112903594971</v>
      </c>
      <c r="N21" s="152"/>
      <c r="O21" t="s">
        <v>76</v>
      </c>
      <c r="P21">
        <v>1.4161927795379725E-3</v>
      </c>
      <c r="Q21">
        <v>6.0012313364499192E-4</v>
      </c>
      <c r="S21" t="s">
        <v>76</v>
      </c>
      <c r="T21">
        <v>1.0167353902019727E-3</v>
      </c>
      <c r="U21">
        <v>2.180540648356081E-3</v>
      </c>
      <c r="W21" t="s">
        <v>76</v>
      </c>
      <c r="X21">
        <v>2.867482420979191E-4</v>
      </c>
      <c r="Y21">
        <v>8.3530801455822257E-4</v>
      </c>
    </row>
    <row r="22" spans="1:25" x14ac:dyDescent="0.25">
      <c r="A22" s="152"/>
      <c r="B22" s="105"/>
      <c r="C22" s="105"/>
      <c r="D22" s="3">
        <v>3</v>
      </c>
      <c r="E22">
        <f>Subsheet!R22</f>
        <v>0.65367317199707031</v>
      </c>
      <c r="F22">
        <f>Subsheet!S22</f>
        <v>0.86400002241134644</v>
      </c>
      <c r="G22">
        <f>Subsheet!T22</f>
        <v>0.33540374040603638</v>
      </c>
      <c r="H22">
        <f>Subsheet!U22</f>
        <v>0.48322147130966187</v>
      </c>
      <c r="I22">
        <f>Subsheet!V22</f>
        <v>0.78241962194442749</v>
      </c>
      <c r="J22">
        <f>Subsheet!W22</f>
        <v>0.76508671045303345</v>
      </c>
      <c r="N22" s="152"/>
      <c r="O22" t="s">
        <v>77</v>
      </c>
      <c r="P22">
        <v>4</v>
      </c>
      <c r="Q22">
        <v>4</v>
      </c>
      <c r="S22" t="s">
        <v>77</v>
      </c>
      <c r="T22">
        <v>4</v>
      </c>
      <c r="U22">
        <v>4</v>
      </c>
      <c r="W22" t="s">
        <v>77</v>
      </c>
      <c r="X22">
        <v>4</v>
      </c>
      <c r="Y22">
        <v>4</v>
      </c>
    </row>
    <row r="23" spans="1:25" x14ac:dyDescent="0.25">
      <c r="A23" s="152"/>
      <c r="B23" s="105"/>
      <c r="C23" s="105"/>
      <c r="D23" s="3">
        <v>4</v>
      </c>
      <c r="E23">
        <f>Subsheet!R23</f>
        <v>0.55472266674041748</v>
      </c>
      <c r="F23">
        <f>Subsheet!S23</f>
        <v>1</v>
      </c>
      <c r="G23">
        <f>Subsheet!T23</f>
        <v>7.7639751136302948E-2</v>
      </c>
      <c r="H23">
        <f>Subsheet!U23</f>
        <v>0.14409221708774567</v>
      </c>
      <c r="I23">
        <f>Subsheet!V23</f>
        <v>0.81302547454833984</v>
      </c>
      <c r="J23">
        <f>Subsheet!W23</f>
        <v>0.83590048551559448</v>
      </c>
      <c r="N23" s="152"/>
      <c r="O23" t="s">
        <v>78</v>
      </c>
      <c r="P23">
        <v>-0.39840416419407482</v>
      </c>
      <c r="S23" t="s">
        <v>78</v>
      </c>
      <c r="T23">
        <v>0.3542049112053029</v>
      </c>
      <c r="W23" t="s">
        <v>78</v>
      </c>
      <c r="X23">
        <v>0.89985408054659088</v>
      </c>
    </row>
    <row r="24" spans="1:25" x14ac:dyDescent="0.25">
      <c r="A24" s="152"/>
      <c r="B24" s="105"/>
      <c r="C24" s="105">
        <v>50</v>
      </c>
      <c r="D24" s="3">
        <v>1</v>
      </c>
      <c r="E24">
        <f>Subsheet!R24</f>
        <v>0.70764619112014771</v>
      </c>
      <c r="F24">
        <f>Subsheet!S24</f>
        <v>0.90445858240127563</v>
      </c>
      <c r="G24">
        <f>Subsheet!T24</f>
        <v>0.4409937858581543</v>
      </c>
      <c r="H24">
        <f>Subsheet!U24</f>
        <v>0.59290188550949097</v>
      </c>
      <c r="I24">
        <f>Subsheet!V24</f>
        <v>0.79089921712875366</v>
      </c>
      <c r="J24">
        <f>Subsheet!W24</f>
        <v>0.80758440494537354</v>
      </c>
      <c r="N24" s="152"/>
      <c r="O24" t="s">
        <v>79</v>
      </c>
      <c r="P24">
        <v>0</v>
      </c>
      <c r="S24" t="s">
        <v>79</v>
      </c>
      <c r="T24">
        <v>0</v>
      </c>
      <c r="W24" t="s">
        <v>79</v>
      </c>
      <c r="X24">
        <v>0</v>
      </c>
    </row>
    <row r="25" spans="1:25" x14ac:dyDescent="0.25">
      <c r="A25" s="152"/>
      <c r="B25" s="105"/>
      <c r="C25" s="105"/>
      <c r="D25" s="3">
        <v>2</v>
      </c>
      <c r="E25">
        <f>Subsheet!R25</f>
        <v>0.56671667098999023</v>
      </c>
      <c r="F25">
        <f>Subsheet!S25</f>
        <v>0.90243899822235107</v>
      </c>
      <c r="G25">
        <f>Subsheet!T25</f>
        <v>0.11490683257579803</v>
      </c>
      <c r="H25">
        <f>Subsheet!U25</f>
        <v>0.20385675132274628</v>
      </c>
      <c r="I25">
        <f>Subsheet!V25</f>
        <v>0.77810782194137573</v>
      </c>
      <c r="J25">
        <f>Subsheet!W25</f>
        <v>0.76262819766998291</v>
      </c>
      <c r="N25" s="152"/>
      <c r="O25" t="s">
        <v>80</v>
      </c>
      <c r="P25">
        <v>3</v>
      </c>
      <c r="S25" t="s">
        <v>80</v>
      </c>
      <c r="T25">
        <v>3</v>
      </c>
      <c r="W25" t="s">
        <v>80</v>
      </c>
      <c r="X25">
        <v>3</v>
      </c>
    </row>
    <row r="26" spans="1:25" x14ac:dyDescent="0.25">
      <c r="A26" s="152"/>
      <c r="B26" s="105"/>
      <c r="C26" s="105"/>
      <c r="D26" s="3">
        <v>3</v>
      </c>
      <c r="E26">
        <f>Subsheet!R26</f>
        <v>0.63118439912796021</v>
      </c>
      <c r="F26">
        <f>Subsheet!S26</f>
        <v>0.83333331346511841</v>
      </c>
      <c r="G26">
        <f>Subsheet!T26</f>
        <v>0.29503107070922852</v>
      </c>
      <c r="H26">
        <f>Subsheet!U26</f>
        <v>0.43577980995178223</v>
      </c>
      <c r="I26">
        <f>Subsheet!V26</f>
        <v>0.75454133749008179</v>
      </c>
      <c r="J26">
        <f>Subsheet!W26</f>
        <v>0.75094127655029297</v>
      </c>
      <c r="N26" s="152"/>
      <c r="O26" t="s">
        <v>81</v>
      </c>
      <c r="P26">
        <v>0.25773487394797007</v>
      </c>
      <c r="S26" t="s">
        <v>81</v>
      </c>
      <c r="T26">
        <v>-0.46473643254328334</v>
      </c>
      <c r="W26" t="s">
        <v>81</v>
      </c>
      <c r="X26">
        <v>3.7701657235623438</v>
      </c>
    </row>
    <row r="27" spans="1:25" x14ac:dyDescent="0.25">
      <c r="A27" s="153"/>
      <c r="B27" s="107"/>
      <c r="C27" s="107"/>
      <c r="D27" s="8">
        <v>4</v>
      </c>
      <c r="E27">
        <f>Subsheet!R27</f>
        <v>0.6056971549987793</v>
      </c>
      <c r="F27">
        <f>Subsheet!S27</f>
        <v>0.81052631139755249</v>
      </c>
      <c r="G27">
        <f>Subsheet!T27</f>
        <v>0.23913043737411499</v>
      </c>
      <c r="H27">
        <f>Subsheet!U27</f>
        <v>0.36930456757545471</v>
      </c>
      <c r="I27">
        <f>Subsheet!V27</f>
        <v>0.75329005718231201</v>
      </c>
      <c r="J27">
        <f>Subsheet!W27</f>
        <v>0.74279379844665527</v>
      </c>
      <c r="N27" s="152"/>
      <c r="O27" t="s">
        <v>82</v>
      </c>
      <c r="P27">
        <v>0.40663997009397562</v>
      </c>
      <c r="S27" t="s">
        <v>82</v>
      </c>
      <c r="T27">
        <v>0.33688611668110779</v>
      </c>
      <c r="W27" t="s">
        <v>82</v>
      </c>
      <c r="X27">
        <v>1.6331034794186801E-2</v>
      </c>
    </row>
    <row r="28" spans="1:25" x14ac:dyDescent="0.25">
      <c r="A28" s="105" t="s">
        <v>19</v>
      </c>
      <c r="B28" s="105" t="s">
        <v>22</v>
      </c>
      <c r="C28" s="105">
        <v>18</v>
      </c>
      <c r="D28" s="3">
        <v>1</v>
      </c>
      <c r="E28">
        <f>Subsheet!R28</f>
        <v>0.6821589469909668</v>
      </c>
      <c r="F28">
        <f>Subsheet!S28</f>
        <v>0.94354838132858276</v>
      </c>
      <c r="G28">
        <f>Subsheet!T28</f>
        <v>0.36335402727127075</v>
      </c>
      <c r="H28">
        <f>Subsheet!U28</f>
        <v>0.52466368675231934</v>
      </c>
      <c r="I28">
        <f>Subsheet!V28</f>
        <v>0.83026373386383057</v>
      </c>
      <c r="J28">
        <f>Subsheet!W28</f>
        <v>0.8405226469039917</v>
      </c>
      <c r="N28" s="152"/>
      <c r="O28" t="s">
        <v>83</v>
      </c>
      <c r="P28">
        <v>2.3533634348018233</v>
      </c>
      <c r="S28" t="s">
        <v>83</v>
      </c>
      <c r="T28">
        <v>2.3533634348018233</v>
      </c>
      <c r="W28" t="s">
        <v>83</v>
      </c>
      <c r="X28">
        <v>2.3533634348018233</v>
      </c>
    </row>
    <row r="29" spans="1:25" x14ac:dyDescent="0.25">
      <c r="A29" s="105"/>
      <c r="B29" s="105"/>
      <c r="C29" s="105"/>
      <c r="D29" s="3">
        <v>2</v>
      </c>
      <c r="E29">
        <f>Subsheet!R29</f>
        <v>0.70464766025543213</v>
      </c>
      <c r="F29">
        <f>Subsheet!S29</f>
        <v>0.95620435476303101</v>
      </c>
      <c r="G29">
        <f>Subsheet!T29</f>
        <v>0.40683230757713318</v>
      </c>
      <c r="H29">
        <f>Subsheet!U29</f>
        <v>0.57080608606338501</v>
      </c>
      <c r="I29">
        <f>Subsheet!V29</f>
        <v>0.83759111166000366</v>
      </c>
      <c r="J29">
        <f>Subsheet!W29</f>
        <v>0.86107492446899414</v>
      </c>
      <c r="N29" s="152"/>
      <c r="O29" t="s">
        <v>84</v>
      </c>
      <c r="P29">
        <v>0.81327994018795124</v>
      </c>
      <c r="S29" t="s">
        <v>84</v>
      </c>
      <c r="T29">
        <v>0.67377223336221559</v>
      </c>
      <c r="W29" t="s">
        <v>84</v>
      </c>
      <c r="X29">
        <v>3.2662069588373602E-2</v>
      </c>
    </row>
    <row r="30" spans="1:25" ht="15.75" thickBot="1" x14ac:dyDescent="0.3">
      <c r="A30" s="105"/>
      <c r="B30" s="105"/>
      <c r="C30" s="105"/>
      <c r="D30" s="3">
        <v>3</v>
      </c>
      <c r="E30">
        <f>Subsheet!R30</f>
        <v>0.66116940975189209</v>
      </c>
      <c r="F30">
        <f>Subsheet!S30</f>
        <v>0.91379308700561523</v>
      </c>
      <c r="G30">
        <f>Subsheet!T30</f>
        <v>0.32919254899024963</v>
      </c>
      <c r="H30">
        <f>Subsheet!U30</f>
        <v>0.48401826620101929</v>
      </c>
      <c r="I30">
        <f>Subsheet!V30</f>
        <v>0.81490683555603027</v>
      </c>
      <c r="J30">
        <f>Subsheet!W30</f>
        <v>0.8039366602897644</v>
      </c>
      <c r="N30" s="152"/>
      <c r="O30" s="16" t="s">
        <v>85</v>
      </c>
      <c r="P30" s="16">
        <v>3.1824463052837091</v>
      </c>
      <c r="Q30" s="16"/>
      <c r="S30" s="16" t="s">
        <v>85</v>
      </c>
      <c r="T30" s="16">
        <v>3.1824463052837091</v>
      </c>
      <c r="U30" s="16"/>
      <c r="W30" s="16" t="s">
        <v>85</v>
      </c>
      <c r="X30" s="16">
        <v>3.1824463052837091</v>
      </c>
      <c r="Y30" s="16"/>
    </row>
    <row r="31" spans="1:25" x14ac:dyDescent="0.25">
      <c r="A31" s="105"/>
      <c r="B31" s="105"/>
      <c r="C31" s="105"/>
      <c r="D31" s="3">
        <v>4</v>
      </c>
      <c r="E31">
        <f>Subsheet!R31</f>
        <v>0.66416794061660767</v>
      </c>
      <c r="F31">
        <f>Subsheet!S31</f>
        <v>0.9375</v>
      </c>
      <c r="G31">
        <f>Subsheet!T31</f>
        <v>0.32608696818351746</v>
      </c>
      <c r="H31">
        <f>Subsheet!U31</f>
        <v>0.48387095332145691</v>
      </c>
      <c r="I31">
        <f>Subsheet!V31</f>
        <v>0.82868844270706177</v>
      </c>
      <c r="J31">
        <f>Subsheet!W31</f>
        <v>0.83844238519668579</v>
      </c>
      <c r="N31" s="152"/>
      <c r="O31" t="str">
        <f>IF(Q20 &gt; P20, "Pretrained &gt; Fresh", "Pretrained &lt; Fresh")</f>
        <v>Pretrained &lt; Fresh</v>
      </c>
      <c r="P31" s="171" t="str">
        <f>IF(P27 &lt; 0.05, "Significant", "Not Significant")</f>
        <v>Not Significant</v>
      </c>
      <c r="Q31" s="171"/>
      <c r="S31" t="str">
        <f>IF(U20 &gt; T20, "Pretrained &gt; Fresh", "Pretrained &lt; Fresh")</f>
        <v>Pretrained &gt; Fresh</v>
      </c>
      <c r="T31" s="171" t="str">
        <f>IF(T27 &lt; 0.05, "Significant", "Not Significant")</f>
        <v>Not Significant</v>
      </c>
      <c r="U31" s="171"/>
      <c r="W31" t="str">
        <f>IF(Y20 &gt; X20, "Pretrained &gt; Fresh", "Pretrained &lt; Fresh")</f>
        <v>Pretrained &lt; Fresh</v>
      </c>
      <c r="X31" s="171" t="str">
        <f>IF(X27 &lt; 0.05, "Significant", "Not Significant")</f>
        <v>Significant</v>
      </c>
      <c r="Y31" s="172"/>
    </row>
    <row r="32" spans="1:25" x14ac:dyDescent="0.25">
      <c r="A32" s="105"/>
      <c r="B32" s="105"/>
      <c r="C32" s="105">
        <v>34</v>
      </c>
      <c r="D32" s="3">
        <v>1</v>
      </c>
      <c r="E32">
        <f>Subsheet!R32</f>
        <v>0.69115442037582397</v>
      </c>
      <c r="F32">
        <f>Subsheet!S32</f>
        <v>0.92028987407684326</v>
      </c>
      <c r="G32">
        <f>Subsheet!T32</f>
        <v>0.39440992474555969</v>
      </c>
      <c r="H32">
        <f>Subsheet!U32</f>
        <v>0.552173912525177</v>
      </c>
      <c r="I32">
        <f>Subsheet!V32</f>
        <v>0.82170307636260986</v>
      </c>
      <c r="J32">
        <f>Subsheet!W32</f>
        <v>0.84582829475402832</v>
      </c>
      <c r="N32" s="153"/>
      <c r="O32">
        <f>P27</f>
        <v>0.40663997009397562</v>
      </c>
      <c r="S32">
        <f>T27</f>
        <v>0.33688611668110779</v>
      </c>
      <c r="W32">
        <f>X27</f>
        <v>1.6331034794186801E-2</v>
      </c>
      <c r="Y32" s="3"/>
    </row>
    <row r="33" spans="1:25" x14ac:dyDescent="0.25">
      <c r="A33" s="105"/>
      <c r="B33" s="105"/>
      <c r="C33" s="105"/>
      <c r="D33" s="3">
        <v>2</v>
      </c>
      <c r="E33">
        <f>Subsheet!R33</f>
        <v>0.686656653881073</v>
      </c>
      <c r="F33">
        <f>Subsheet!S33</f>
        <v>0.94488191604614258</v>
      </c>
      <c r="G33">
        <f>Subsheet!T33</f>
        <v>0.37267079949378967</v>
      </c>
      <c r="H33">
        <f>Subsheet!U33</f>
        <v>0.53452116250991821</v>
      </c>
      <c r="I33">
        <f>Subsheet!V33</f>
        <v>0.84011161327362061</v>
      </c>
      <c r="J33">
        <f>Subsheet!W33</f>
        <v>0.85692673921585083</v>
      </c>
      <c r="N33" s="151" t="s">
        <v>132</v>
      </c>
      <c r="O33" s="208" t="s">
        <v>5</v>
      </c>
      <c r="P33" s="208"/>
      <c r="Q33" s="208"/>
      <c r="R33" s="208"/>
      <c r="S33" s="208"/>
      <c r="T33" s="208"/>
      <c r="U33" s="208"/>
      <c r="V33" s="208"/>
      <c r="W33" s="208"/>
      <c r="X33" s="208"/>
      <c r="Y33" s="208"/>
    </row>
    <row r="34" spans="1:25" ht="15.75" thickBot="1" x14ac:dyDescent="0.3">
      <c r="A34" s="105"/>
      <c r="B34" s="105"/>
      <c r="C34" s="105"/>
      <c r="D34" s="3">
        <v>3</v>
      </c>
      <c r="E34">
        <f>Subsheet!R34</f>
        <v>0.6056971549987793</v>
      </c>
      <c r="F34">
        <f>Subsheet!S34</f>
        <v>0.94029849767684937</v>
      </c>
      <c r="G34">
        <f>Subsheet!T34</f>
        <v>0.19565217196941376</v>
      </c>
      <c r="H34">
        <f>Subsheet!U34</f>
        <v>0.32390746474266052</v>
      </c>
      <c r="I34">
        <f>Subsheet!V34</f>
        <v>0.79760563373565674</v>
      </c>
      <c r="J34">
        <f>Subsheet!W34</f>
        <v>0.80536586046218872</v>
      </c>
      <c r="N34" s="152"/>
      <c r="O34">
        <v>18</v>
      </c>
      <c r="S34">
        <v>34</v>
      </c>
      <c r="W34">
        <v>50</v>
      </c>
    </row>
    <row r="35" spans="1:25" x14ac:dyDescent="0.25">
      <c r="A35" s="105"/>
      <c r="B35" s="105"/>
      <c r="C35" s="105"/>
      <c r="D35" s="3">
        <v>4</v>
      </c>
      <c r="E35">
        <f>Subsheet!R35</f>
        <v>0.73913043737411499</v>
      </c>
      <c r="F35">
        <f>Subsheet!S35</f>
        <v>0.95121949911117554</v>
      </c>
      <c r="G35">
        <f>Subsheet!T35</f>
        <v>0.48447203636169434</v>
      </c>
      <c r="H35">
        <f>Subsheet!U35</f>
        <v>0.6419752836227417</v>
      </c>
      <c r="I35">
        <f>Subsheet!V35</f>
        <v>0.84823113679885864</v>
      </c>
      <c r="J35">
        <f>Subsheet!W35</f>
        <v>0.86757785081863403</v>
      </c>
      <c r="N35" s="152"/>
      <c r="O35" s="17"/>
      <c r="P35" s="17" t="s">
        <v>136</v>
      </c>
      <c r="Q35" s="17" t="s">
        <v>137</v>
      </c>
      <c r="S35" s="17"/>
      <c r="T35" s="17" t="s">
        <v>136</v>
      </c>
      <c r="U35" s="17" t="s">
        <v>137</v>
      </c>
      <c r="W35" s="17"/>
      <c r="X35" s="17" t="s">
        <v>136</v>
      </c>
      <c r="Y35" s="17" t="s">
        <v>137</v>
      </c>
    </row>
    <row r="36" spans="1:25" x14ac:dyDescent="0.25">
      <c r="A36" s="105"/>
      <c r="B36" s="105"/>
      <c r="C36" s="105">
        <v>50</v>
      </c>
      <c r="D36" s="3">
        <v>1</v>
      </c>
      <c r="E36">
        <f>Subsheet!R36</f>
        <v>0.7061469554901123</v>
      </c>
      <c r="F36">
        <f>Subsheet!S36</f>
        <v>0.88414633274078369</v>
      </c>
      <c r="G36">
        <f>Subsheet!T36</f>
        <v>0.45031055808067322</v>
      </c>
      <c r="H36">
        <f>Subsheet!U36</f>
        <v>0.59670782089233398</v>
      </c>
      <c r="I36">
        <f>Subsheet!V36</f>
        <v>0.82557386159896851</v>
      </c>
      <c r="J36">
        <f>Subsheet!W36</f>
        <v>0.81472784280776978</v>
      </c>
      <c r="N36" s="152"/>
      <c r="O36" t="s">
        <v>75</v>
      </c>
      <c r="P36">
        <v>0.82786253094673157</v>
      </c>
      <c r="Q36">
        <v>0.8073476254940033</v>
      </c>
      <c r="S36" t="s">
        <v>75</v>
      </c>
      <c r="T36">
        <v>0.82691286504268646</v>
      </c>
      <c r="U36">
        <v>0.81196328997612</v>
      </c>
      <c r="W36" t="s">
        <v>75</v>
      </c>
      <c r="X36">
        <v>0.80174858868122101</v>
      </c>
      <c r="Y36">
        <v>0.85305155813694</v>
      </c>
    </row>
    <row r="37" spans="1:25" x14ac:dyDescent="0.25">
      <c r="A37" s="105"/>
      <c r="B37" s="105"/>
      <c r="C37" s="105"/>
      <c r="D37" s="3">
        <v>2</v>
      </c>
      <c r="E37">
        <f>Subsheet!R37</f>
        <v>0.67766118049621582</v>
      </c>
      <c r="F37">
        <f>Subsheet!S37</f>
        <v>0.89051097631454468</v>
      </c>
      <c r="G37">
        <f>Subsheet!T37</f>
        <v>0.37888199090957642</v>
      </c>
      <c r="H37">
        <f>Subsheet!U37</f>
        <v>0.53159040212631226</v>
      </c>
      <c r="I37">
        <f>Subsheet!V37</f>
        <v>0.79344677925109863</v>
      </c>
      <c r="J37">
        <f>Subsheet!W37</f>
        <v>0.81689566373825073</v>
      </c>
      <c r="N37" s="152"/>
      <c r="O37" t="s">
        <v>76</v>
      </c>
      <c r="P37">
        <v>8.9647743812075006E-5</v>
      </c>
      <c r="Q37">
        <v>7.031109975604484E-5</v>
      </c>
      <c r="S37" t="s">
        <v>76</v>
      </c>
      <c r="T37">
        <v>5.0491045683613101E-4</v>
      </c>
      <c r="U37">
        <v>7.1686648571045453E-5</v>
      </c>
      <c r="W37" t="s">
        <v>76</v>
      </c>
      <c r="X37">
        <v>1.0514073904047312E-3</v>
      </c>
      <c r="Y37">
        <v>2.1949787969877121E-4</v>
      </c>
    </row>
    <row r="38" spans="1:25" x14ac:dyDescent="0.25">
      <c r="A38" s="105"/>
      <c r="B38" s="105"/>
      <c r="C38" s="105"/>
      <c r="D38" s="3">
        <v>3</v>
      </c>
      <c r="E38">
        <f>Subsheet!R38</f>
        <v>0.63868063688278198</v>
      </c>
      <c r="F38">
        <f>Subsheet!S38</f>
        <v>0.90099012851715088</v>
      </c>
      <c r="G38">
        <f>Subsheet!T38</f>
        <v>0.28260868787765503</v>
      </c>
      <c r="H38">
        <f>Subsheet!U38</f>
        <v>0.43026003241539001</v>
      </c>
      <c r="I38">
        <f>Subsheet!V38</f>
        <v>0.75936627388000488</v>
      </c>
      <c r="J38">
        <f>Subsheet!W38</f>
        <v>0.78163182735443115</v>
      </c>
      <c r="N38" s="152"/>
      <c r="O38" t="s">
        <v>77</v>
      </c>
      <c r="P38">
        <v>4</v>
      </c>
      <c r="Q38">
        <v>4</v>
      </c>
      <c r="S38" t="s">
        <v>77</v>
      </c>
      <c r="T38">
        <v>4</v>
      </c>
      <c r="U38">
        <v>4</v>
      </c>
      <c r="W38" t="s">
        <v>77</v>
      </c>
      <c r="X38">
        <v>4</v>
      </c>
      <c r="Y38">
        <v>4</v>
      </c>
    </row>
    <row r="39" spans="1:25" x14ac:dyDescent="0.25">
      <c r="A39" s="105"/>
      <c r="B39" s="105"/>
      <c r="C39" s="105"/>
      <c r="D39" s="3">
        <v>4</v>
      </c>
      <c r="E39">
        <f>Subsheet!R39</f>
        <v>0.65067464113235474</v>
      </c>
      <c r="F39">
        <f>Subsheet!S39</f>
        <v>0.98901098966598511</v>
      </c>
      <c r="G39">
        <f>Subsheet!T39</f>
        <v>0.27950310707092285</v>
      </c>
      <c r="H39">
        <f>Subsheet!U39</f>
        <v>0.43583536148071289</v>
      </c>
      <c r="I39">
        <f>Subsheet!V39</f>
        <v>0.82860743999481201</v>
      </c>
      <c r="J39">
        <f>Subsheet!W39</f>
        <v>0.85883533954620361</v>
      </c>
      <c r="N39" s="152"/>
      <c r="O39" t="s">
        <v>78</v>
      </c>
      <c r="P39">
        <v>-0.94565805347532617</v>
      </c>
      <c r="S39" t="s">
        <v>78</v>
      </c>
      <c r="T39">
        <v>-0.29607270027219051</v>
      </c>
      <c r="W39" t="s">
        <v>78</v>
      </c>
      <c r="X39">
        <v>9.4735638499368433E-2</v>
      </c>
    </row>
    <row r="40" spans="1:25" x14ac:dyDescent="0.25">
      <c r="A40" s="151" t="s">
        <v>24</v>
      </c>
      <c r="B40" s="103" t="s">
        <v>21</v>
      </c>
      <c r="C40" s="103">
        <v>18</v>
      </c>
      <c r="D40" s="10">
        <v>1</v>
      </c>
      <c r="E40">
        <f>Subsheet!R52</f>
        <v>0.7061469554901123</v>
      </c>
      <c r="F40">
        <f>Subsheet!S52</f>
        <v>0.9038461446762085</v>
      </c>
      <c r="G40">
        <f>Subsheet!T52</f>
        <v>0.43788820505142212</v>
      </c>
      <c r="H40">
        <f>Subsheet!U52</f>
        <v>0.58995813131332397</v>
      </c>
      <c r="I40">
        <f>Subsheet!V52</f>
        <v>0.8092537522315979</v>
      </c>
      <c r="J40">
        <f>Subsheet!W52</f>
        <v>0.82250732183456421</v>
      </c>
      <c r="N40" s="152"/>
      <c r="O40" t="s">
        <v>79</v>
      </c>
      <c r="P40">
        <v>0</v>
      </c>
      <c r="S40" t="s">
        <v>79</v>
      </c>
      <c r="T40">
        <v>0</v>
      </c>
      <c r="W40" t="s">
        <v>79</v>
      </c>
      <c r="X40">
        <v>0</v>
      </c>
    </row>
    <row r="41" spans="1:25" x14ac:dyDescent="0.25">
      <c r="A41" s="152"/>
      <c r="B41" s="105"/>
      <c r="C41" s="105"/>
      <c r="D41" s="3">
        <v>2</v>
      </c>
      <c r="E41">
        <f>Subsheet!R53</f>
        <v>0.59220391511917114</v>
      </c>
      <c r="F41">
        <f>Subsheet!S53</f>
        <v>0.96296298503875732</v>
      </c>
      <c r="G41">
        <f>Subsheet!T53</f>
        <v>0.16149067878723145</v>
      </c>
      <c r="H41">
        <f>Subsheet!U53</f>
        <v>0.27659574151039124</v>
      </c>
      <c r="I41">
        <f>Subsheet!V53</f>
        <v>0.7968403697013855</v>
      </c>
      <c r="J41">
        <f>Subsheet!W53</f>
        <v>0.81430995464324951</v>
      </c>
      <c r="N41" s="152"/>
      <c r="O41" t="s">
        <v>80</v>
      </c>
      <c r="P41">
        <v>3</v>
      </c>
      <c r="S41" t="s">
        <v>80</v>
      </c>
      <c r="T41">
        <v>3</v>
      </c>
      <c r="W41" t="s">
        <v>80</v>
      </c>
      <c r="X41">
        <v>3</v>
      </c>
    </row>
    <row r="42" spans="1:25" x14ac:dyDescent="0.25">
      <c r="A42" s="152"/>
      <c r="B42" s="105"/>
      <c r="C42" s="105"/>
      <c r="D42" s="3">
        <v>3</v>
      </c>
      <c r="E42">
        <f>Subsheet!R54</f>
        <v>0.73013490438461304</v>
      </c>
      <c r="F42">
        <f>Subsheet!S54</f>
        <v>0.90804594755172729</v>
      </c>
      <c r="G42">
        <f>Subsheet!T54</f>
        <v>0.49068322777748108</v>
      </c>
      <c r="H42">
        <f>Subsheet!U54</f>
        <v>0.63709676265716553</v>
      </c>
      <c r="I42">
        <f>Subsheet!V54</f>
        <v>0.81712120771408081</v>
      </c>
      <c r="J42">
        <f>Subsheet!W54</f>
        <v>0.84133291244506836</v>
      </c>
      <c r="N42" s="152"/>
      <c r="O42" t="s">
        <v>81</v>
      </c>
      <c r="P42">
        <v>2.3299011623120416</v>
      </c>
      <c r="S42" t="s">
        <v>81</v>
      </c>
      <c r="T42">
        <v>1.13885766521776</v>
      </c>
      <c r="W42" t="s">
        <v>81</v>
      </c>
      <c r="X42">
        <v>-2.9871215015116199</v>
      </c>
    </row>
    <row r="43" spans="1:25" x14ac:dyDescent="0.25">
      <c r="A43" s="152"/>
      <c r="B43" s="105"/>
      <c r="C43" s="105"/>
      <c r="D43" s="3">
        <v>4</v>
      </c>
      <c r="E43">
        <f>Subsheet!R55</f>
        <v>0.73913043737411499</v>
      </c>
      <c r="F43">
        <f>Subsheet!S55</f>
        <v>0.85922330617904663</v>
      </c>
      <c r="G43">
        <f>Subsheet!T55</f>
        <v>0.54968941211700439</v>
      </c>
      <c r="H43">
        <f>Subsheet!U55</f>
        <v>0.67045456171035767</v>
      </c>
      <c r="I43">
        <f>Subsheet!V55</f>
        <v>0.80617517232894897</v>
      </c>
      <c r="J43">
        <f>Subsheet!W55</f>
        <v>0.8273080587387085</v>
      </c>
      <c r="N43" s="152"/>
      <c r="O43" t="s">
        <v>82</v>
      </c>
      <c r="P43">
        <v>5.1078504356219474E-2</v>
      </c>
      <c r="S43" t="s">
        <v>82</v>
      </c>
      <c r="T43">
        <v>0.16873530666615622</v>
      </c>
      <c r="W43" t="s">
        <v>82</v>
      </c>
      <c r="X43">
        <v>2.9132202761474341E-2</v>
      </c>
    </row>
    <row r="44" spans="1:25" x14ac:dyDescent="0.25">
      <c r="A44" s="152"/>
      <c r="B44" s="105"/>
      <c r="C44" s="105">
        <v>34</v>
      </c>
      <c r="D44" s="3">
        <v>1</v>
      </c>
      <c r="E44">
        <f>Subsheet!R56</f>
        <v>0.70464766025543213</v>
      </c>
      <c r="F44">
        <f>Subsheet!S56</f>
        <v>0.87425148487091064</v>
      </c>
      <c r="G44">
        <f>Subsheet!T56</f>
        <v>0.4534161388874054</v>
      </c>
      <c r="H44">
        <f>Subsheet!U56</f>
        <v>0.59713703393936157</v>
      </c>
      <c r="I44">
        <f>Subsheet!V56</f>
        <v>0.81300747394561768</v>
      </c>
      <c r="J44">
        <f>Subsheet!W56</f>
        <v>0.82522678375244141</v>
      </c>
      <c r="N44" s="152"/>
      <c r="O44" t="s">
        <v>83</v>
      </c>
      <c r="P44">
        <v>2.3533634348018233</v>
      </c>
      <c r="S44" t="s">
        <v>83</v>
      </c>
      <c r="T44">
        <v>2.3533634348018233</v>
      </c>
      <c r="W44" t="s">
        <v>83</v>
      </c>
      <c r="X44">
        <v>2.3533634348018233</v>
      </c>
    </row>
    <row r="45" spans="1:25" x14ac:dyDescent="0.25">
      <c r="A45" s="152"/>
      <c r="B45" s="105"/>
      <c r="C45" s="105"/>
      <c r="D45" s="3">
        <v>2</v>
      </c>
      <c r="E45">
        <f>Subsheet!R57</f>
        <v>0.66566717624664307</v>
      </c>
      <c r="F45">
        <f>Subsheet!S57</f>
        <v>0.93805307149887085</v>
      </c>
      <c r="G45">
        <f>Subsheet!T57</f>
        <v>0.32919254899024963</v>
      </c>
      <c r="H45">
        <f>Subsheet!U57</f>
        <v>0.48735633492469788</v>
      </c>
      <c r="I45">
        <f>Subsheet!V57</f>
        <v>0.82100105285644531</v>
      </c>
      <c r="J45">
        <f>Subsheet!W57</f>
        <v>0.83263492584228516</v>
      </c>
      <c r="N45" s="152"/>
      <c r="O45" t="s">
        <v>84</v>
      </c>
      <c r="P45">
        <v>0.10215700871243895</v>
      </c>
      <c r="S45" t="s">
        <v>84</v>
      </c>
      <c r="T45">
        <v>0.33747061333231243</v>
      </c>
      <c r="W45" t="s">
        <v>84</v>
      </c>
      <c r="X45">
        <v>5.8264405522948683E-2</v>
      </c>
    </row>
    <row r="46" spans="1:25" ht="15.75" thickBot="1" x14ac:dyDescent="0.3">
      <c r="A46" s="152"/>
      <c r="B46" s="105"/>
      <c r="C46" s="105"/>
      <c r="D46" s="3">
        <v>3</v>
      </c>
      <c r="E46">
        <f>Subsheet!R58</f>
        <v>0.59970015287399292</v>
      </c>
      <c r="F46">
        <f>Subsheet!S58</f>
        <v>0.96610170602798462</v>
      </c>
      <c r="G46">
        <f>Subsheet!T58</f>
        <v>0.17701862752437592</v>
      </c>
      <c r="H46">
        <f>Subsheet!U58</f>
        <v>0.29921260476112366</v>
      </c>
      <c r="I46">
        <f>Subsheet!V58</f>
        <v>0.81330454349517822</v>
      </c>
      <c r="J46">
        <f>Subsheet!W58</f>
        <v>0.82211685180664063</v>
      </c>
      <c r="N46" s="152"/>
      <c r="O46" s="16" t="s">
        <v>85</v>
      </c>
      <c r="P46" s="16">
        <v>3.1824463052837091</v>
      </c>
      <c r="Q46" s="16"/>
      <c r="S46" s="16" t="s">
        <v>85</v>
      </c>
      <c r="T46" s="16">
        <v>3.1824463052837091</v>
      </c>
      <c r="U46" s="16"/>
      <c r="W46" s="16" t="s">
        <v>85</v>
      </c>
      <c r="X46" s="16">
        <v>3.1824463052837091</v>
      </c>
      <c r="Y46" s="16"/>
    </row>
    <row r="47" spans="1:25" x14ac:dyDescent="0.25">
      <c r="A47" s="152"/>
      <c r="B47" s="105"/>
      <c r="C47" s="105"/>
      <c r="D47" s="3">
        <v>4</v>
      </c>
      <c r="E47">
        <f>Subsheet!R59</f>
        <v>0.6836581826210022</v>
      </c>
      <c r="F47">
        <f>Subsheet!S59</f>
        <v>0.89361703395843506</v>
      </c>
      <c r="G47">
        <f>Subsheet!T59</f>
        <v>0.39130434393882751</v>
      </c>
      <c r="H47">
        <f>Subsheet!U59</f>
        <v>0.54427647590637207</v>
      </c>
      <c r="I47">
        <f>Subsheet!V59</f>
        <v>0.80054008960723877</v>
      </c>
      <c r="J47">
        <f>Subsheet!W59</f>
        <v>0.80730128288269043</v>
      </c>
      <c r="N47" s="152"/>
      <c r="O47" t="str">
        <f>IF(Q36 &gt; P36, "Pretrained &gt; Fresh", "Pretrained &lt; Fresh")</f>
        <v>Pretrained &lt; Fresh</v>
      </c>
      <c r="P47" s="171" t="str">
        <f>IF(P43 &lt; 0.05, "Significant", "Not Significant")</f>
        <v>Not Significant</v>
      </c>
      <c r="Q47" s="171"/>
      <c r="S47" t="str">
        <f>IF(U36 &gt; T36, "Pretrained &gt; Fresh", "Pretrained &lt; Fresh")</f>
        <v>Pretrained &lt; Fresh</v>
      </c>
      <c r="T47" s="171" t="str">
        <f>IF(T43 &lt; 0.05, "Significant", "Not Significant")</f>
        <v>Not Significant</v>
      </c>
      <c r="U47" s="171"/>
      <c r="W47" t="str">
        <f>IF(Y36 &gt; X36, "Pretrained &gt; Fresh", "Pretrained &lt; Fresh")</f>
        <v>Pretrained &gt; Fresh</v>
      </c>
      <c r="X47" s="171" t="str">
        <f>IF(X43 &lt; 0.05, "Significant", "Not Significant")</f>
        <v>Significant</v>
      </c>
      <c r="Y47" s="172"/>
    </row>
    <row r="48" spans="1:25" x14ac:dyDescent="0.25">
      <c r="A48" s="152"/>
      <c r="B48" s="105"/>
      <c r="C48" s="105">
        <v>50</v>
      </c>
      <c r="D48" s="3">
        <v>1</v>
      </c>
      <c r="E48">
        <f>Subsheet!R60</f>
        <v>0.69715142250061035</v>
      </c>
      <c r="F48">
        <f>Subsheet!S60</f>
        <v>0.95454543828964233</v>
      </c>
      <c r="G48">
        <f>Subsheet!T60</f>
        <v>0.39130434393882751</v>
      </c>
      <c r="H48">
        <f>Subsheet!U60</f>
        <v>0.55506610870361328</v>
      </c>
      <c r="I48">
        <f>Subsheet!V60</f>
        <v>0.83881539106369019</v>
      </c>
      <c r="J48">
        <f>Subsheet!W60</f>
        <v>0.85628980398178101</v>
      </c>
      <c r="N48" s="152"/>
      <c r="O48">
        <f>P43</f>
        <v>5.1078504356219474E-2</v>
      </c>
      <c r="S48">
        <f>T43</f>
        <v>0.16873530666615622</v>
      </c>
      <c r="W48">
        <f>X43</f>
        <v>2.9132202761474341E-2</v>
      </c>
      <c r="Y48" s="3"/>
    </row>
    <row r="49" spans="1:25" x14ac:dyDescent="0.25">
      <c r="A49" s="152"/>
      <c r="B49" s="105"/>
      <c r="C49" s="105"/>
      <c r="D49" s="3">
        <v>2</v>
      </c>
      <c r="E49">
        <f>Subsheet!R61</f>
        <v>0.70164918899536133</v>
      </c>
      <c r="F49">
        <f>Subsheet!S61</f>
        <v>0.96946567296981812</v>
      </c>
      <c r="G49">
        <f>Subsheet!T61</f>
        <v>0.39440992474555969</v>
      </c>
      <c r="H49">
        <f>Subsheet!U61</f>
        <v>0.56070637702941895</v>
      </c>
      <c r="I49">
        <f>Subsheet!V61</f>
        <v>0.84496355056762695</v>
      </c>
      <c r="J49">
        <f>Subsheet!W61</f>
        <v>0.87243711948394775</v>
      </c>
      <c r="N49" s="152"/>
      <c r="O49" s="208" t="s">
        <v>70</v>
      </c>
      <c r="P49" s="208"/>
      <c r="Q49" s="208"/>
      <c r="R49" s="208"/>
      <c r="S49" s="208"/>
      <c r="T49" s="208"/>
      <c r="U49" s="208"/>
      <c r="V49" s="208"/>
      <c r="W49" s="208"/>
      <c r="X49" s="208"/>
      <c r="Y49" s="208"/>
    </row>
    <row r="50" spans="1:25" ht="15.75" thickBot="1" x14ac:dyDescent="0.3">
      <c r="A50" s="152"/>
      <c r="B50" s="105"/>
      <c r="C50" s="105"/>
      <c r="D50" s="3">
        <v>3</v>
      </c>
      <c r="E50">
        <f>Subsheet!R62</f>
        <v>0.67466264963150024</v>
      </c>
      <c r="F50">
        <f>Subsheet!S62</f>
        <v>0.94117647409439087</v>
      </c>
      <c r="G50">
        <f>Subsheet!T62</f>
        <v>0.34782609343528748</v>
      </c>
      <c r="H50">
        <f>Subsheet!U62</f>
        <v>0.50793653726577759</v>
      </c>
      <c r="I50">
        <f>Subsheet!V62</f>
        <v>0.85581052303314209</v>
      </c>
      <c r="J50">
        <f>Subsheet!W62</f>
        <v>0.8517577052116394</v>
      </c>
      <c r="N50" s="152"/>
      <c r="O50">
        <v>18</v>
      </c>
      <c r="S50">
        <v>34</v>
      </c>
      <c r="W50">
        <v>50</v>
      </c>
    </row>
    <row r="51" spans="1:25" x14ac:dyDescent="0.25">
      <c r="A51" s="153"/>
      <c r="B51" s="107"/>
      <c r="C51" s="107"/>
      <c r="D51" s="8">
        <v>4</v>
      </c>
      <c r="E51">
        <f>Subsheet!R63</f>
        <v>0.77811092138290405</v>
      </c>
      <c r="F51">
        <f>Subsheet!S63</f>
        <v>0.8883928656578064</v>
      </c>
      <c r="G51">
        <f>Subsheet!T63</f>
        <v>0.61801242828369141</v>
      </c>
      <c r="H51">
        <f>Subsheet!U63</f>
        <v>0.72893774509429932</v>
      </c>
      <c r="I51">
        <f>Subsheet!V63</f>
        <v>0.87261676788330078</v>
      </c>
      <c r="J51">
        <f>Subsheet!W63</f>
        <v>0.88236367702484131</v>
      </c>
      <c r="N51" s="152"/>
      <c r="O51" s="17"/>
      <c r="P51" s="17" t="s">
        <v>136</v>
      </c>
      <c r="Q51" s="17" t="s">
        <v>137</v>
      </c>
      <c r="S51" s="17"/>
      <c r="T51" s="17" t="s">
        <v>136</v>
      </c>
      <c r="U51" s="17" t="s">
        <v>137</v>
      </c>
      <c r="W51" s="17"/>
      <c r="X51" s="17" t="s">
        <v>136</v>
      </c>
      <c r="Y51" s="17" t="s">
        <v>137</v>
      </c>
    </row>
    <row r="52" spans="1:25" x14ac:dyDescent="0.25">
      <c r="A52" s="105" t="s">
        <v>19</v>
      </c>
      <c r="B52" s="105" t="s">
        <v>25</v>
      </c>
      <c r="C52" s="105"/>
      <c r="D52" s="3">
        <v>1</v>
      </c>
      <c r="E52">
        <f>Subsheet!R64</f>
        <v>0.51724135875701904</v>
      </c>
      <c r="F52">
        <f>Subsheet!S64</f>
        <v>0</v>
      </c>
      <c r="G52">
        <f>Subsheet!T64</f>
        <v>0</v>
      </c>
      <c r="H52">
        <f>Subsheet!U64</f>
        <v>0</v>
      </c>
      <c r="I52">
        <f>Subsheet!V64</f>
        <v>0.58995407819747925</v>
      </c>
      <c r="J52">
        <f>Subsheet!W64</f>
        <v>0.54980528354644775</v>
      </c>
      <c r="N52" s="152"/>
      <c r="O52" t="s">
        <v>75</v>
      </c>
      <c r="P52">
        <v>0.83599415421485901</v>
      </c>
      <c r="Q52">
        <v>0.82636456191539764</v>
      </c>
      <c r="S52" t="s">
        <v>75</v>
      </c>
      <c r="T52">
        <v>0.84392468631267548</v>
      </c>
      <c r="U52">
        <v>0.8218199610710144</v>
      </c>
      <c r="W52" t="s">
        <v>75</v>
      </c>
      <c r="X52">
        <v>0.81802266836166382</v>
      </c>
      <c r="Y52">
        <v>0.86571207642555237</v>
      </c>
    </row>
    <row r="53" spans="1:25" x14ac:dyDescent="0.25">
      <c r="A53" s="105"/>
      <c r="B53" s="105"/>
      <c r="C53" s="105"/>
      <c r="D53" s="3">
        <v>2</v>
      </c>
      <c r="E53">
        <f>Subsheet!R65</f>
        <v>0.51724135875701904</v>
      </c>
      <c r="F53">
        <f>Subsheet!S65</f>
        <v>0</v>
      </c>
      <c r="G53">
        <f>Subsheet!T65</f>
        <v>0</v>
      </c>
      <c r="H53">
        <f>Subsheet!U65</f>
        <v>0</v>
      </c>
      <c r="I53">
        <f>Subsheet!V65</f>
        <v>0.57148265838623047</v>
      </c>
      <c r="J53">
        <f>Subsheet!W65</f>
        <v>0.51970010995864868</v>
      </c>
      <c r="N53" s="152"/>
      <c r="O53" t="s">
        <v>76</v>
      </c>
      <c r="P53">
        <v>5.6107634475803059E-4</v>
      </c>
      <c r="Q53">
        <v>1.2837785378720193E-4</v>
      </c>
      <c r="S53" t="s">
        <v>76</v>
      </c>
      <c r="T53">
        <v>7.3964411563635457E-4</v>
      </c>
      <c r="U53">
        <v>1.131500214105093E-4</v>
      </c>
      <c r="W53" t="s">
        <v>76</v>
      </c>
      <c r="X53">
        <v>1.0006978177609465E-3</v>
      </c>
      <c r="Y53">
        <v>2.0200190021194922E-4</v>
      </c>
    </row>
    <row r="54" spans="1:25" x14ac:dyDescent="0.25">
      <c r="A54" s="105"/>
      <c r="B54" s="105"/>
      <c r="C54" s="105"/>
      <c r="D54" s="3">
        <v>3</v>
      </c>
      <c r="E54">
        <f>Subsheet!R66</f>
        <v>0.51724135875701904</v>
      </c>
      <c r="F54">
        <f>Subsheet!S66</f>
        <v>0</v>
      </c>
      <c r="G54">
        <f>Subsheet!T66</f>
        <v>0</v>
      </c>
      <c r="H54">
        <f>Subsheet!U66</f>
        <v>0</v>
      </c>
      <c r="I54">
        <f>Subsheet!V66</f>
        <v>0.56578445434570313</v>
      </c>
      <c r="J54">
        <f>Subsheet!W66</f>
        <v>0.52146589756011963</v>
      </c>
      <c r="N54" s="152"/>
      <c r="O54" t="s">
        <v>77</v>
      </c>
      <c r="P54">
        <v>4</v>
      </c>
      <c r="Q54">
        <v>4</v>
      </c>
      <c r="S54" t="s">
        <v>77</v>
      </c>
      <c r="T54">
        <v>4</v>
      </c>
      <c r="U54">
        <v>4</v>
      </c>
      <c r="W54" t="s">
        <v>77</v>
      </c>
      <c r="X54">
        <v>4</v>
      </c>
      <c r="Y54">
        <v>4</v>
      </c>
    </row>
    <row r="55" spans="1:25" x14ac:dyDescent="0.25">
      <c r="A55" s="105"/>
      <c r="B55" s="105"/>
      <c r="C55" s="105"/>
      <c r="D55" s="3">
        <v>4</v>
      </c>
      <c r="E55">
        <f>Subsheet!R67</f>
        <v>0.51724135875701904</v>
      </c>
      <c r="F55">
        <f>Subsheet!S67</f>
        <v>0</v>
      </c>
      <c r="G55">
        <f>Subsheet!T67</f>
        <v>0</v>
      </c>
      <c r="H55">
        <f>Subsheet!U67</f>
        <v>0</v>
      </c>
      <c r="I55">
        <f>Subsheet!V67</f>
        <v>0.64655685424804688</v>
      </c>
      <c r="J55">
        <f>Subsheet!W67</f>
        <v>0.59876233339309692</v>
      </c>
      <c r="N55" s="152"/>
      <c r="O55" t="s">
        <v>78</v>
      </c>
      <c r="P55">
        <v>-0.99030407124817577</v>
      </c>
      <c r="S55" t="s">
        <v>78</v>
      </c>
      <c r="T55">
        <v>-0.23938597357708247</v>
      </c>
      <c r="W55" t="s">
        <v>78</v>
      </c>
      <c r="X55">
        <v>0.89773510128254663</v>
      </c>
    </row>
    <row r="56" spans="1:25" x14ac:dyDescent="0.25">
      <c r="A56" s="151" t="s">
        <v>24</v>
      </c>
      <c r="B56" s="103" t="s">
        <v>27</v>
      </c>
      <c r="C56" s="103"/>
      <c r="D56" s="10">
        <v>1</v>
      </c>
      <c r="E56">
        <f>Subsheet!R72</f>
        <v>0.77811092138290405</v>
      </c>
      <c r="F56">
        <f>Subsheet!S72</f>
        <v>0.8883928656578064</v>
      </c>
      <c r="G56">
        <f>Subsheet!T72</f>
        <v>0.61801242828369141</v>
      </c>
      <c r="H56">
        <f>Subsheet!U72</f>
        <v>0.72893774509429932</v>
      </c>
      <c r="I56">
        <f>Subsheet!V72</f>
        <v>0.87261676788330078</v>
      </c>
      <c r="J56">
        <f>Subsheet!W72</f>
        <v>0.88236367702484131</v>
      </c>
      <c r="N56" s="152"/>
      <c r="O56" t="s">
        <v>79</v>
      </c>
      <c r="P56">
        <v>0</v>
      </c>
      <c r="S56" t="s">
        <v>79</v>
      </c>
      <c r="T56">
        <v>0</v>
      </c>
      <c r="W56" t="s">
        <v>79</v>
      </c>
      <c r="X56">
        <v>0</v>
      </c>
    </row>
    <row r="57" spans="1:25" x14ac:dyDescent="0.25">
      <c r="A57" s="152"/>
      <c r="B57" s="105"/>
      <c r="C57" s="105"/>
      <c r="D57" s="3">
        <v>2</v>
      </c>
      <c r="E57">
        <f>Subsheet!R73</f>
        <v>0.63118439912796021</v>
      </c>
      <c r="F57">
        <f>Subsheet!S73</f>
        <v>0.96341460943222046</v>
      </c>
      <c r="G57">
        <f>Subsheet!T73</f>
        <v>0.24534161388874054</v>
      </c>
      <c r="H57">
        <f>Subsheet!U73</f>
        <v>0.39108911156654358</v>
      </c>
      <c r="I57">
        <f>Subsheet!V73</f>
        <v>0.7917904257774353</v>
      </c>
      <c r="J57">
        <f>Subsheet!W73</f>
        <v>0.8060762882232666</v>
      </c>
      <c r="N57" s="152"/>
      <c r="O57" t="s">
        <v>80</v>
      </c>
      <c r="P57">
        <v>3</v>
      </c>
      <c r="S57" t="s">
        <v>80</v>
      </c>
      <c r="T57">
        <v>3</v>
      </c>
      <c r="W57" t="s">
        <v>80</v>
      </c>
      <c r="X57">
        <v>3</v>
      </c>
    </row>
    <row r="58" spans="1:25" x14ac:dyDescent="0.25">
      <c r="A58" s="152"/>
      <c r="B58" s="105"/>
      <c r="C58" s="105"/>
      <c r="D58" s="3">
        <v>3</v>
      </c>
      <c r="E58">
        <f>Subsheet!R74</f>
        <v>0.6071963906288147</v>
      </c>
      <c r="F58">
        <f>Subsheet!S74</f>
        <v>0.91666668653488159</v>
      </c>
      <c r="G58">
        <f>Subsheet!T74</f>
        <v>0.20496894419193268</v>
      </c>
      <c r="H58">
        <f>Subsheet!U74</f>
        <v>0.3350253701210022</v>
      </c>
      <c r="I58">
        <f>Subsheet!V74</f>
        <v>0.78153741359710693</v>
      </c>
      <c r="J58">
        <f>Subsheet!W74</f>
        <v>0.7847602367401123</v>
      </c>
      <c r="N58" s="152"/>
      <c r="O58" t="s">
        <v>81</v>
      </c>
      <c r="P58">
        <v>0.55115917024606698</v>
      </c>
      <c r="S58" t="s">
        <v>81</v>
      </c>
      <c r="T58">
        <v>1.4041471254338209</v>
      </c>
      <c r="W58" t="s">
        <v>81</v>
      </c>
      <c r="X58">
        <v>-4.7962921758742434</v>
      </c>
    </row>
    <row r="59" spans="1:25" x14ac:dyDescent="0.25">
      <c r="A59" s="153"/>
      <c r="B59" s="107"/>
      <c r="C59" s="107"/>
      <c r="D59" s="8">
        <v>4</v>
      </c>
      <c r="E59">
        <f>Subsheet!R75</f>
        <v>0.69565218687057495</v>
      </c>
      <c r="F59">
        <f>Subsheet!S75</f>
        <v>0.8399999737739563</v>
      </c>
      <c r="G59">
        <f>Subsheet!T75</f>
        <v>0.45652174949645996</v>
      </c>
      <c r="H59">
        <f>Subsheet!U75</f>
        <v>0.59154927730560303</v>
      </c>
      <c r="I59">
        <f>Subsheet!V75</f>
        <v>0.79415792226791382</v>
      </c>
      <c r="J59">
        <f>Subsheet!W75</f>
        <v>0.80812555551528931</v>
      </c>
      <c r="N59" s="152"/>
      <c r="O59" t="s">
        <v>82</v>
      </c>
      <c r="P59">
        <v>0.30995850512735978</v>
      </c>
      <c r="S59" t="s">
        <v>82</v>
      </c>
      <c r="T59">
        <v>0.12744733847886397</v>
      </c>
      <c r="W59" t="s">
        <v>82</v>
      </c>
      <c r="X59">
        <v>8.6221681390986626E-3</v>
      </c>
    </row>
    <row r="60" spans="1:25" x14ac:dyDescent="0.25">
      <c r="N60" s="152"/>
      <c r="O60" t="s">
        <v>83</v>
      </c>
      <c r="P60">
        <v>2.3533634348018233</v>
      </c>
      <c r="S60" t="s">
        <v>83</v>
      </c>
      <c r="T60">
        <v>2.3533634348018233</v>
      </c>
      <c r="W60" t="s">
        <v>83</v>
      </c>
      <c r="X60">
        <v>2.3533634348018233</v>
      </c>
    </row>
    <row r="61" spans="1:25" x14ac:dyDescent="0.25">
      <c r="N61" s="152"/>
      <c r="O61" t="s">
        <v>84</v>
      </c>
      <c r="P61">
        <v>0.61991701025471957</v>
      </c>
      <c r="S61" t="s">
        <v>84</v>
      </c>
      <c r="T61">
        <v>0.25489467695772794</v>
      </c>
      <c r="W61" t="s">
        <v>84</v>
      </c>
      <c r="X61">
        <v>1.7244336278197325E-2</v>
      </c>
    </row>
    <row r="62" spans="1:25" ht="15.75" thickBot="1" x14ac:dyDescent="0.3">
      <c r="N62" s="152"/>
      <c r="O62" s="16" t="s">
        <v>85</v>
      </c>
      <c r="P62" s="16">
        <v>3.1824463052837091</v>
      </c>
      <c r="Q62" s="16"/>
      <c r="S62" s="16" t="s">
        <v>85</v>
      </c>
      <c r="T62" s="16">
        <v>3.1824463052837091</v>
      </c>
      <c r="U62" s="16"/>
      <c r="W62" s="16" t="s">
        <v>85</v>
      </c>
      <c r="X62" s="16">
        <v>3.1824463052837091</v>
      </c>
      <c r="Y62" s="16"/>
    </row>
    <row r="63" spans="1:25" x14ac:dyDescent="0.25">
      <c r="N63" s="152"/>
      <c r="O63" t="str">
        <f>IF(Q52 &gt; P52, "Pretrained &gt; Fresh", "Pretrained &lt; Fresh")</f>
        <v>Pretrained &lt; Fresh</v>
      </c>
      <c r="P63" s="171" t="str">
        <f>IF(P59 &lt; 0.05, "Significant", "Not Significant")</f>
        <v>Not Significant</v>
      </c>
      <c r="Q63" s="171"/>
      <c r="S63" t="str">
        <f>IF(U52 &gt; T52, "Pretrained &gt; Fresh", "Pretrained &lt; Fresh")</f>
        <v>Pretrained &lt; Fresh</v>
      </c>
      <c r="T63" s="171" t="str">
        <f>IF(T59 &lt; 0.05, "Significant", "Not Significant")</f>
        <v>Not Significant</v>
      </c>
      <c r="U63" s="171"/>
      <c r="W63" t="str">
        <f>IF(Y52 &gt; X52, "Pretrained &gt; Fresh", "Pretrained &lt; Fresh")</f>
        <v>Pretrained &gt; Fresh</v>
      </c>
      <c r="X63" s="171" t="str">
        <f>IF(X59 &lt; 0.05, "Significant", "Not Significant")</f>
        <v>Significant</v>
      </c>
      <c r="Y63" s="172"/>
    </row>
    <row r="64" spans="1:25" x14ac:dyDescent="0.25">
      <c r="N64" s="153"/>
      <c r="O64" s="7">
        <f>P59</f>
        <v>0.30995850512735978</v>
      </c>
      <c r="P64" s="7"/>
      <c r="Q64" s="7"/>
      <c r="R64" s="7"/>
      <c r="S64" s="7">
        <f>T59</f>
        <v>0.12744733847886397</v>
      </c>
      <c r="T64" s="7"/>
      <c r="U64" s="7"/>
      <c r="V64" s="7"/>
      <c r="W64" s="7">
        <f>X59</f>
        <v>8.6221681390986626E-3</v>
      </c>
      <c r="X64" s="7"/>
      <c r="Y64" s="8"/>
    </row>
    <row r="65" spans="14:21" x14ac:dyDescent="0.25">
      <c r="N65" s="151" t="s">
        <v>27</v>
      </c>
      <c r="O65" s="209" t="s">
        <v>5</v>
      </c>
      <c r="P65" s="209"/>
      <c r="Q65" s="209"/>
      <c r="R65" s="9"/>
      <c r="S65" s="209" t="s">
        <v>70</v>
      </c>
      <c r="T65" s="209"/>
      <c r="U65" s="209"/>
    </row>
    <row r="66" spans="14:21" ht="15.75" thickBot="1" x14ac:dyDescent="0.3">
      <c r="N66" s="152"/>
    </row>
    <row r="67" spans="14:21" x14ac:dyDescent="0.25">
      <c r="N67" s="152"/>
      <c r="O67" s="17"/>
      <c r="P67" s="17" t="s">
        <v>136</v>
      </c>
      <c r="Q67" s="17" t="s">
        <v>137</v>
      </c>
      <c r="S67" s="17"/>
      <c r="T67" s="17" t="s">
        <v>136</v>
      </c>
      <c r="U67" s="17" t="s">
        <v>137</v>
      </c>
    </row>
    <row r="68" spans="14:21" x14ac:dyDescent="0.25">
      <c r="N68" s="152"/>
      <c r="O68" t="s">
        <v>75</v>
      </c>
      <c r="P68">
        <v>0.59344451129436493</v>
      </c>
      <c r="Q68">
        <v>0.81002563238143921</v>
      </c>
      <c r="S68" t="s">
        <v>75</v>
      </c>
      <c r="T68">
        <v>0.54743340611457825</v>
      </c>
      <c r="U68">
        <v>0.82033143937587738</v>
      </c>
    </row>
    <row r="69" spans="14:21" x14ac:dyDescent="0.25">
      <c r="N69" s="152"/>
      <c r="O69" t="s">
        <v>76</v>
      </c>
      <c r="P69">
        <v>1.3601686102650372E-3</v>
      </c>
      <c r="Q69">
        <v>1.7711786123513207E-3</v>
      </c>
      <c r="S69" t="s">
        <v>76</v>
      </c>
      <c r="T69">
        <v>1.3612439314378832E-3</v>
      </c>
      <c r="U69">
        <v>1.821833966631381E-3</v>
      </c>
    </row>
    <row r="70" spans="14:21" x14ac:dyDescent="0.25">
      <c r="N70" s="152"/>
      <c r="O70" t="s">
        <v>77</v>
      </c>
      <c r="P70">
        <v>4</v>
      </c>
      <c r="Q70">
        <v>4</v>
      </c>
      <c r="S70" t="s">
        <v>77</v>
      </c>
      <c r="T70">
        <v>4</v>
      </c>
      <c r="U70">
        <v>4</v>
      </c>
    </row>
    <row r="71" spans="14:21" x14ac:dyDescent="0.25">
      <c r="N71" s="152"/>
      <c r="O71" t="s">
        <v>78</v>
      </c>
      <c r="P71">
        <v>2.7322325835715238E-2</v>
      </c>
      <c r="S71" t="s">
        <v>78</v>
      </c>
      <c r="T71">
        <v>0.17772873501867886</v>
      </c>
    </row>
    <row r="72" spans="14:21" x14ac:dyDescent="0.25">
      <c r="N72" s="152"/>
      <c r="O72" t="s">
        <v>79</v>
      </c>
      <c r="P72">
        <v>0</v>
      </c>
      <c r="S72" t="s">
        <v>79</v>
      </c>
      <c r="T72">
        <v>0</v>
      </c>
    </row>
    <row r="73" spans="14:21" x14ac:dyDescent="0.25">
      <c r="N73" s="152"/>
      <c r="O73" t="s">
        <v>80</v>
      </c>
      <c r="P73">
        <v>3</v>
      </c>
      <c r="S73" t="s">
        <v>80</v>
      </c>
      <c r="T73">
        <v>3</v>
      </c>
    </row>
    <row r="74" spans="14:21" x14ac:dyDescent="0.25">
      <c r="N74" s="152"/>
      <c r="O74" t="s">
        <v>81</v>
      </c>
      <c r="P74">
        <v>-7.8477966391939615</v>
      </c>
      <c r="S74" t="s">
        <v>81</v>
      </c>
      <c r="T74">
        <v>-10.656284603141398</v>
      </c>
    </row>
    <row r="75" spans="14:21" x14ac:dyDescent="0.25">
      <c r="N75" s="152"/>
      <c r="O75" t="s">
        <v>82</v>
      </c>
      <c r="P75">
        <v>2.1546507936204395E-3</v>
      </c>
      <c r="S75" t="s">
        <v>82</v>
      </c>
      <c r="T75">
        <v>8.8312824806232074E-4</v>
      </c>
    </row>
    <row r="76" spans="14:21" x14ac:dyDescent="0.25">
      <c r="N76" s="152"/>
      <c r="O76" t="s">
        <v>83</v>
      </c>
      <c r="P76">
        <v>2.3533634348018233</v>
      </c>
      <c r="S76" t="s">
        <v>83</v>
      </c>
      <c r="T76">
        <v>2.3533634348018233</v>
      </c>
    </row>
    <row r="77" spans="14:21" x14ac:dyDescent="0.25">
      <c r="N77" s="152"/>
      <c r="O77" t="s">
        <v>84</v>
      </c>
      <c r="P77">
        <v>4.3093015872408789E-3</v>
      </c>
      <c r="S77" t="s">
        <v>84</v>
      </c>
      <c r="T77">
        <v>1.7662564961246415E-3</v>
      </c>
    </row>
    <row r="78" spans="14:21" ht="15.75" thickBot="1" x14ac:dyDescent="0.3">
      <c r="N78" s="152"/>
      <c r="O78" s="16" t="s">
        <v>85</v>
      </c>
      <c r="P78" s="16">
        <v>3.1824463052837091</v>
      </c>
      <c r="Q78" s="16"/>
      <c r="S78" s="16" t="s">
        <v>85</v>
      </c>
      <c r="T78" s="16">
        <v>3.1824463052837091</v>
      </c>
      <c r="U78" s="16"/>
    </row>
    <row r="79" spans="14:21" x14ac:dyDescent="0.25">
      <c r="N79" s="152"/>
      <c r="O79" t="str">
        <f>IF(Q68 &gt; P68, "Pretrained &gt; Fresh", "Pretrained &lt; Fresh")</f>
        <v>Pretrained &gt; Fresh</v>
      </c>
      <c r="P79" s="171" t="str">
        <f>IF(P75 &lt; 0.05, "Significant", "Not Significant")</f>
        <v>Significant</v>
      </c>
      <c r="Q79" s="171"/>
      <c r="S79" t="str">
        <f>IF(U68 &gt; T68, "Pretrained &gt; Fresh", "Pretrained &lt; Fresh")</f>
        <v>Pretrained &gt; Fresh</v>
      </c>
      <c r="T79" s="171" t="str">
        <f>IF(T75 &lt; 0.05, "Significant", "Not Significant")</f>
        <v>Significant</v>
      </c>
      <c r="U79" s="172"/>
    </row>
    <row r="80" spans="14:21" x14ac:dyDescent="0.25">
      <c r="N80" s="153"/>
      <c r="O80" s="7">
        <f>P75</f>
        <v>2.1546507936204395E-3</v>
      </c>
      <c r="P80" s="7"/>
      <c r="Q80" s="7"/>
      <c r="R80" s="7"/>
      <c r="S80" s="7">
        <f>T75</f>
        <v>8.8312824806232074E-4</v>
      </c>
      <c r="T80" s="7"/>
      <c r="U80" s="8"/>
    </row>
  </sheetData>
  <mergeCells count="59">
    <mergeCell ref="P79:Q79"/>
    <mergeCell ref="T79:U79"/>
    <mergeCell ref="N65:N80"/>
    <mergeCell ref="O65:Q65"/>
    <mergeCell ref="S65:U65"/>
    <mergeCell ref="N1:N32"/>
    <mergeCell ref="N33:N64"/>
    <mergeCell ref="P47:Q47"/>
    <mergeCell ref="T47:U47"/>
    <mergeCell ref="X47:Y47"/>
    <mergeCell ref="O33:Y33"/>
    <mergeCell ref="P63:Q63"/>
    <mergeCell ref="T63:U63"/>
    <mergeCell ref="X63:Y63"/>
    <mergeCell ref="O49:Y49"/>
    <mergeCell ref="O1:Y1"/>
    <mergeCell ref="O17:Y17"/>
    <mergeCell ref="P15:Q15"/>
    <mergeCell ref="T15:U15"/>
    <mergeCell ref="X15:Y15"/>
    <mergeCell ref="P31:Q31"/>
    <mergeCell ref="T31:U31"/>
    <mergeCell ref="X31:Y31"/>
    <mergeCell ref="A56:A59"/>
    <mergeCell ref="B56:C59"/>
    <mergeCell ref="E1:J1"/>
    <mergeCell ref="E2:E3"/>
    <mergeCell ref="F2:F3"/>
    <mergeCell ref="G2:G3"/>
    <mergeCell ref="H2:H3"/>
    <mergeCell ref="I2:I3"/>
    <mergeCell ref="J2:J3"/>
    <mergeCell ref="A40:A51"/>
    <mergeCell ref="B40:B51"/>
    <mergeCell ref="C40:C43"/>
    <mergeCell ref="C44:C47"/>
    <mergeCell ref="C48:C51"/>
    <mergeCell ref="A52:A55"/>
    <mergeCell ref="B52:C55"/>
    <mergeCell ref="A16:A27"/>
    <mergeCell ref="B16:B27"/>
    <mergeCell ref="C16:C19"/>
    <mergeCell ref="C20:C23"/>
    <mergeCell ref="C24:C27"/>
    <mergeCell ref="A28:A39"/>
    <mergeCell ref="B28:B39"/>
    <mergeCell ref="C28:C31"/>
    <mergeCell ref="C32:C35"/>
    <mergeCell ref="C36:C39"/>
    <mergeCell ref="A1:A3"/>
    <mergeCell ref="B1:C1"/>
    <mergeCell ref="D1:D3"/>
    <mergeCell ref="B2:B3"/>
    <mergeCell ref="C2:C3"/>
    <mergeCell ref="A4:A15"/>
    <mergeCell ref="B4:B15"/>
    <mergeCell ref="C4:C7"/>
    <mergeCell ref="C8:C11"/>
    <mergeCell ref="C12:C15"/>
  </mergeCells>
  <conditionalFormatting sqref="O15">
    <cfRule type="containsText" dxfId="79" priority="65" operator="containsText" text="&lt;">
      <formula>NOT(ISERROR(SEARCH("&lt;",O15)))</formula>
    </cfRule>
    <cfRule type="containsText" dxfId="78" priority="66" operator="containsText" text="&gt;">
      <formula>NOT(ISERROR(SEARCH("&gt;",O15)))</formula>
    </cfRule>
  </conditionalFormatting>
  <conditionalFormatting sqref="O31">
    <cfRule type="containsText" dxfId="77" priority="9" operator="containsText" text="&lt;">
      <formula>NOT(ISERROR(SEARCH("&lt;",O31)))</formula>
    </cfRule>
    <cfRule type="containsText" dxfId="76" priority="10" operator="containsText" text="&gt;">
      <formula>NOT(ISERROR(SEARCH("&gt;",O31)))</formula>
    </cfRule>
  </conditionalFormatting>
  <conditionalFormatting sqref="O47">
    <cfRule type="containsText" dxfId="75" priority="41" operator="containsText" text="&lt;">
      <formula>NOT(ISERROR(SEARCH("&lt;",O47)))</formula>
    </cfRule>
    <cfRule type="containsText" dxfId="74" priority="42" operator="containsText" text="&gt;">
      <formula>NOT(ISERROR(SEARCH("&gt;",O47)))</formula>
    </cfRule>
  </conditionalFormatting>
  <conditionalFormatting sqref="O63">
    <cfRule type="containsText" dxfId="73" priority="29" operator="containsText" text="&lt;">
      <formula>NOT(ISERROR(SEARCH("&lt;",O63)))</formula>
    </cfRule>
    <cfRule type="containsText" dxfId="72" priority="30" operator="containsText" text="&gt;">
      <formula>NOT(ISERROR(SEARCH("&gt;",O63)))</formula>
    </cfRule>
  </conditionalFormatting>
  <conditionalFormatting sqref="O79">
    <cfRule type="containsText" dxfId="71" priority="17" operator="containsText" text="&lt;">
      <formula>NOT(ISERROR(SEARCH("&lt;",O79)))</formula>
    </cfRule>
    <cfRule type="containsText" dxfId="70" priority="18" operator="containsText" text="&gt;">
      <formula>NOT(ISERROR(SEARCH("&gt;",O79)))</formula>
    </cfRule>
  </conditionalFormatting>
  <conditionalFormatting sqref="P15:Q15">
    <cfRule type="cellIs" dxfId="69" priority="67" operator="equal">
      <formula>"Significant"</formula>
    </cfRule>
    <cfRule type="containsText" dxfId="68" priority="68" operator="containsText" text="Not">
      <formula>NOT(ISERROR(SEARCH("Not",P15)))</formula>
    </cfRule>
  </conditionalFormatting>
  <conditionalFormatting sqref="P31:Q31">
    <cfRule type="cellIs" dxfId="67" priority="11" operator="equal">
      <formula>"Significant"</formula>
    </cfRule>
    <cfRule type="containsText" dxfId="66" priority="12" operator="containsText" text="Not">
      <formula>NOT(ISERROR(SEARCH("Not",P31)))</formula>
    </cfRule>
  </conditionalFormatting>
  <conditionalFormatting sqref="P47:Q47">
    <cfRule type="cellIs" dxfId="65" priority="43" operator="equal">
      <formula>"Significant"</formula>
    </cfRule>
    <cfRule type="containsText" dxfId="64" priority="44" operator="containsText" text="Not">
      <formula>NOT(ISERROR(SEARCH("Not",P47)))</formula>
    </cfRule>
  </conditionalFormatting>
  <conditionalFormatting sqref="P63:Q63">
    <cfRule type="cellIs" dxfId="63" priority="31" operator="equal">
      <formula>"Significant"</formula>
    </cfRule>
    <cfRule type="containsText" dxfId="62" priority="32" operator="containsText" text="Not">
      <formula>NOT(ISERROR(SEARCH("Not",P63)))</formula>
    </cfRule>
  </conditionalFormatting>
  <conditionalFormatting sqref="P79:Q79">
    <cfRule type="cellIs" dxfId="61" priority="19" operator="equal">
      <formula>"Significant"</formula>
    </cfRule>
    <cfRule type="containsText" dxfId="60" priority="20" operator="containsText" text="Not">
      <formula>NOT(ISERROR(SEARCH("Not",P79)))</formula>
    </cfRule>
  </conditionalFormatting>
  <conditionalFormatting sqref="S15">
    <cfRule type="containsText" dxfId="59" priority="61" operator="containsText" text="&lt;">
      <formula>NOT(ISERROR(SEARCH("&lt;",S15)))</formula>
    </cfRule>
    <cfRule type="containsText" dxfId="58" priority="62" operator="containsText" text="&gt;">
      <formula>NOT(ISERROR(SEARCH("&gt;",S15)))</formula>
    </cfRule>
  </conditionalFormatting>
  <conditionalFormatting sqref="S31">
    <cfRule type="containsText" dxfId="57" priority="5" operator="containsText" text="&lt;">
      <formula>NOT(ISERROR(SEARCH("&lt;",S31)))</formula>
    </cfRule>
    <cfRule type="containsText" dxfId="56" priority="6" operator="containsText" text="&gt;">
      <formula>NOT(ISERROR(SEARCH("&gt;",S31)))</formula>
    </cfRule>
  </conditionalFormatting>
  <conditionalFormatting sqref="S47">
    <cfRule type="containsText" dxfId="55" priority="37" operator="containsText" text="&lt;">
      <formula>NOT(ISERROR(SEARCH("&lt;",S47)))</formula>
    </cfRule>
    <cfRule type="containsText" dxfId="54" priority="38" operator="containsText" text="&gt;">
      <formula>NOT(ISERROR(SEARCH("&gt;",S47)))</formula>
    </cfRule>
  </conditionalFormatting>
  <conditionalFormatting sqref="S63">
    <cfRule type="containsText" dxfId="53" priority="25" operator="containsText" text="&lt;">
      <formula>NOT(ISERROR(SEARCH("&lt;",S63)))</formula>
    </cfRule>
    <cfRule type="containsText" dxfId="52" priority="26" operator="containsText" text="&gt;">
      <formula>NOT(ISERROR(SEARCH("&gt;",S63)))</formula>
    </cfRule>
  </conditionalFormatting>
  <conditionalFormatting sqref="S79">
    <cfRule type="containsText" dxfId="51" priority="13" operator="containsText" text="&lt;">
      <formula>NOT(ISERROR(SEARCH("&lt;",S79)))</formula>
    </cfRule>
    <cfRule type="containsText" dxfId="50" priority="14" operator="containsText" text="&gt;">
      <formula>NOT(ISERROR(SEARCH("&gt;",S79)))</formula>
    </cfRule>
  </conditionalFormatting>
  <conditionalFormatting sqref="T15:U15">
    <cfRule type="cellIs" dxfId="49" priority="63" operator="equal">
      <formula>"Significant"</formula>
    </cfRule>
    <cfRule type="containsText" dxfId="48" priority="64" operator="containsText" text="Not">
      <formula>NOT(ISERROR(SEARCH("Not",T15)))</formula>
    </cfRule>
  </conditionalFormatting>
  <conditionalFormatting sqref="T31:U31">
    <cfRule type="cellIs" dxfId="47" priority="7" operator="equal">
      <formula>"Significant"</formula>
    </cfRule>
    <cfRule type="containsText" dxfId="46" priority="8" operator="containsText" text="Not">
      <formula>NOT(ISERROR(SEARCH("Not",T31)))</formula>
    </cfRule>
  </conditionalFormatting>
  <conditionalFormatting sqref="T47:U47">
    <cfRule type="cellIs" dxfId="45" priority="39" operator="equal">
      <formula>"Significant"</formula>
    </cfRule>
    <cfRule type="containsText" dxfId="44" priority="40" operator="containsText" text="Not">
      <formula>NOT(ISERROR(SEARCH("Not",T47)))</formula>
    </cfRule>
  </conditionalFormatting>
  <conditionalFormatting sqref="T63:U63">
    <cfRule type="cellIs" dxfId="43" priority="27" operator="equal">
      <formula>"Significant"</formula>
    </cfRule>
    <cfRule type="containsText" dxfId="42" priority="28" operator="containsText" text="Not">
      <formula>NOT(ISERROR(SEARCH("Not",T63)))</formula>
    </cfRule>
  </conditionalFormatting>
  <conditionalFormatting sqref="T79:U79">
    <cfRule type="cellIs" dxfId="41" priority="15" operator="equal">
      <formula>"Significant"</formula>
    </cfRule>
    <cfRule type="containsText" dxfId="40" priority="16" operator="containsText" text="Not">
      <formula>NOT(ISERROR(SEARCH("Not",T79)))</formula>
    </cfRule>
  </conditionalFormatting>
  <conditionalFormatting sqref="W15">
    <cfRule type="containsText" dxfId="39" priority="57" operator="containsText" text="&lt;">
      <formula>NOT(ISERROR(SEARCH("&lt;",W15)))</formula>
    </cfRule>
    <cfRule type="containsText" dxfId="38" priority="58" operator="containsText" text="&gt;">
      <formula>NOT(ISERROR(SEARCH("&gt;",W15)))</formula>
    </cfRule>
  </conditionalFormatting>
  <conditionalFormatting sqref="W31">
    <cfRule type="containsText" dxfId="37" priority="1" operator="containsText" text="&lt;">
      <formula>NOT(ISERROR(SEARCH("&lt;",W31)))</formula>
    </cfRule>
    <cfRule type="containsText" dxfId="36" priority="2" operator="containsText" text="&gt;">
      <formula>NOT(ISERROR(SEARCH("&gt;",W31)))</formula>
    </cfRule>
  </conditionalFormatting>
  <conditionalFormatting sqref="W47">
    <cfRule type="containsText" dxfId="35" priority="33" operator="containsText" text="&lt;">
      <formula>NOT(ISERROR(SEARCH("&lt;",W47)))</formula>
    </cfRule>
    <cfRule type="containsText" dxfId="34" priority="34" operator="containsText" text="&gt;">
      <formula>NOT(ISERROR(SEARCH("&gt;",W47)))</formula>
    </cfRule>
  </conditionalFormatting>
  <conditionalFormatting sqref="W63">
    <cfRule type="containsText" dxfId="33" priority="21" operator="containsText" text="&lt;">
      <formula>NOT(ISERROR(SEARCH("&lt;",W63)))</formula>
    </cfRule>
    <cfRule type="containsText" dxfId="32" priority="22" operator="containsText" text="&gt;">
      <formula>NOT(ISERROR(SEARCH("&gt;",W63)))</formula>
    </cfRule>
  </conditionalFormatting>
  <conditionalFormatting sqref="X15:Y15">
    <cfRule type="cellIs" dxfId="31" priority="59" operator="equal">
      <formula>"Significant"</formula>
    </cfRule>
    <cfRule type="containsText" dxfId="30" priority="60" operator="containsText" text="Not">
      <formula>NOT(ISERROR(SEARCH("Not",X15)))</formula>
    </cfRule>
  </conditionalFormatting>
  <conditionalFormatting sqref="X31:Y31">
    <cfRule type="cellIs" dxfId="29" priority="3" operator="equal">
      <formula>"Significant"</formula>
    </cfRule>
    <cfRule type="containsText" dxfId="28" priority="4" operator="containsText" text="Not">
      <formula>NOT(ISERROR(SEARCH("Not",X31)))</formula>
    </cfRule>
  </conditionalFormatting>
  <conditionalFormatting sqref="X47:Y47">
    <cfRule type="cellIs" dxfId="27" priority="35" operator="equal">
      <formula>"Significant"</formula>
    </cfRule>
    <cfRule type="containsText" dxfId="26" priority="36" operator="containsText" text="Not">
      <formula>NOT(ISERROR(SEARCH("Not",X47)))</formula>
    </cfRule>
  </conditionalFormatting>
  <conditionalFormatting sqref="X63:Y63">
    <cfRule type="cellIs" dxfId="25" priority="23" operator="equal">
      <formula>"Significant"</formula>
    </cfRule>
    <cfRule type="containsText" dxfId="24" priority="24" operator="containsText" text="Not">
      <formula>NOT(ISERROR(SEARCH("Not",X63)))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87648-75BD-4549-B1C8-2B52E7ADADB1}">
  <sheetPr>
    <tabColor theme="5" tint="-0.249977111117893"/>
  </sheetPr>
  <dimension ref="A1:O61"/>
  <sheetViews>
    <sheetView workbookViewId="0">
      <selection activeCell="Q21" sqref="Q21"/>
    </sheetView>
  </sheetViews>
  <sheetFormatPr defaultRowHeight="15" x14ac:dyDescent="0.25"/>
  <cols>
    <col min="1" max="1" width="24" customWidth="1"/>
    <col min="2" max="2" width="17.140625" customWidth="1"/>
    <col min="5" max="5" width="13.7109375" customWidth="1"/>
    <col min="7" max="7" width="18.28515625" customWidth="1"/>
    <col min="9" max="9" width="20.85546875" customWidth="1"/>
    <col min="14" max="15" width="14.140625" customWidth="1"/>
  </cols>
  <sheetData>
    <row r="1" spans="1:15" x14ac:dyDescent="0.25">
      <c r="A1" s="126" t="s">
        <v>15</v>
      </c>
      <c r="B1" s="126" t="s">
        <v>0</v>
      </c>
      <c r="C1" s="128"/>
      <c r="D1" s="126" t="s">
        <v>12</v>
      </c>
      <c r="E1" s="139" t="s">
        <v>28</v>
      </c>
      <c r="F1" s="117" t="s">
        <v>14</v>
      </c>
      <c r="G1" s="119"/>
      <c r="H1" s="219" t="s">
        <v>133</v>
      </c>
      <c r="I1" s="142"/>
    </row>
    <row r="2" spans="1:15" ht="15.75" thickBot="1" x14ac:dyDescent="0.3">
      <c r="A2" s="126"/>
      <c r="B2" s="126" t="s">
        <v>16</v>
      </c>
      <c r="C2" s="128" t="s">
        <v>17</v>
      </c>
      <c r="D2" s="126"/>
      <c r="E2" s="140"/>
      <c r="F2" s="109" t="s">
        <v>5</v>
      </c>
      <c r="G2" s="109" t="s">
        <v>6</v>
      </c>
      <c r="H2" s="133" t="s">
        <v>5</v>
      </c>
      <c r="I2" s="133" t="s">
        <v>6</v>
      </c>
    </row>
    <row r="3" spans="1:15" ht="15.75" thickBot="1" x14ac:dyDescent="0.3">
      <c r="A3" s="127"/>
      <c r="B3" s="127"/>
      <c r="C3" s="129"/>
      <c r="D3" s="127"/>
      <c r="E3" s="141"/>
      <c r="F3" s="110"/>
      <c r="G3" s="110"/>
      <c r="H3" s="134"/>
      <c r="I3" s="134"/>
      <c r="N3" s="217" t="s">
        <v>138</v>
      </c>
      <c r="O3" s="218"/>
    </row>
    <row r="4" spans="1:15" x14ac:dyDescent="0.25">
      <c r="A4" s="215" t="s">
        <v>19</v>
      </c>
      <c r="B4" s="111" t="s">
        <v>18</v>
      </c>
      <c r="C4" s="111">
        <v>18</v>
      </c>
      <c r="D4" s="6">
        <v>1</v>
      </c>
      <c r="E4" s="11">
        <f>k_fold_output!C2</f>
        <v>34</v>
      </c>
      <c r="F4" s="6">
        <f>k_fold_output!R2</f>
        <v>0.84757626056671098</v>
      </c>
      <c r="G4" s="6">
        <f>k_fold_output!S2</f>
        <v>0.37488147616386402</v>
      </c>
      <c r="H4" s="6">
        <f>luna16_k_fold_output!G2</f>
        <v>0.81092804670333862</v>
      </c>
      <c r="I4" s="75">
        <f>luna16_k_fold_output!H2</f>
        <v>0.83184784650802612</v>
      </c>
      <c r="N4" s="71" t="s">
        <v>5</v>
      </c>
      <c r="O4" s="72">
        <f>PEARSON(F4:F59,H4:H59)</f>
        <v>0.86683119545392573</v>
      </c>
    </row>
    <row r="5" spans="1:15" ht="15.75" thickBot="1" x14ac:dyDescent="0.3">
      <c r="A5" s="213"/>
      <c r="B5" s="105"/>
      <c r="C5" s="105"/>
      <c r="D5">
        <v>2</v>
      </c>
      <c r="E5" s="3">
        <f>k_fold_output!C3</f>
        <v>24</v>
      </c>
      <c r="F5">
        <f>k_fold_output!R3</f>
        <v>0.78593331575393599</v>
      </c>
      <c r="G5">
        <f>k_fold_output!S3</f>
        <v>0.299771457910537</v>
      </c>
      <c r="H5">
        <f>luna16_k_fold_output!G3</f>
        <v>0.75666570663452148</v>
      </c>
      <c r="I5" s="69">
        <f>luna16_k_fold_output!H3</f>
        <v>0.77139532566070557</v>
      </c>
      <c r="N5" s="73" t="s">
        <v>70</v>
      </c>
      <c r="O5" s="74">
        <f>PEARSON(G4:G59,I4:I59)</f>
        <v>0.77479054168414263</v>
      </c>
    </row>
    <row r="6" spans="1:15" x14ac:dyDescent="0.25">
      <c r="A6" s="213"/>
      <c r="B6" s="105"/>
      <c r="C6" s="105"/>
      <c r="D6">
        <v>3</v>
      </c>
      <c r="E6" s="3">
        <f>k_fold_output!C4</f>
        <v>36</v>
      </c>
      <c r="F6">
        <f>k_fold_output!R4</f>
        <v>0.814791560173034</v>
      </c>
      <c r="G6">
        <f>k_fold_output!S4</f>
        <v>0.29309141635894698</v>
      </c>
      <c r="H6">
        <f>luna16_k_fold_output!G4</f>
        <v>0.75101274251937866</v>
      </c>
      <c r="I6" s="69">
        <f>luna16_k_fold_output!H4</f>
        <v>0.74560064077377319</v>
      </c>
    </row>
    <row r="7" spans="1:15" ht="15.75" thickBot="1" x14ac:dyDescent="0.3">
      <c r="A7" s="213"/>
      <c r="B7" s="105"/>
      <c r="C7" s="105"/>
      <c r="D7">
        <v>4</v>
      </c>
      <c r="E7" s="3">
        <f>k_fold_output!C5</f>
        <v>34</v>
      </c>
      <c r="F7">
        <f>k_fold_output!R5</f>
        <v>0.85419058799743597</v>
      </c>
      <c r="G7">
        <f>k_fold_output!S5</f>
        <v>0.35654956102371199</v>
      </c>
      <c r="H7">
        <f>luna16_k_fold_output!G5</f>
        <v>0.78428298234939575</v>
      </c>
      <c r="I7" s="69">
        <f>luna16_k_fold_output!H5</f>
        <v>0.80389529466629028</v>
      </c>
    </row>
    <row r="8" spans="1:15" x14ac:dyDescent="0.25">
      <c r="A8" s="213"/>
      <c r="B8" s="105"/>
      <c r="C8" s="105">
        <v>34</v>
      </c>
      <c r="D8">
        <v>1</v>
      </c>
      <c r="E8" s="3">
        <f>k_fold_output!C6</f>
        <v>47</v>
      </c>
      <c r="F8">
        <f>k_fold_output!R6</f>
        <v>0.842698574066162</v>
      </c>
      <c r="G8">
        <f>k_fold_output!S6</f>
        <v>0.35345256328582703</v>
      </c>
      <c r="H8">
        <f>luna16_k_fold_output!G6</f>
        <v>0.79862278699874878</v>
      </c>
      <c r="I8" s="69">
        <f>luna16_k_fold_output!H6</f>
        <v>0.80966544151306152</v>
      </c>
      <c r="N8" s="210" t="s">
        <v>139</v>
      </c>
      <c r="O8" s="211"/>
    </row>
    <row r="9" spans="1:15" x14ac:dyDescent="0.25">
      <c r="A9" s="213"/>
      <c r="B9" s="105"/>
      <c r="C9" s="105"/>
      <c r="D9">
        <v>2</v>
      </c>
      <c r="E9" s="3">
        <f>k_fold_output!C7</f>
        <v>46</v>
      </c>
      <c r="F9">
        <f>k_fold_output!R7</f>
        <v>0.78586530685424805</v>
      </c>
      <c r="G9">
        <f>k_fold_output!S7</f>
        <v>0.270405113697052</v>
      </c>
      <c r="H9">
        <f>luna16_k_fold_output!G7</f>
        <v>0.74853724241256714</v>
      </c>
      <c r="I9" s="69">
        <f>luna16_k_fold_output!H7</f>
        <v>0.74480986595153809</v>
      </c>
      <c r="N9" s="76" t="s">
        <v>5</v>
      </c>
      <c r="O9" s="77">
        <f>PEARSON(F4:F51,H4:H51)</f>
        <v>0.45600236634056912</v>
      </c>
    </row>
    <row r="10" spans="1:15" ht="15.75" thickBot="1" x14ac:dyDescent="0.3">
      <c r="A10" s="213"/>
      <c r="B10" s="105"/>
      <c r="C10" s="105"/>
      <c r="D10">
        <v>3</v>
      </c>
      <c r="E10" s="3">
        <f>k_fold_output!C8</f>
        <v>22</v>
      </c>
      <c r="F10">
        <f>k_fold_output!R8</f>
        <v>0.81576555967330899</v>
      </c>
      <c r="G10">
        <f>k_fold_output!S8</f>
        <v>0.30284184217452997</v>
      </c>
      <c r="H10">
        <f>luna16_k_fold_output!G8</f>
        <v>0.81018096208572388</v>
      </c>
      <c r="I10" s="69">
        <f>luna16_k_fold_output!H8</f>
        <v>0.80914407968521118</v>
      </c>
      <c r="N10" s="78" t="s">
        <v>70</v>
      </c>
      <c r="O10" s="79">
        <f>PEARSON(G4:G51,I4:I51)</f>
        <v>0.54273261207731927</v>
      </c>
    </row>
    <row r="11" spans="1:15" x14ac:dyDescent="0.25">
      <c r="A11" s="213"/>
      <c r="B11" s="105"/>
      <c r="C11" s="105"/>
      <c r="D11">
        <v>4</v>
      </c>
      <c r="E11" s="3">
        <f>k_fold_output!C9</f>
        <v>43</v>
      </c>
      <c r="F11">
        <f>k_fold_output!R9</f>
        <v>0.83652973175048795</v>
      </c>
      <c r="G11">
        <f>k_fold_output!S9</f>
        <v>0.27166512608528098</v>
      </c>
      <c r="H11">
        <f>luna16_k_fold_output!G9</f>
        <v>0.75701683759689331</v>
      </c>
      <c r="I11" s="69">
        <f>luna16_k_fold_output!H9</f>
        <v>0.76895564794540405</v>
      </c>
    </row>
    <row r="12" spans="1:15" x14ac:dyDescent="0.25">
      <c r="A12" s="213"/>
      <c r="B12" s="105"/>
      <c r="C12" s="105">
        <v>50</v>
      </c>
      <c r="D12">
        <v>1</v>
      </c>
      <c r="E12" s="3">
        <f>k_fold_output!C10</f>
        <v>28</v>
      </c>
      <c r="F12">
        <f>k_fold_output!R10</f>
        <v>0.85384315252303999</v>
      </c>
      <c r="G12">
        <f>k_fold_output!S10</f>
        <v>0.37506282329559298</v>
      </c>
      <c r="H12">
        <f>luna16_k_fold_output!G10</f>
        <v>0.78731662034988403</v>
      </c>
      <c r="I12" s="69">
        <f>luna16_k_fold_output!H10</f>
        <v>0.81632018089294434</v>
      </c>
    </row>
    <row r="13" spans="1:15" x14ac:dyDescent="0.25">
      <c r="A13" s="213"/>
      <c r="B13" s="105"/>
      <c r="C13" s="105"/>
      <c r="D13">
        <v>2</v>
      </c>
      <c r="E13" s="3">
        <f>k_fold_output!C11</f>
        <v>9</v>
      </c>
      <c r="F13">
        <f>k_fold_output!R11</f>
        <v>0.85286170244216897</v>
      </c>
      <c r="G13">
        <f>k_fold_output!S11</f>
        <v>0.33635324239730802</v>
      </c>
      <c r="H13">
        <f>luna16_k_fold_output!G11</f>
        <v>0.77729767560958862</v>
      </c>
      <c r="I13" s="69">
        <f>luna16_k_fold_output!H11</f>
        <v>0.80045926570892334</v>
      </c>
    </row>
    <row r="14" spans="1:15" x14ac:dyDescent="0.25">
      <c r="A14" s="213"/>
      <c r="B14" s="105"/>
      <c r="C14" s="105"/>
      <c r="D14">
        <v>3</v>
      </c>
      <c r="E14" s="3">
        <f>k_fold_output!C12</f>
        <v>18</v>
      </c>
      <c r="F14">
        <f>k_fold_output!R12</f>
        <v>0.84774994850158603</v>
      </c>
      <c r="G14">
        <f>k_fold_output!S12</f>
        <v>0.320197343826293</v>
      </c>
      <c r="H14">
        <f>luna16_k_fold_output!G12</f>
        <v>0.7817986011505127</v>
      </c>
      <c r="I14" s="69">
        <f>luna16_k_fold_output!H12</f>
        <v>0.77736735343933105</v>
      </c>
    </row>
    <row r="15" spans="1:15" x14ac:dyDescent="0.25">
      <c r="A15" s="216"/>
      <c r="B15" s="107"/>
      <c r="C15" s="107"/>
      <c r="D15" s="7">
        <v>4</v>
      </c>
      <c r="E15" s="8">
        <f>k_fold_output!C13</f>
        <v>16</v>
      </c>
      <c r="F15">
        <f>k_fold_output!R13</f>
        <v>0.85299003124237005</v>
      </c>
      <c r="G15">
        <f>k_fold_output!S13</f>
        <v>0.405628621578216</v>
      </c>
      <c r="H15">
        <f>luna16_k_fold_output!G13</f>
        <v>0.78977406024932861</v>
      </c>
      <c r="I15" s="69">
        <f>luna16_k_fold_output!H13</f>
        <v>0.78692126274108887</v>
      </c>
    </row>
    <row r="16" spans="1:15" x14ac:dyDescent="0.25">
      <c r="A16" s="212" t="s">
        <v>20</v>
      </c>
      <c r="B16" s="105" t="s">
        <v>18</v>
      </c>
      <c r="C16" s="105">
        <v>18</v>
      </c>
      <c r="D16">
        <v>1</v>
      </c>
      <c r="E16" s="3">
        <f>k_fold_output!C38</f>
        <v>26</v>
      </c>
      <c r="F16">
        <f>k_fold_output!R38</f>
        <v>0.81551653146743697</v>
      </c>
      <c r="G16">
        <f>k_fold_output!S38</f>
        <v>0.35379672050476002</v>
      </c>
      <c r="H16">
        <f>luna16_k_fold_output!G38</f>
        <v>0.76985323429107666</v>
      </c>
      <c r="I16" s="69">
        <f>luna16_k_fold_output!H38</f>
        <v>0.77507287263870239</v>
      </c>
    </row>
    <row r="17" spans="1:9" x14ac:dyDescent="0.25">
      <c r="A17" s="213"/>
      <c r="B17" s="105"/>
      <c r="C17" s="105"/>
      <c r="D17">
        <v>2</v>
      </c>
      <c r="E17" s="3">
        <f>k_fold_output!C39</f>
        <v>37</v>
      </c>
      <c r="F17">
        <f>k_fold_output!R39</f>
        <v>0.82139086723327603</v>
      </c>
      <c r="G17">
        <f>k_fold_output!S39</f>
        <v>0.32400599122047402</v>
      </c>
      <c r="H17">
        <f>luna16_k_fold_output!G39</f>
        <v>0.75902420282363892</v>
      </c>
      <c r="I17" s="69">
        <f>luna16_k_fold_output!H39</f>
        <v>0.75366610288619995</v>
      </c>
    </row>
    <row r="18" spans="1:9" x14ac:dyDescent="0.25">
      <c r="A18" s="213"/>
      <c r="B18" s="105"/>
      <c r="C18" s="105"/>
      <c r="D18">
        <v>3</v>
      </c>
      <c r="E18" s="3">
        <f>k_fold_output!C40</f>
        <v>39</v>
      </c>
      <c r="F18">
        <f>k_fold_output!R40</f>
        <v>0.83143305778503396</v>
      </c>
      <c r="G18">
        <f>k_fold_output!S40</f>
        <v>0.318134725093841</v>
      </c>
      <c r="H18">
        <f>luna16_k_fold_output!G40</f>
        <v>0.79346472024917603</v>
      </c>
      <c r="I18" s="69">
        <f>luna16_k_fold_output!H40</f>
        <v>0.81275749206542969</v>
      </c>
    </row>
    <row r="19" spans="1:9" x14ac:dyDescent="0.25">
      <c r="A19" s="213"/>
      <c r="B19" s="105"/>
      <c r="C19" s="105"/>
      <c r="D19">
        <v>4</v>
      </c>
      <c r="E19" s="3">
        <f>k_fold_output!C41</f>
        <v>42</v>
      </c>
      <c r="F19">
        <f>k_fold_output!R41</f>
        <v>0.85246908664703303</v>
      </c>
      <c r="G19">
        <f>k_fold_output!S41</f>
        <v>0.37204933166503901</v>
      </c>
      <c r="H19">
        <f>luna16_k_fold_output!G41</f>
        <v>0.78220367431640625</v>
      </c>
      <c r="I19" s="69">
        <f>luna16_k_fold_output!H41</f>
        <v>0.7842068076133728</v>
      </c>
    </row>
    <row r="20" spans="1:9" x14ac:dyDescent="0.25">
      <c r="A20" s="213"/>
      <c r="B20" s="105"/>
      <c r="C20" s="105">
        <v>34</v>
      </c>
      <c r="D20">
        <v>1</v>
      </c>
      <c r="E20" s="3">
        <f>k_fold_output!C42</f>
        <v>33</v>
      </c>
      <c r="F20">
        <f>k_fold_output!R42</f>
        <v>0.83520078659057595</v>
      </c>
      <c r="G20">
        <f>k_fold_output!S42</f>
        <v>0.38183352351188599</v>
      </c>
      <c r="H20">
        <f>luna16_k_fold_output!G42</f>
        <v>0.82657301425933838</v>
      </c>
      <c r="I20" s="69">
        <f>luna16_k_fold_output!H42</f>
        <v>0.83123910427093506</v>
      </c>
    </row>
    <row r="21" spans="1:9" x14ac:dyDescent="0.25">
      <c r="A21" s="213"/>
      <c r="B21" s="105"/>
      <c r="C21" s="105"/>
      <c r="D21">
        <v>2</v>
      </c>
      <c r="E21" s="3">
        <f>k_fold_output!C43</f>
        <v>29</v>
      </c>
      <c r="F21">
        <f>k_fold_output!R43</f>
        <v>0.82518118619918801</v>
      </c>
      <c r="G21">
        <f>k_fold_output!S43</f>
        <v>0.26359781622886602</v>
      </c>
      <c r="H21">
        <f>luna16_k_fold_output!G43</f>
        <v>0.76547837257385254</v>
      </c>
      <c r="I21" s="69">
        <f>luna16_k_fold_output!H43</f>
        <v>0.74337112903594971</v>
      </c>
    </row>
    <row r="22" spans="1:9" x14ac:dyDescent="0.25">
      <c r="A22" s="213"/>
      <c r="B22" s="105"/>
      <c r="C22" s="105"/>
      <c r="D22">
        <v>3</v>
      </c>
      <c r="E22" s="3">
        <f>k_fold_output!C44</f>
        <v>45</v>
      </c>
      <c r="F22">
        <f>k_fold_output!R44</f>
        <v>0.86955595016479403</v>
      </c>
      <c r="G22">
        <f>k_fold_output!S44</f>
        <v>0.38694450259208601</v>
      </c>
      <c r="H22">
        <f>luna16_k_fold_output!G44</f>
        <v>0.78241962194442749</v>
      </c>
      <c r="I22" s="69">
        <f>luna16_k_fold_output!H44</f>
        <v>0.76508671045303345</v>
      </c>
    </row>
    <row r="23" spans="1:9" x14ac:dyDescent="0.25">
      <c r="A23" s="213"/>
      <c r="B23" s="105"/>
      <c r="C23" s="105"/>
      <c r="D23">
        <v>4</v>
      </c>
      <c r="E23" s="3">
        <f>k_fold_output!C45</f>
        <v>27</v>
      </c>
      <c r="F23">
        <f>k_fold_output!R45</f>
        <v>0.85674268007278398</v>
      </c>
      <c r="G23">
        <f>k_fold_output!S45</f>
        <v>0.37238350510597201</v>
      </c>
      <c r="H23">
        <f>luna16_k_fold_output!G45</f>
        <v>0.81302547454833984</v>
      </c>
      <c r="I23" s="69">
        <f>luna16_k_fold_output!H45</f>
        <v>0.83590048551559448</v>
      </c>
    </row>
    <row r="24" spans="1:9" x14ac:dyDescent="0.25">
      <c r="A24" s="213"/>
      <c r="B24" s="105"/>
      <c r="C24" s="105">
        <v>50</v>
      </c>
      <c r="D24">
        <v>1</v>
      </c>
      <c r="E24" s="3">
        <f>k_fold_output!C46</f>
        <v>13</v>
      </c>
      <c r="F24">
        <f>k_fold_output!R46</f>
        <v>0.83456659317016602</v>
      </c>
      <c r="G24">
        <f>k_fold_output!S46</f>
        <v>0.35174927115440302</v>
      </c>
      <c r="H24">
        <f>luna16_k_fold_output!G46</f>
        <v>0.79089921712875366</v>
      </c>
      <c r="I24" s="69">
        <f>luna16_k_fold_output!H46</f>
        <v>0.80758440494537354</v>
      </c>
    </row>
    <row r="25" spans="1:9" x14ac:dyDescent="0.25">
      <c r="A25" s="213"/>
      <c r="B25" s="105"/>
      <c r="C25" s="105"/>
      <c r="D25">
        <v>2</v>
      </c>
      <c r="E25" s="3">
        <f>k_fold_output!C47</f>
        <v>12</v>
      </c>
      <c r="F25">
        <f>k_fold_output!R47</f>
        <v>0.79870134592056197</v>
      </c>
      <c r="G25">
        <f>k_fold_output!S47</f>
        <v>0.25840446352958601</v>
      </c>
      <c r="H25">
        <f>luna16_k_fold_output!G47</f>
        <v>0.77810782194137573</v>
      </c>
      <c r="I25" s="69">
        <f>luna16_k_fold_output!H47</f>
        <v>0.76262819766998291</v>
      </c>
    </row>
    <row r="26" spans="1:9" x14ac:dyDescent="0.25">
      <c r="A26" s="213"/>
      <c r="B26" s="105"/>
      <c r="C26" s="105"/>
      <c r="D26">
        <v>3</v>
      </c>
      <c r="E26" s="3">
        <f>k_fold_output!C48</f>
        <v>24</v>
      </c>
      <c r="F26">
        <f>k_fold_output!R48</f>
        <v>0.79241162538528398</v>
      </c>
      <c r="G26">
        <f>k_fold_output!S48</f>
        <v>0.248978301882743</v>
      </c>
      <c r="H26">
        <f>luna16_k_fold_output!G48</f>
        <v>0.75454133749008179</v>
      </c>
      <c r="I26" s="69">
        <f>luna16_k_fold_output!H48</f>
        <v>0.75094127655029297</v>
      </c>
    </row>
    <row r="27" spans="1:9" x14ac:dyDescent="0.25">
      <c r="A27" s="216"/>
      <c r="B27" s="107"/>
      <c r="C27" s="107"/>
      <c r="D27" s="7">
        <v>4</v>
      </c>
      <c r="E27" s="8">
        <f>k_fold_output!C49</f>
        <v>24</v>
      </c>
      <c r="F27">
        <f>k_fold_output!R49</f>
        <v>0.82004678249359098</v>
      </c>
      <c r="G27">
        <f>k_fold_output!S49</f>
        <v>0.25700038671493503</v>
      </c>
      <c r="H27">
        <f>luna16_k_fold_output!G49</f>
        <v>0.75329005718231201</v>
      </c>
      <c r="I27" s="69">
        <f>luna16_k_fold_output!H49</f>
        <v>0.74279379844665527</v>
      </c>
    </row>
    <row r="28" spans="1:9" x14ac:dyDescent="0.25">
      <c r="A28" s="212" t="s">
        <v>19</v>
      </c>
      <c r="B28" s="105" t="s">
        <v>22</v>
      </c>
      <c r="C28" s="105">
        <v>18</v>
      </c>
      <c r="D28">
        <v>1</v>
      </c>
      <c r="E28" s="3">
        <f>k_fold_output!C14</f>
        <v>18</v>
      </c>
      <c r="F28">
        <f>k_fold_output!R14</f>
        <v>0.83245998620986905</v>
      </c>
      <c r="G28">
        <f>k_fold_output!S14</f>
        <v>0.38715964555740301</v>
      </c>
      <c r="H28">
        <f>luna16_k_fold_output!G14</f>
        <v>0.83026373386383057</v>
      </c>
      <c r="I28" s="69">
        <f>luna16_k_fold_output!H14</f>
        <v>0.8405226469039917</v>
      </c>
    </row>
    <row r="29" spans="1:9" x14ac:dyDescent="0.25">
      <c r="A29" s="213"/>
      <c r="B29" s="105"/>
      <c r="C29" s="105"/>
      <c r="D29">
        <v>2</v>
      </c>
      <c r="E29" s="3">
        <f>k_fold_output!C15</f>
        <v>4</v>
      </c>
      <c r="F29">
        <f>k_fold_output!R15</f>
        <v>0.813964784145355</v>
      </c>
      <c r="G29">
        <f>k_fold_output!S15</f>
        <v>0.27334547042846602</v>
      </c>
      <c r="H29">
        <f>luna16_k_fold_output!G15</f>
        <v>0.83759111166000366</v>
      </c>
      <c r="I29" s="69">
        <f>luna16_k_fold_output!H15</f>
        <v>0.86107492446899414</v>
      </c>
    </row>
    <row r="30" spans="1:9" x14ac:dyDescent="0.25">
      <c r="A30" s="213"/>
      <c r="B30" s="105"/>
      <c r="C30" s="105"/>
      <c r="D30">
        <v>3</v>
      </c>
      <c r="E30" s="3">
        <f>k_fold_output!C16</f>
        <v>24</v>
      </c>
      <c r="F30">
        <f>k_fold_output!R16</f>
        <v>0.82397317886352495</v>
      </c>
      <c r="G30">
        <f>k_fold_output!S16</f>
        <v>0.33387562632560702</v>
      </c>
      <c r="H30">
        <f>luna16_k_fold_output!G16</f>
        <v>0.81490683555603027</v>
      </c>
      <c r="I30" s="69">
        <f>luna16_k_fold_output!H16</f>
        <v>0.8039366602897644</v>
      </c>
    </row>
    <row r="31" spans="1:9" x14ac:dyDescent="0.25">
      <c r="A31" s="213"/>
      <c r="B31" s="105"/>
      <c r="C31" s="105"/>
      <c r="D31">
        <v>4</v>
      </c>
      <c r="E31" s="3">
        <f>k_fold_output!C17</f>
        <v>29</v>
      </c>
      <c r="F31">
        <f>k_fold_output!R17</f>
        <v>0.812730312347412</v>
      </c>
      <c r="G31">
        <f>k_fold_output!S17</f>
        <v>0.34888857603073098</v>
      </c>
      <c r="H31">
        <f>luna16_k_fold_output!G17</f>
        <v>0.82868844270706177</v>
      </c>
      <c r="I31" s="69">
        <f>luna16_k_fold_output!H17</f>
        <v>0.83844238519668579</v>
      </c>
    </row>
    <row r="32" spans="1:9" x14ac:dyDescent="0.25">
      <c r="A32" s="213"/>
      <c r="B32" s="105"/>
      <c r="C32" s="105">
        <v>34</v>
      </c>
      <c r="D32">
        <v>1</v>
      </c>
      <c r="E32" s="3">
        <f>k_fold_output!C22</f>
        <v>24</v>
      </c>
      <c r="F32">
        <f>k_fold_output!R18</f>
        <v>0.84149795770645097</v>
      </c>
      <c r="G32">
        <f>k_fold_output!S18</f>
        <v>0.35585039854049599</v>
      </c>
      <c r="H32">
        <f>luna16_k_fold_output!G18</f>
        <v>0.82170307636260986</v>
      </c>
      <c r="I32" s="69">
        <f>luna16_k_fold_output!H18</f>
        <v>0.84582829475402832</v>
      </c>
    </row>
    <row r="33" spans="1:9" x14ac:dyDescent="0.25">
      <c r="A33" s="213"/>
      <c r="B33" s="105"/>
      <c r="C33" s="105"/>
      <c r="D33">
        <v>2</v>
      </c>
      <c r="E33" s="3">
        <f>k_fold_output!C23</f>
        <v>31</v>
      </c>
      <c r="F33">
        <f>k_fold_output!R19</f>
        <v>0.80677282810211104</v>
      </c>
      <c r="G33">
        <f>k_fold_output!S19</f>
        <v>0.269260644912719</v>
      </c>
      <c r="H33">
        <f>luna16_k_fold_output!G19</f>
        <v>0.84011161327362061</v>
      </c>
      <c r="I33" s="69">
        <f>luna16_k_fold_output!H19</f>
        <v>0.85692673921585083</v>
      </c>
    </row>
    <row r="34" spans="1:9" x14ac:dyDescent="0.25">
      <c r="A34" s="213"/>
      <c r="B34" s="105"/>
      <c r="C34" s="105"/>
      <c r="D34">
        <v>3</v>
      </c>
      <c r="E34" s="3">
        <f>k_fold_output!C24</f>
        <v>45</v>
      </c>
      <c r="F34">
        <f>k_fold_output!R20</f>
        <v>0.83388704061508101</v>
      </c>
      <c r="G34">
        <f>k_fold_output!S20</f>
        <v>0.32921004295349099</v>
      </c>
      <c r="H34">
        <f>luna16_k_fold_output!G20</f>
        <v>0.79760563373565674</v>
      </c>
      <c r="I34" s="69">
        <f>luna16_k_fold_output!H20</f>
        <v>0.80536586046218872</v>
      </c>
    </row>
    <row r="35" spans="1:9" x14ac:dyDescent="0.25">
      <c r="A35" s="213"/>
      <c r="B35" s="105"/>
      <c r="C35" s="105"/>
      <c r="D35">
        <v>4</v>
      </c>
      <c r="E35" s="3">
        <f>k_fold_output!C25</f>
        <v>20</v>
      </c>
      <c r="F35">
        <f>k_fold_output!R21</f>
        <v>0.84830111265182495</v>
      </c>
      <c r="G35">
        <f>k_fold_output!S21</f>
        <v>0.36820226907730103</v>
      </c>
      <c r="H35">
        <f>luna16_k_fold_output!G21</f>
        <v>0.84823113679885864</v>
      </c>
      <c r="I35" s="69">
        <f>luna16_k_fold_output!H21</f>
        <v>0.86757785081863403</v>
      </c>
    </row>
    <row r="36" spans="1:9" x14ac:dyDescent="0.25">
      <c r="A36" s="213"/>
      <c r="B36" s="105"/>
      <c r="C36" s="105">
        <v>50</v>
      </c>
      <c r="D36">
        <v>1</v>
      </c>
      <c r="E36" s="3">
        <f>k_fold_output!C31</f>
        <v>25</v>
      </c>
      <c r="F36">
        <f>k_fold_output!R22</f>
        <v>0.83746600151062001</v>
      </c>
      <c r="G36">
        <f>k_fold_output!S22</f>
        <v>0.35077840089797901</v>
      </c>
      <c r="H36">
        <f>luna16_k_fold_output!G22</f>
        <v>0.82557386159896851</v>
      </c>
      <c r="I36" s="69">
        <f>luna16_k_fold_output!H22</f>
        <v>0.81472784280776978</v>
      </c>
    </row>
    <row r="37" spans="1:9" x14ac:dyDescent="0.25">
      <c r="A37" s="213"/>
      <c r="B37" s="105"/>
      <c r="C37" s="105"/>
      <c r="D37">
        <v>2</v>
      </c>
      <c r="E37" s="3">
        <f>k_fold_output!C32</f>
        <v>29</v>
      </c>
      <c r="F37">
        <f>k_fold_output!R23</f>
        <v>0.80572330951690596</v>
      </c>
      <c r="G37">
        <f>k_fold_output!S23</f>
        <v>0.30210384726524298</v>
      </c>
      <c r="H37">
        <f>luna16_k_fold_output!G23</f>
        <v>0.79344677925109863</v>
      </c>
      <c r="I37" s="69">
        <f>luna16_k_fold_output!H23</f>
        <v>0.81689566373825073</v>
      </c>
    </row>
    <row r="38" spans="1:9" x14ac:dyDescent="0.25">
      <c r="A38" s="213"/>
      <c r="B38" s="105"/>
      <c r="C38" s="105"/>
      <c r="D38">
        <v>3</v>
      </c>
      <c r="E38" s="3">
        <f>k_fold_output!C33</f>
        <v>16</v>
      </c>
      <c r="F38">
        <f>k_fold_output!R24</f>
        <v>0.82949256896972601</v>
      </c>
      <c r="G38">
        <f>k_fold_output!S24</f>
        <v>0.378551036119461</v>
      </c>
      <c r="H38">
        <f>luna16_k_fold_output!G24</f>
        <v>0.75936627388000488</v>
      </c>
      <c r="I38" s="69">
        <f>luna16_k_fold_output!H24</f>
        <v>0.78163182735443115</v>
      </c>
    </row>
    <row r="39" spans="1:9" x14ac:dyDescent="0.25">
      <c r="A39" s="216"/>
      <c r="B39" s="107"/>
      <c r="C39" s="107"/>
      <c r="D39" s="7">
        <v>4</v>
      </c>
      <c r="E39" s="8">
        <f>k_fold_output!C34</f>
        <v>8</v>
      </c>
      <c r="F39">
        <f>k_fold_output!R25</f>
        <v>0.83450627326965299</v>
      </c>
      <c r="G39">
        <f>k_fold_output!S25</f>
        <v>0.36765474081039401</v>
      </c>
      <c r="H39">
        <f>luna16_k_fold_output!G25</f>
        <v>0.82860743999481201</v>
      </c>
      <c r="I39" s="69">
        <f>luna16_k_fold_output!H25</f>
        <v>0.85883533954620361</v>
      </c>
    </row>
    <row r="40" spans="1:9" x14ac:dyDescent="0.25">
      <c r="A40" s="212" t="s">
        <v>24</v>
      </c>
      <c r="B40" s="103" t="s">
        <v>21</v>
      </c>
      <c r="C40" s="105">
        <v>18</v>
      </c>
      <c r="D40">
        <v>1</v>
      </c>
      <c r="E40" s="3">
        <f>k_fold_output!C38</f>
        <v>26</v>
      </c>
      <c r="F40">
        <f>k_fold_output!R50</f>
        <v>0.85996675491332997</v>
      </c>
      <c r="G40">
        <f>k_fold_output!S50</f>
        <v>0.39321514964103699</v>
      </c>
      <c r="H40">
        <f>luna16_k_fold_output!G50</f>
        <v>0.8092537522315979</v>
      </c>
      <c r="I40" s="69">
        <f>luna16_k_fold_output!H50</f>
        <v>0.82250732183456421</v>
      </c>
    </row>
    <row r="41" spans="1:9" x14ac:dyDescent="0.25">
      <c r="A41" s="213"/>
      <c r="B41" s="105"/>
      <c r="C41" s="105"/>
      <c r="D41">
        <v>2</v>
      </c>
      <c r="E41" s="3">
        <f>k_fold_output!C39</f>
        <v>37</v>
      </c>
      <c r="F41">
        <f>k_fold_output!R51</f>
        <v>0.86401391029357899</v>
      </c>
      <c r="G41">
        <f>k_fold_output!S51</f>
        <v>0.44246089458465498</v>
      </c>
      <c r="H41">
        <f>luna16_k_fold_output!G51</f>
        <v>0.7968403697013855</v>
      </c>
      <c r="I41" s="69">
        <f>luna16_k_fold_output!H51</f>
        <v>0.81430995464324951</v>
      </c>
    </row>
    <row r="42" spans="1:9" x14ac:dyDescent="0.25">
      <c r="A42" s="213"/>
      <c r="B42" s="105"/>
      <c r="C42" s="105"/>
      <c r="D42">
        <v>3</v>
      </c>
      <c r="E42" s="3">
        <f>k_fold_output!C40</f>
        <v>39</v>
      </c>
      <c r="F42">
        <f>k_fold_output!R52</f>
        <v>0.86666423082351596</v>
      </c>
      <c r="G42">
        <f>k_fold_output!S52</f>
        <v>0.392840266227722</v>
      </c>
      <c r="H42">
        <f>luna16_k_fold_output!G52</f>
        <v>0.81712120771408081</v>
      </c>
      <c r="I42" s="69">
        <f>luna16_k_fold_output!H52</f>
        <v>0.84133291244506836</v>
      </c>
    </row>
    <row r="43" spans="1:9" x14ac:dyDescent="0.25">
      <c r="A43" s="213"/>
      <c r="B43" s="105"/>
      <c r="C43" s="105"/>
      <c r="D43">
        <v>4</v>
      </c>
      <c r="E43" s="3">
        <f>k_fold_output!C41</f>
        <v>42</v>
      </c>
      <c r="F43">
        <f>k_fold_output!R53</f>
        <v>0.87003928422927801</v>
      </c>
      <c r="G43">
        <f>k_fold_output!S53</f>
        <v>0.42728608846664401</v>
      </c>
      <c r="H43">
        <f>luna16_k_fold_output!G53</f>
        <v>0.80617517232894897</v>
      </c>
      <c r="I43" s="69">
        <f>luna16_k_fold_output!H53</f>
        <v>0.8273080587387085</v>
      </c>
    </row>
    <row r="44" spans="1:9" x14ac:dyDescent="0.25">
      <c r="A44" s="213"/>
      <c r="B44" s="105"/>
      <c r="C44" s="105">
        <v>34</v>
      </c>
      <c r="D44">
        <v>1</v>
      </c>
      <c r="E44" s="3">
        <f>k_fold_output!C42</f>
        <v>33</v>
      </c>
      <c r="F44">
        <f>k_fold_output!R54</f>
        <v>0.84364998340606601</v>
      </c>
      <c r="G44">
        <f>k_fold_output!S54</f>
        <v>0.351035356521606</v>
      </c>
      <c r="H44">
        <f>luna16_k_fold_output!G54</f>
        <v>0.81300747394561768</v>
      </c>
      <c r="I44" s="69">
        <f>luna16_k_fold_output!H54</f>
        <v>0.82522678375244141</v>
      </c>
    </row>
    <row r="45" spans="1:9" x14ac:dyDescent="0.25">
      <c r="A45" s="213"/>
      <c r="B45" s="105"/>
      <c r="C45" s="105"/>
      <c r="D45">
        <v>2</v>
      </c>
      <c r="E45" s="3">
        <f>k_fold_output!C43</f>
        <v>29</v>
      </c>
      <c r="F45">
        <f>k_fold_output!R55</f>
        <v>0.86284357309341397</v>
      </c>
      <c r="G45">
        <f>k_fold_output!S55</f>
        <v>0.40798449516296298</v>
      </c>
      <c r="H45">
        <f>luna16_k_fold_output!G55</f>
        <v>0.82100105285644531</v>
      </c>
      <c r="I45" s="69">
        <f>luna16_k_fold_output!H55</f>
        <v>0.83263492584228516</v>
      </c>
    </row>
    <row r="46" spans="1:9" x14ac:dyDescent="0.25">
      <c r="A46" s="213"/>
      <c r="B46" s="105"/>
      <c r="C46" s="105"/>
      <c r="D46">
        <v>3</v>
      </c>
      <c r="E46" s="3">
        <f>k_fold_output!C44</f>
        <v>45</v>
      </c>
      <c r="F46">
        <f>k_fold_output!R56</f>
        <v>0.85711264610290505</v>
      </c>
      <c r="G46">
        <f>k_fold_output!S56</f>
        <v>0.405340135097503</v>
      </c>
      <c r="H46">
        <f>luna16_k_fold_output!G56</f>
        <v>0.81330454349517822</v>
      </c>
      <c r="I46" s="69">
        <f>luna16_k_fold_output!H56</f>
        <v>0.82211685180664063</v>
      </c>
    </row>
    <row r="47" spans="1:9" x14ac:dyDescent="0.25">
      <c r="A47" s="213"/>
      <c r="B47" s="105"/>
      <c r="C47" s="105"/>
      <c r="D47">
        <v>4</v>
      </c>
      <c r="E47" s="3">
        <f>k_fold_output!C45</f>
        <v>27</v>
      </c>
      <c r="F47">
        <f>k_fold_output!R57</f>
        <v>0.84563577175140303</v>
      </c>
      <c r="G47">
        <f>k_fold_output!S57</f>
        <v>0.38255935907363797</v>
      </c>
      <c r="H47">
        <f>luna16_k_fold_output!G57</f>
        <v>0.80054008960723877</v>
      </c>
      <c r="I47" s="69">
        <f>luna16_k_fold_output!H57</f>
        <v>0.80730128288269043</v>
      </c>
    </row>
    <row r="48" spans="1:9" x14ac:dyDescent="0.25">
      <c r="A48" s="213"/>
      <c r="B48" s="105"/>
      <c r="C48" s="105">
        <v>50</v>
      </c>
      <c r="D48">
        <v>1</v>
      </c>
      <c r="E48" s="3">
        <f>k_fold_output!C46</f>
        <v>13</v>
      </c>
      <c r="F48">
        <f>k_fold_output!R58</f>
        <v>0.85637271404266302</v>
      </c>
      <c r="G48">
        <f>k_fold_output!S58</f>
        <v>0.49981117248535101</v>
      </c>
      <c r="H48">
        <f>luna16_k_fold_output!G58</f>
        <v>0.83881539106369019</v>
      </c>
      <c r="I48" s="69">
        <f>luna16_k_fold_output!H58</f>
        <v>0.85628980398178101</v>
      </c>
    </row>
    <row r="49" spans="1:9" x14ac:dyDescent="0.25">
      <c r="A49" s="213"/>
      <c r="B49" s="105"/>
      <c r="C49" s="105"/>
      <c r="D49">
        <v>2</v>
      </c>
      <c r="E49" s="3">
        <f>k_fold_output!C47</f>
        <v>12</v>
      </c>
      <c r="F49">
        <f>k_fold_output!R59</f>
        <v>0.85785257816314697</v>
      </c>
      <c r="G49">
        <f>k_fold_output!S59</f>
        <v>0.37971735000610302</v>
      </c>
      <c r="H49">
        <f>luna16_k_fold_output!G59</f>
        <v>0.84496355056762695</v>
      </c>
      <c r="I49" s="69">
        <f>luna16_k_fold_output!H59</f>
        <v>0.87243711948394775</v>
      </c>
    </row>
    <row r="50" spans="1:9" x14ac:dyDescent="0.25">
      <c r="A50" s="213"/>
      <c r="B50" s="105"/>
      <c r="C50" s="105"/>
      <c r="D50">
        <v>3</v>
      </c>
      <c r="E50" s="3">
        <f>k_fold_output!C48</f>
        <v>24</v>
      </c>
      <c r="F50">
        <f>k_fold_output!R60</f>
        <v>0.86078971624374301</v>
      </c>
      <c r="G50">
        <f>k_fold_output!S60</f>
        <v>0.46594262123107899</v>
      </c>
      <c r="H50">
        <f>luna16_k_fold_output!G60</f>
        <v>0.85581052303314209</v>
      </c>
      <c r="I50" s="69">
        <f>luna16_k_fold_output!H60</f>
        <v>0.8517577052116394</v>
      </c>
    </row>
    <row r="51" spans="1:9" x14ac:dyDescent="0.25">
      <c r="A51" s="216"/>
      <c r="B51" s="107"/>
      <c r="C51" s="107"/>
      <c r="D51" s="7">
        <v>4</v>
      </c>
      <c r="E51" s="8">
        <f>k_fold_output!C49</f>
        <v>24</v>
      </c>
      <c r="F51">
        <f>k_fold_output!R61</f>
        <v>0.87798994779586703</v>
      </c>
      <c r="G51">
        <f>k_fold_output!S61</f>
        <v>0.39214628934860202</v>
      </c>
      <c r="H51">
        <f>luna16_k_fold_output!G61</f>
        <v>0.87261676788330078</v>
      </c>
      <c r="I51" s="69">
        <f>luna16_k_fold_output!H61</f>
        <v>0.88236367702484131</v>
      </c>
    </row>
    <row r="52" spans="1:9" x14ac:dyDescent="0.25">
      <c r="A52" s="212" t="s">
        <v>19</v>
      </c>
      <c r="B52" s="103" t="s">
        <v>25</v>
      </c>
      <c r="C52" s="103"/>
      <c r="D52" s="9">
        <v>1</v>
      </c>
      <c r="E52" s="10">
        <f>k_fold_output!C54</f>
        <v>3</v>
      </c>
      <c r="F52">
        <f>k_fold_output!R66</f>
        <v>0.68266385793685902</v>
      </c>
      <c r="G52">
        <f>k_fold_output!S66</f>
        <v>0.178153902292251</v>
      </c>
      <c r="H52">
        <f>luna16_k_fold_output!G66</f>
        <v>0.58995407819747925</v>
      </c>
      <c r="I52" s="69">
        <f>luna16_k_fold_output!H66</f>
        <v>0.54980528354644775</v>
      </c>
    </row>
    <row r="53" spans="1:9" x14ac:dyDescent="0.25">
      <c r="A53" s="213"/>
      <c r="B53" s="105"/>
      <c r="C53" s="105"/>
      <c r="D53">
        <v>2</v>
      </c>
      <c r="E53" s="3">
        <f>k_fold_output!C55</f>
        <v>20</v>
      </c>
      <c r="F53">
        <f>k_fold_output!R67</f>
        <v>0.67980223894119196</v>
      </c>
      <c r="G53">
        <f>k_fold_output!S67</f>
        <v>0.13317538797855299</v>
      </c>
      <c r="H53">
        <f>luna16_k_fold_output!G67</f>
        <v>0.57148265838623047</v>
      </c>
      <c r="I53" s="69">
        <f>luna16_k_fold_output!H67</f>
        <v>0.51970010995864868</v>
      </c>
    </row>
    <row r="54" spans="1:9" x14ac:dyDescent="0.25">
      <c r="A54" s="213"/>
      <c r="B54" s="105"/>
      <c r="C54" s="105"/>
      <c r="D54">
        <v>3</v>
      </c>
      <c r="E54" s="3">
        <f>k_fold_output!C56</f>
        <v>10</v>
      </c>
      <c r="F54">
        <f>k_fold_output!R68</f>
        <v>0.65945333242416304</v>
      </c>
      <c r="G54">
        <f>k_fold_output!S68</f>
        <v>0.12829360365867601</v>
      </c>
      <c r="H54">
        <f>luna16_k_fold_output!G68</f>
        <v>0.56578445434570313</v>
      </c>
      <c r="I54" s="69">
        <f>luna16_k_fold_output!H68</f>
        <v>0.52146589756011963</v>
      </c>
    </row>
    <row r="55" spans="1:9" x14ac:dyDescent="0.25">
      <c r="A55" s="216"/>
      <c r="B55" s="107"/>
      <c r="C55" s="107"/>
      <c r="D55" s="7">
        <v>4</v>
      </c>
      <c r="E55" s="8">
        <f>k_fold_output!C57</f>
        <v>31</v>
      </c>
      <c r="F55">
        <f>k_fold_output!R69</f>
        <v>0.71057081222534102</v>
      </c>
      <c r="G55">
        <f>k_fold_output!S69</f>
        <v>0.17822530865669201</v>
      </c>
      <c r="H55">
        <f>luna16_k_fold_output!G69</f>
        <v>0.64655685424804688</v>
      </c>
      <c r="I55" s="69">
        <f>luna16_k_fold_output!H69</f>
        <v>0.59876233339309692</v>
      </c>
    </row>
    <row r="56" spans="1:9" x14ac:dyDescent="0.25">
      <c r="A56" s="212" t="s">
        <v>24</v>
      </c>
      <c r="B56" s="103" t="s">
        <v>27</v>
      </c>
      <c r="C56" s="103"/>
      <c r="D56" s="9">
        <v>1</v>
      </c>
      <c r="E56" s="10">
        <f>k_fold_output!C46</f>
        <v>13</v>
      </c>
      <c r="F56">
        <f>k_fold_output!R62</f>
        <v>0.81936728954315097</v>
      </c>
      <c r="G56">
        <f>k_fold_output!S62</f>
        <v>0.32699429988861001</v>
      </c>
      <c r="H56">
        <f>luna16_k_fold_output!G62</f>
        <v>0.7917904257774353</v>
      </c>
      <c r="I56" s="69">
        <f>luna16_k_fold_output!H62</f>
        <v>0.8060762882232666</v>
      </c>
    </row>
    <row r="57" spans="1:9" x14ac:dyDescent="0.25">
      <c r="A57" s="213"/>
      <c r="B57" s="105"/>
      <c r="C57" s="105"/>
      <c r="D57">
        <v>2</v>
      </c>
      <c r="E57" s="3">
        <f>k_fold_output!C47</f>
        <v>12</v>
      </c>
      <c r="F57">
        <f>k_fold_output!R63</f>
        <v>0.76944279670715299</v>
      </c>
      <c r="G57">
        <f>k_fold_output!S63</f>
        <v>0.230017140507698</v>
      </c>
      <c r="H57">
        <f>luna16_k_fold_output!G63</f>
        <v>0.78153741359710693</v>
      </c>
      <c r="I57" s="69">
        <f>luna16_k_fold_output!H63</f>
        <v>0.7847602367401123</v>
      </c>
    </row>
    <row r="58" spans="1:9" x14ac:dyDescent="0.25">
      <c r="A58" s="213"/>
      <c r="B58" s="105"/>
      <c r="C58" s="105"/>
      <c r="D58">
        <v>3</v>
      </c>
      <c r="E58" s="3">
        <f>k_fold_output!C48</f>
        <v>24</v>
      </c>
      <c r="F58">
        <f>k_fold_output!R64</f>
        <v>0.80030208826064997</v>
      </c>
      <c r="G58">
        <f>k_fold_output!S64</f>
        <v>0.27865141630172702</v>
      </c>
      <c r="H58">
        <f>luna16_k_fold_output!G64</f>
        <v>0.79415792226791382</v>
      </c>
      <c r="I58" s="69">
        <f>luna16_k_fold_output!H64</f>
        <v>0.80812555551528931</v>
      </c>
    </row>
    <row r="59" spans="1:9" ht="15.75" thickBot="1" x14ac:dyDescent="0.3">
      <c r="A59" s="214"/>
      <c r="B59" s="156"/>
      <c r="C59" s="156"/>
      <c r="D59" s="16">
        <v>4</v>
      </c>
      <c r="E59" s="68">
        <f>k_fold_output!C49</f>
        <v>24</v>
      </c>
      <c r="F59" s="16">
        <f>k_fold_output!R65</f>
        <v>0.84190577268600397</v>
      </c>
      <c r="G59" s="16">
        <f>k_fold_output!S65</f>
        <v>0.31651219725608798</v>
      </c>
      <c r="H59" s="16">
        <f>luna16_k_fold_output!G65</f>
        <v>0.81352955102920532</v>
      </c>
      <c r="I59" s="70">
        <f>luna16_k_fold_output!H65</f>
        <v>0.83111011981964111</v>
      </c>
    </row>
    <row r="60" spans="1:9" x14ac:dyDescent="0.25">
      <c r="A60" s="171" t="s">
        <v>134</v>
      </c>
      <c r="B60" s="171"/>
      <c r="C60" s="171"/>
      <c r="D60" s="171"/>
      <c r="E60" s="171"/>
      <c r="F60">
        <f>AVERAGE(F4:F59)</f>
        <v>0.82412905139582482</v>
      </c>
      <c r="G60">
        <f t="shared" ref="G60:I60" si="0">AVERAGE(G4:G59)</f>
        <v>0.33257182607693297</v>
      </c>
      <c r="H60">
        <f t="shared" si="0"/>
        <v>0.78558311079229626</v>
      </c>
      <c r="I60">
        <f t="shared" si="0"/>
        <v>0.79104980081319809</v>
      </c>
    </row>
    <row r="61" spans="1:9" x14ac:dyDescent="0.25">
      <c r="A61" s="194" t="s">
        <v>135</v>
      </c>
      <c r="B61" s="194"/>
      <c r="C61" s="194"/>
      <c r="D61" s="194"/>
      <c r="E61" s="194"/>
      <c r="F61">
        <f>_xlfn.STDEV.S(F4:F59)</f>
        <v>4.6266955744329159E-2</v>
      </c>
      <c r="G61">
        <f t="shared" ref="G61:I61" si="1">_xlfn.STDEV.S(G4:G59)</f>
        <v>7.4779190257776712E-2</v>
      </c>
      <c r="H61">
        <f t="shared" si="1"/>
        <v>6.1541203569535352E-2</v>
      </c>
      <c r="I61">
        <f t="shared" si="1"/>
        <v>7.7153839870424054E-2</v>
      </c>
    </row>
  </sheetData>
  <mergeCells count="40">
    <mergeCell ref="H1:I1"/>
    <mergeCell ref="E1:E3"/>
    <mergeCell ref="F2:F3"/>
    <mergeCell ref="G2:G3"/>
    <mergeCell ref="A28:A39"/>
    <mergeCell ref="B28:B39"/>
    <mergeCell ref="C28:C31"/>
    <mergeCell ref="C32:C35"/>
    <mergeCell ref="C36:C39"/>
    <mergeCell ref="C20:C23"/>
    <mergeCell ref="C24:C27"/>
    <mergeCell ref="D1:D3"/>
    <mergeCell ref="F1:G1"/>
    <mergeCell ref="A61:E61"/>
    <mergeCell ref="N8:O8"/>
    <mergeCell ref="H2:H3"/>
    <mergeCell ref="I2:I3"/>
    <mergeCell ref="A56:A59"/>
    <mergeCell ref="B56:C59"/>
    <mergeCell ref="C48:C51"/>
    <mergeCell ref="A4:A15"/>
    <mergeCell ref="B4:B15"/>
    <mergeCell ref="C4:C7"/>
    <mergeCell ref="C8:C11"/>
    <mergeCell ref="C12:C15"/>
    <mergeCell ref="A16:A27"/>
    <mergeCell ref="B2:B3"/>
    <mergeCell ref="C2:C3"/>
    <mergeCell ref="N3:O3"/>
    <mergeCell ref="B16:B27"/>
    <mergeCell ref="C16:C19"/>
    <mergeCell ref="A1:A3"/>
    <mergeCell ref="B1:C1"/>
    <mergeCell ref="A60:E60"/>
    <mergeCell ref="A52:A55"/>
    <mergeCell ref="B52:C55"/>
    <mergeCell ref="A40:A51"/>
    <mergeCell ref="B40:B51"/>
    <mergeCell ref="C40:C43"/>
    <mergeCell ref="C44:C4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9BA7F-CA08-4644-B08B-C4F4D56F4C74}">
  <sheetPr>
    <tabColor rgb="FFFFC000"/>
  </sheetPr>
  <dimension ref="A1:M19"/>
  <sheetViews>
    <sheetView topLeftCell="A4" zoomScale="115" zoomScaleNormal="115" workbookViewId="0">
      <selection activeCell="K22" sqref="K22"/>
    </sheetView>
  </sheetViews>
  <sheetFormatPr defaultRowHeight="15" x14ac:dyDescent="0.25"/>
  <cols>
    <col min="1" max="1" width="15.85546875" customWidth="1"/>
    <col min="3" max="5" width="12.7109375" customWidth="1"/>
    <col min="6" max="8" width="11.42578125" customWidth="1"/>
    <col min="10" max="10" width="15.140625" customWidth="1"/>
  </cols>
  <sheetData>
    <row r="1" spans="1:13" x14ac:dyDescent="0.25">
      <c r="A1" s="159" t="s">
        <v>0</v>
      </c>
      <c r="B1" s="139"/>
      <c r="C1" s="225" t="s">
        <v>19</v>
      </c>
      <c r="D1" s="226"/>
      <c r="E1" s="227"/>
      <c r="F1" s="228" t="s">
        <v>71</v>
      </c>
      <c r="G1" s="229"/>
      <c r="H1" s="230"/>
    </row>
    <row r="2" spans="1:13" x14ac:dyDescent="0.25">
      <c r="A2" s="222"/>
      <c r="B2" s="140"/>
      <c r="C2" s="220" t="s">
        <v>4</v>
      </c>
      <c r="D2" s="220" t="s">
        <v>5</v>
      </c>
      <c r="E2" s="220" t="s">
        <v>70</v>
      </c>
      <c r="F2" s="231" t="s">
        <v>4</v>
      </c>
      <c r="G2" s="231" t="s">
        <v>5</v>
      </c>
      <c r="H2" s="231" t="s">
        <v>70</v>
      </c>
    </row>
    <row r="3" spans="1:13" ht="15.75" thickBot="1" x14ac:dyDescent="0.3">
      <c r="A3" s="223"/>
      <c r="B3" s="141"/>
      <c r="C3" s="221"/>
      <c r="D3" s="221"/>
      <c r="E3" s="221"/>
      <c r="F3" s="232"/>
      <c r="G3" s="232"/>
      <c r="H3" s="232"/>
      <c r="I3" t="s">
        <v>125</v>
      </c>
      <c r="J3" t="s">
        <v>126</v>
      </c>
      <c r="K3" t="s">
        <v>127</v>
      </c>
      <c r="L3" t="s">
        <v>128</v>
      </c>
      <c r="M3" t="s">
        <v>129</v>
      </c>
    </row>
    <row r="4" spans="1:13" x14ac:dyDescent="0.25">
      <c r="A4" s="111" t="s">
        <v>120</v>
      </c>
      <c r="B4" s="224"/>
      <c r="C4" s="35">
        <f>AVERAGE(INDEX(Subsheet!O:O,(ROW(A1)-1)*4+4):INDEX(Subsheet!O:O,(ROW(A1)-1)*4+7))</f>
        <v>0.38534998893737749</v>
      </c>
      <c r="D4" s="35">
        <f>AVERAGE(INDEX(Subsheet!P:P,(ROW(B1)-1)*4+4):INDEX(Subsheet!P:P,(ROW(B1)-1)*4+7))</f>
        <v>0.82562293112277929</v>
      </c>
      <c r="E4" s="35">
        <f>AVERAGE(INDEX(Subsheet!Q:Q,(ROW(C1)-1)*4+4):INDEX(Subsheet!Q:Q,(ROW(C1)-1)*4+7))</f>
        <v>0.331073477864265</v>
      </c>
      <c r="F4" s="38">
        <f>AVERAGE(INDEX(Subsheet!O:O,(ROW(A1)-1)*4+16):INDEX(Subsheet!O:O,(ROW(A1)-1)*4+19))</f>
        <v>0.35535456240177127</v>
      </c>
      <c r="G4" s="38">
        <f>AVERAGE(INDEX(Subsheet!P:P,(ROW(B1)-1)*4+16):INDEX(Subsheet!P:P,(ROW(B1)-1)*4+19))</f>
        <v>0.83020238578319505</v>
      </c>
      <c r="H4" s="38">
        <f>AVERAGE(INDEX(Subsheet!Q:Q,(ROW(C1)-1)*4+16):INDEX(Subsheet!Q:Q,(ROW(C1)-1)*4+19))</f>
        <v>0.34199669212102851</v>
      </c>
      <c r="I4">
        <v>7</v>
      </c>
      <c r="J4">
        <f>D4-G4</f>
        <v>-4.5794546604157604E-3</v>
      </c>
      <c r="K4">
        <f>E4-H4</f>
        <v>-1.0923214256763514E-2</v>
      </c>
      <c r="L4">
        <v>0.6</v>
      </c>
      <c r="M4">
        <v>0</v>
      </c>
    </row>
    <row r="5" spans="1:13" x14ac:dyDescent="0.25">
      <c r="A5" s="105" t="s">
        <v>121</v>
      </c>
      <c r="B5" s="106"/>
      <c r="C5" s="35">
        <f>AVERAGE(INDEX(Subsheet!O:O,(ROW(A2)-1)*4+4):INDEX(Subsheet!O:O,(ROW(A2)-1)*4+7))</f>
        <v>0.28942289575934349</v>
      </c>
      <c r="D5" s="35">
        <f>AVERAGE(INDEX(Subsheet!P:P,(ROW(B2)-1)*4+4):INDEX(Subsheet!P:P,(ROW(B2)-1)*4+7))</f>
        <v>0.82021479308605172</v>
      </c>
      <c r="E5" s="35">
        <f>AVERAGE(INDEX(Subsheet!Q:Q,(ROW(C2)-1)*4+4):INDEX(Subsheet!Q:Q,(ROW(C2)-1)*4+7))</f>
        <v>0.29959116131067248</v>
      </c>
      <c r="F5" s="38">
        <f>AVERAGE(INDEX(Subsheet!O:O,(ROW(A2)-1)*4+16):INDEX(Subsheet!O:O,(ROW(A2)-1)*4+19))</f>
        <v>0.30236206576228097</v>
      </c>
      <c r="G5" s="38">
        <f>AVERAGE(INDEX(Subsheet!P:P,(ROW(B2)-1)*4+16):INDEX(Subsheet!P:P,(ROW(B2)-1)*4+19))</f>
        <v>0.84667015075683549</v>
      </c>
      <c r="H5" s="38">
        <f>AVERAGE(INDEX(Subsheet!Q:Q,(ROW(C2)-1)*4+16):INDEX(Subsheet!Q:Q,(ROW(C2)-1)*4+19))</f>
        <v>0.35118983685970256</v>
      </c>
      <c r="I5">
        <v>6</v>
      </c>
      <c r="J5">
        <f t="shared" ref="J5:J10" si="0">D5-G5</f>
        <v>-2.6455357670783775E-2</v>
      </c>
      <c r="K5">
        <f t="shared" ref="K5:K10" si="1">E5-H5</f>
        <v>-5.1598675549030082E-2</v>
      </c>
      <c r="L5">
        <v>0.6</v>
      </c>
      <c r="M5">
        <v>0</v>
      </c>
    </row>
    <row r="6" spans="1:13" x14ac:dyDescent="0.25">
      <c r="A6" s="107" t="s">
        <v>122</v>
      </c>
      <c r="B6" s="108"/>
      <c r="C6" s="37">
        <f>AVERAGE(INDEX(Subsheet!O:O,(ROW(A3)-1)*4+4):INDEX(Subsheet!O:O,(ROW(A3)-1)*4+7))</f>
        <v>0.36399471014738027</v>
      </c>
      <c r="D6" s="37">
        <f>AVERAGE(INDEX(Subsheet!P:P,(ROW(B3)-1)*4+4):INDEX(Subsheet!P:P,(ROW(B3)-1)*4+7))</f>
        <v>0.85186120867729132</v>
      </c>
      <c r="E6" s="37">
        <f>AVERAGE(INDEX(Subsheet!Q:Q,(ROW(C3)-1)*4+4):INDEX(Subsheet!Q:Q,(ROW(C3)-1)*4+7))</f>
        <v>0.35931050777435247</v>
      </c>
      <c r="F6" s="38">
        <f>AVERAGE(INDEX(Subsheet!O:O,(ROW(A3)-1)*4+16):INDEX(Subsheet!O:O,(ROW(A3)-1)*4+19))</f>
        <v>0.30541968718171097</v>
      </c>
      <c r="G6" s="38">
        <f>AVERAGE(INDEX(Subsheet!P:P,(ROW(B3)-1)*4+16):INDEX(Subsheet!P:P,(ROW(B3)-1)*4+19))</f>
        <v>0.81143158674240068</v>
      </c>
      <c r="H6" s="38">
        <f>AVERAGE(INDEX(Subsheet!Q:Q,(ROW(C3)-1)*4+16):INDEX(Subsheet!Q:Q,(ROW(C3)-1)*4+19))</f>
        <v>0.27903310582041679</v>
      </c>
      <c r="I6">
        <v>5</v>
      </c>
      <c r="J6">
        <f t="shared" si="0"/>
        <v>4.0429621934890636E-2</v>
      </c>
      <c r="K6">
        <f t="shared" si="1"/>
        <v>8.0277401953935679E-2</v>
      </c>
      <c r="L6">
        <v>0.6</v>
      </c>
      <c r="M6">
        <v>0</v>
      </c>
    </row>
    <row r="7" spans="1:13" x14ac:dyDescent="0.25">
      <c r="A7" s="105" t="s">
        <v>106</v>
      </c>
      <c r="B7" s="106"/>
      <c r="C7" s="35">
        <f>AVERAGE(INDEX(Subsheet!O:O,(ROW(A1)-1)*4+28):INDEX(Subsheet!O:O,(ROW(A1)-1)*4+31))</f>
        <v>0.36899757385253845</v>
      </c>
      <c r="D7" s="35">
        <f>AVERAGE(INDEX(Subsheet!P:P,(ROW(B1)-1)*4+28):INDEX(Subsheet!P:P,(ROW(B1)-1)*4+31))</f>
        <v>0.82078206539154031</v>
      </c>
      <c r="E7" s="35">
        <f>AVERAGE(INDEX(Subsheet!Q:Q,(ROW(C1)-1)*4+28):INDEX(Subsheet!Q:Q,(ROW(C1)-1)*4+31))</f>
        <v>0.33581732958555177</v>
      </c>
      <c r="F7" s="38">
        <f>AVERAGE(INDEX(Subsheet!O:O,(ROW(A1)-1)*4+52):INDEX(Subsheet!O:O,(ROW(A1)-1)*4+55))</f>
        <v>0.41065714508295026</v>
      </c>
      <c r="G7" s="38">
        <f>AVERAGE(INDEX(Subsheet!P:P,(ROW(B1)-1)*4+52):INDEX(Subsheet!P:P,(ROW(B1)-1)*4+55))</f>
        <v>0.86517104506492581</v>
      </c>
      <c r="H7" s="38">
        <f>AVERAGE(INDEX(Subsheet!Q:Q,(ROW(C1)-1)*4+52):INDEX(Subsheet!Q:Q,(ROW(C1)-1)*4+55))</f>
        <v>0.41395059973001452</v>
      </c>
      <c r="I7">
        <v>4</v>
      </c>
      <c r="J7">
        <f t="shared" si="0"/>
        <v>-4.4388979673385509E-2</v>
      </c>
      <c r="K7">
        <f t="shared" si="1"/>
        <v>-7.8133270144462752E-2</v>
      </c>
      <c r="L7">
        <v>0.6</v>
      </c>
      <c r="M7">
        <v>0</v>
      </c>
    </row>
    <row r="8" spans="1:13" x14ac:dyDescent="0.25">
      <c r="A8" s="105" t="s">
        <v>123</v>
      </c>
      <c r="B8" s="106"/>
      <c r="C8" s="35">
        <f>AVERAGE(INDEX(Subsheet!O:O,(ROW(A2)-1)*4+28):INDEX(Subsheet!O:O,(ROW(A2)-1)*4+31))</f>
        <v>0.38502246141433677</v>
      </c>
      <c r="D8" s="35">
        <f>AVERAGE(INDEX(Subsheet!P:P,(ROW(B2)-1)*4+28):INDEX(Subsheet!P:P,(ROW(B2)-1)*4+31))</f>
        <v>0.82679703831672624</v>
      </c>
      <c r="E8" s="35">
        <f>AVERAGE(INDEX(Subsheet!Q:Q,(ROW(C2)-1)*4+28):INDEX(Subsheet!Q:Q,(ROW(C2)-1)*4+31))</f>
        <v>0.34977200627326926</v>
      </c>
      <c r="F8" s="38">
        <f>AVERAGE(INDEX(Subsheet!O:O,(ROW(A2)-1)*4+52):INDEX(Subsheet!O:O,(ROW(A2)-1)*4+55))</f>
        <v>0.4132326170802112</v>
      </c>
      <c r="G8" s="38">
        <f>AVERAGE(INDEX(Subsheet!P:P,(ROW(B2)-1)*4+52):INDEX(Subsheet!P:P,(ROW(B2)-1)*4+55))</f>
        <v>0.8523104935884469</v>
      </c>
      <c r="H8" s="38">
        <f>AVERAGE(INDEX(Subsheet!Q:Q,(ROW(C2)-1)*4+52):INDEX(Subsheet!Q:Q,(ROW(C2)-1)*4+55))</f>
        <v>0.3867298364639275</v>
      </c>
      <c r="I8">
        <v>3</v>
      </c>
      <c r="J8">
        <f t="shared" si="0"/>
        <v>-2.5513455271720664E-2</v>
      </c>
      <c r="K8">
        <f t="shared" si="1"/>
        <v>-3.6957830190658236E-2</v>
      </c>
      <c r="L8">
        <v>0.6</v>
      </c>
      <c r="M8">
        <v>0</v>
      </c>
    </row>
    <row r="9" spans="1:13" x14ac:dyDescent="0.25">
      <c r="A9" s="105" t="s">
        <v>124</v>
      </c>
      <c r="B9" s="106"/>
      <c r="C9" s="35">
        <f>AVERAGE(INDEX(Subsheet!O:O,(ROW(A3)-1)*4+28):INDEX(Subsheet!O:O,(ROW(A3)-1)*4+31))</f>
        <v>0.34974159300327251</v>
      </c>
      <c r="D9" s="35">
        <f>AVERAGE(INDEX(Subsheet!P:P,(ROW(B3)-1)*4+28):INDEX(Subsheet!P:P,(ROW(B3)-1)*4+31))</f>
        <v>0.82725766301155024</v>
      </c>
      <c r="E9" s="35">
        <f>AVERAGE(INDEX(Subsheet!Q:Q,(ROW(C3)-1)*4+28):INDEX(Subsheet!Q:Q,(ROW(C3)-1)*4+31))</f>
        <v>0.32651930302381449</v>
      </c>
      <c r="F9" s="38">
        <f>AVERAGE(INDEX(Subsheet!O:O,(ROW(A3)-1)*4+52):INDEX(Subsheet!O:O,(ROW(A3)-1)*4+55))</f>
        <v>0.44309537112712805</v>
      </c>
      <c r="G9" s="38">
        <f>AVERAGE(INDEX(Subsheet!P:P,(ROW(B3)-1)*4+52):INDEX(Subsheet!P:P,(ROW(B3)-1)*4+55))</f>
        <v>0.86325123906135504</v>
      </c>
      <c r="H9" s="38">
        <f>AVERAGE(INDEX(Subsheet!Q:Q,(ROW(C3)-1)*4+52):INDEX(Subsheet!Q:Q,(ROW(C3)-1)*4+55))</f>
        <v>0.43440435826778373</v>
      </c>
      <c r="I9">
        <v>2</v>
      </c>
      <c r="J9">
        <f t="shared" si="0"/>
        <v>-3.5993576049804799E-2</v>
      </c>
      <c r="K9">
        <f t="shared" si="1"/>
        <v>-0.10788505524396924</v>
      </c>
      <c r="L9">
        <v>0.6</v>
      </c>
      <c r="M9">
        <v>0</v>
      </c>
    </row>
    <row r="10" spans="1:13" ht="15.75" thickBot="1" x14ac:dyDescent="0.3">
      <c r="A10" s="156" t="s">
        <v>27</v>
      </c>
      <c r="B10" s="157"/>
      <c r="C10" s="36">
        <f>AVERAGE(Subsheet!O64:O67)</f>
        <v>0</v>
      </c>
      <c r="D10" s="36">
        <f>AVERAGE(Subsheet!P64:P67)</f>
        <v>0.68312256038188868</v>
      </c>
      <c r="E10" s="36">
        <f>AVERAGE(Subsheet!Q64:Q67)</f>
        <v>0.154462050646543</v>
      </c>
      <c r="F10" s="38">
        <f>AVERAGE(Subsheet!O72:O75)</f>
        <v>0.33848808705806677</v>
      </c>
      <c r="G10" s="38">
        <f>AVERAGE(Subsheet!P72:P75)</f>
        <v>0.80775448679923945</v>
      </c>
      <c r="H10" s="38">
        <f>AVERAGE(Subsheet!Q72:Q75)</f>
        <v>0.28804376348853078</v>
      </c>
      <c r="I10">
        <v>1</v>
      </c>
      <c r="J10">
        <f t="shared" si="0"/>
        <v>-0.12463192641735077</v>
      </c>
      <c r="K10">
        <f t="shared" si="1"/>
        <v>-0.13358171284198778</v>
      </c>
      <c r="L10">
        <v>0.6</v>
      </c>
      <c r="M10">
        <v>0</v>
      </c>
    </row>
    <row r="12" spans="1:13" ht="15.75" thickBot="1" x14ac:dyDescent="0.3"/>
    <row r="13" spans="1:13" x14ac:dyDescent="0.25">
      <c r="A13" s="42" t="s">
        <v>120</v>
      </c>
      <c r="B13" s="2"/>
    </row>
    <row r="14" spans="1:13" x14ac:dyDescent="0.25">
      <c r="A14" s="39" t="s">
        <v>121</v>
      </c>
      <c r="B14" s="2"/>
    </row>
    <row r="15" spans="1:13" x14ac:dyDescent="0.25">
      <c r="A15" s="40" t="s">
        <v>122</v>
      </c>
      <c r="B15" s="2"/>
    </row>
    <row r="16" spans="1:13" x14ac:dyDescent="0.25">
      <c r="A16" s="39" t="s">
        <v>106</v>
      </c>
      <c r="B16" s="2"/>
    </row>
    <row r="17" spans="1:2" x14ac:dyDescent="0.25">
      <c r="A17" s="39" t="s">
        <v>123</v>
      </c>
      <c r="B17" s="2"/>
    </row>
    <row r="18" spans="1:2" x14ac:dyDescent="0.25">
      <c r="A18" s="39" t="s">
        <v>124</v>
      </c>
      <c r="B18" s="2"/>
    </row>
    <row r="19" spans="1:2" ht="15.75" thickBot="1" x14ac:dyDescent="0.3">
      <c r="A19" s="41" t="s">
        <v>27</v>
      </c>
      <c r="B19" s="2"/>
    </row>
  </sheetData>
  <mergeCells count="16">
    <mergeCell ref="D2:D3"/>
    <mergeCell ref="E2:E3"/>
    <mergeCell ref="C1:E1"/>
    <mergeCell ref="F1:H1"/>
    <mergeCell ref="F2:F3"/>
    <mergeCell ref="G2:G3"/>
    <mergeCell ref="H2:H3"/>
    <mergeCell ref="A10:B10"/>
    <mergeCell ref="C2:C3"/>
    <mergeCell ref="A1:B3"/>
    <mergeCell ref="A4:B4"/>
    <mergeCell ref="A5:B5"/>
    <mergeCell ref="A7:B7"/>
    <mergeCell ref="A8:B8"/>
    <mergeCell ref="A9:B9"/>
    <mergeCell ref="A6:B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3DB553-7402-4CAC-BBF0-EEB917A4B0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k_fold_output</vt:lpstr>
      <vt:lpstr>luna16_k_fold_output</vt:lpstr>
      <vt:lpstr>k_fold_2stage_output</vt:lpstr>
      <vt:lpstr>k_fold_luna16db_output</vt:lpstr>
      <vt:lpstr>Main Sheet</vt:lpstr>
      <vt:lpstr>Subsheet</vt:lpstr>
      <vt:lpstr>2stage Sheet</vt:lpstr>
      <vt:lpstr>Luna16-25 Sheet</vt:lpstr>
      <vt:lpstr>Main Compiled</vt:lpstr>
      <vt:lpstr>2stage Compiled</vt:lpstr>
      <vt:lpstr>Generalisation Compiled</vt:lpstr>
      <vt:lpstr>LUNA16-25 Compiled</vt:lpstr>
      <vt:lpstr>Table for t-test</vt:lpstr>
      <vt:lpstr>LUNA16-25 t-test</vt:lpstr>
      <vt:lpstr>Medicalnet t-test</vt:lpstr>
      <vt:lpstr>Resnet1ch t-test</vt:lpstr>
      <vt:lpstr>Resnet3ch t-test</vt:lpstr>
      <vt:lpstr>ViViT t-test</vt:lpstr>
      <vt:lpstr>ViViT-ResNet t-test</vt:lpstr>
      <vt:lpstr>generalisation t-test</vt:lpstr>
      <vt:lpstr>2stage t-test</vt:lpstr>
      <vt:lpstr>LUNA16 Generalisation t-test</vt:lpstr>
      <vt:lpstr>Pearson</vt:lpstr>
      <vt:lpstr>Dumbbell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Jetanat Sihanatkathakul</dc:creator>
  <cp:lastModifiedBy>Jetanat Sihanatkathakul</cp:lastModifiedBy>
  <cp:lastPrinted>2026-08-07T01:55:56Z</cp:lastPrinted>
  <dcterms:created xsi:type="dcterms:W3CDTF">2026-06-30T00:00:13Z</dcterms:created>
  <dcterms:modified xsi:type="dcterms:W3CDTF">2026-08-07T21:53:06Z</dcterms:modified>
</cp:coreProperties>
</file>